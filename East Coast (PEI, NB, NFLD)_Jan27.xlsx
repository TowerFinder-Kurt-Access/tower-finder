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rets\Desktop\"/>
    </mc:Choice>
  </mc:AlternateContent>
  <xr:revisionPtr revIDLastSave="0" documentId="13_ncr:1_{CACF57DA-10A5-46CA-A97B-BEA13395842D}" xr6:coauthVersionLast="47" xr6:coauthVersionMax="47" xr10:uidLastSave="{00000000-0000-0000-0000-000000000000}"/>
  <bookViews>
    <workbookView xWindow="28680" yWindow="-120" windowWidth="29040" windowHeight="15840" activeTab="2" xr2:uid="{AEC2BD91-502A-4371-96F9-73CC071AD92A}"/>
  </bookViews>
  <sheets>
    <sheet name="PrinceEdward_238_Towers" sheetId="4" r:id="rId1"/>
    <sheet name="New Brunswick_1283_Towers" sheetId="1" r:id="rId2"/>
    <sheet name="NewFoundland_718_Towers" sheetId="2" r:id="rId3"/>
  </sheets>
  <definedNames>
    <definedName name="_xlnm._FilterDatabase" localSheetId="1" hidden="1">'New Brunswick_1283_Towers'!$A$1:$M$1</definedName>
    <definedName name="_xlnm._FilterDatabase" localSheetId="2" hidden="1">NewFoundland_718_Towers!$A$1:$M$1</definedName>
    <definedName name="_xlnm._FilterDatabase" localSheetId="0" hidden="1">PrinceEdward_238_Towers!$A$1:$M$1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2" l="1"/>
  <c r="H214" i="2"/>
  <c r="H197" i="2"/>
  <c r="H4" i="1"/>
  <c r="H96" i="2"/>
  <c r="H95" i="2"/>
  <c r="H131" i="1"/>
  <c r="H1282" i="1"/>
  <c r="H66" i="1"/>
  <c r="H63" i="1"/>
  <c r="H50" i="1"/>
  <c r="H46" i="1"/>
  <c r="H45" i="1"/>
  <c r="H32" i="1"/>
  <c r="H238" i="4"/>
  <c r="H237" i="4"/>
  <c r="H236" i="4"/>
  <c r="H235" i="4"/>
  <c r="H234" i="4"/>
  <c r="H233" i="4"/>
  <c r="H232" i="4"/>
  <c r="H231" i="4"/>
  <c r="H230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11" i="4"/>
  <c r="H210" i="4"/>
  <c r="H209" i="4"/>
  <c r="H208" i="4"/>
  <c r="H207" i="4"/>
  <c r="H206" i="4"/>
  <c r="H205" i="4"/>
  <c r="H204" i="4"/>
  <c r="H203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28" i="2"/>
  <c r="H327" i="2"/>
  <c r="H325" i="2"/>
  <c r="H324" i="2"/>
  <c r="H323" i="2"/>
  <c r="H322" i="2"/>
  <c r="H321" i="2"/>
  <c r="H320" i="2"/>
  <c r="H319" i="2"/>
  <c r="H317" i="2"/>
  <c r="H316" i="2"/>
  <c r="H315" i="2"/>
  <c r="H314" i="2"/>
  <c r="H313" i="2"/>
  <c r="H312" i="2"/>
  <c r="H311" i="2"/>
  <c r="H310" i="2"/>
  <c r="H309" i="2"/>
  <c r="H308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0" i="2"/>
  <c r="H289" i="2"/>
  <c r="H288" i="2"/>
  <c r="H286" i="2"/>
  <c r="H285" i="2"/>
  <c r="H284" i="2"/>
  <c r="H283" i="2"/>
  <c r="H282" i="2"/>
  <c r="H281" i="2"/>
  <c r="H280" i="2"/>
  <c r="H278" i="2"/>
  <c r="H277" i="2"/>
  <c r="H276" i="2"/>
  <c r="H275" i="2"/>
  <c r="H274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3" i="2"/>
  <c r="H212" i="2"/>
  <c r="H211" i="2"/>
  <c r="H210" i="2"/>
  <c r="H209" i="2"/>
  <c r="H208" i="2"/>
  <c r="H207" i="2"/>
  <c r="H204" i="2"/>
  <c r="H203" i="2"/>
  <c r="H202" i="2"/>
  <c r="H201" i="2"/>
  <c r="H199" i="2"/>
  <c r="H198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0" i="2"/>
  <c r="H119" i="2"/>
  <c r="H118" i="2"/>
  <c r="H117" i="2"/>
  <c r="H116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4" i="2"/>
  <c r="H93" i="2"/>
  <c r="H92" i="2"/>
  <c r="H91" i="2"/>
  <c r="H90" i="2"/>
  <c r="H89" i="2"/>
  <c r="H88" i="2"/>
  <c r="H86" i="2"/>
  <c r="H85" i="2"/>
  <c r="H84" i="2"/>
  <c r="H83" i="2"/>
  <c r="H82" i="2"/>
  <c r="H81" i="2"/>
  <c r="H80" i="2"/>
  <c r="H79" i="2"/>
  <c r="H77" i="2"/>
  <c r="H76" i="2"/>
  <c r="H75" i="2"/>
  <c r="H74" i="2"/>
  <c r="H73" i="2"/>
  <c r="H72" i="2"/>
  <c r="H71" i="2"/>
  <c r="H70" i="2"/>
  <c r="H68" i="2"/>
  <c r="H66" i="2"/>
  <c r="H65" i="2"/>
  <c r="H64" i="2"/>
  <c r="H63" i="2"/>
  <c r="H62" i="2"/>
  <c r="H61" i="2"/>
  <c r="H60" i="2"/>
  <c r="H59" i="2"/>
  <c r="H58" i="2"/>
  <c r="H56" i="2"/>
  <c r="H55" i="2"/>
  <c r="H54" i="2"/>
  <c r="H53" i="2"/>
  <c r="H52" i="2"/>
  <c r="H51" i="2"/>
  <c r="H50" i="2"/>
  <c r="H49" i="2"/>
  <c r="H48" i="2"/>
  <c r="H47" i="2"/>
  <c r="H46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4" i="2"/>
  <c r="H23" i="2"/>
  <c r="H22" i="2"/>
  <c r="H21" i="2"/>
  <c r="H19" i="2"/>
  <c r="H18" i="2"/>
  <c r="H17" i="2"/>
  <c r="H16" i="2"/>
  <c r="H15" i="2"/>
  <c r="H14" i="2"/>
  <c r="H13" i="2"/>
  <c r="H11" i="2"/>
  <c r="H10" i="2"/>
  <c r="H9" i="2"/>
  <c r="H8" i="2"/>
  <c r="H7" i="2"/>
  <c r="H6" i="2"/>
  <c r="H5" i="2"/>
  <c r="H4" i="2"/>
  <c r="H3" i="2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5" i="1"/>
  <c r="H64" i="1"/>
  <c r="H62" i="1"/>
  <c r="H61" i="1"/>
  <c r="H60" i="1"/>
  <c r="H59" i="1"/>
  <c r="H58" i="1"/>
  <c r="H57" i="1"/>
  <c r="H56" i="1"/>
  <c r="H55" i="1"/>
  <c r="H54" i="1"/>
  <c r="H53" i="1"/>
  <c r="H52" i="1"/>
  <c r="H51" i="1"/>
  <c r="H49" i="1"/>
  <c r="H48" i="1"/>
  <c r="H47" i="1"/>
  <c r="H44" i="1"/>
  <c r="H43" i="1"/>
  <c r="H42" i="1"/>
  <c r="H41" i="1"/>
  <c r="H40" i="1"/>
  <c r="H39" i="1"/>
  <c r="H38" i="1"/>
  <c r="H37" i="1"/>
  <c r="H36" i="1"/>
  <c r="H35" i="1"/>
  <c r="H34" i="1"/>
  <c r="H33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3" i="1"/>
  <c r="H2" i="1"/>
</calcChain>
</file>

<file path=xl/sharedStrings.xml><?xml version="1.0" encoding="utf-8"?>
<sst xmlns="http://schemas.openxmlformats.org/spreadsheetml/2006/main" count="14456" uniqueCount="11055">
  <si>
    <t>latitude</t>
  </si>
  <si>
    <t>longitude</t>
  </si>
  <si>
    <t>latitude_dms</t>
  </si>
  <si>
    <t>longitude_dms</t>
  </si>
  <si>
    <t>LICENSEE</t>
  </si>
  <si>
    <t>civic_address</t>
  </si>
  <si>
    <t>Struture Type</t>
  </si>
  <si>
    <t>google_map</t>
  </si>
  <si>
    <t>Business Name/ Establishment Name</t>
  </si>
  <si>
    <t>Remarks</t>
  </si>
  <si>
    <t>Email / Phone</t>
  </si>
  <si>
    <t>Towers Expiration</t>
  </si>
  <si>
    <t>Title Holder</t>
  </si>
  <si>
    <t>46.578055556</t>
  </si>
  <si>
    <t>-64.0019444439999</t>
  </si>
  <si>
    <t>46 - 34 - 41.0</t>
  </si>
  <si>
    <t>64 - 0 - 7.0</t>
  </si>
  <si>
    <t>Orion Wireless Partnership</t>
  </si>
  <si>
    <t>Port Hill Station Road, Mount Pleasant, Rural Municipality of Central Prince, Prince County, Prince Edward Island, C0B 1J0, Canada</t>
  </si>
  <si>
    <t>46.8309</t>
  </si>
  <si>
    <t>-64.1410999999999</t>
  </si>
  <si>
    <t>46 - 49 - 51.24</t>
  </si>
  <si>
    <t>64 - 8 - 27.96</t>
  </si>
  <si>
    <t>193, Wells Road, Elmsdale, Prince County, Prince Edward Island, C0B 1K0, Canada</t>
  </si>
  <si>
    <t>46.3915555560001</t>
  </si>
  <si>
    <t>-63.792730556</t>
  </si>
  <si>
    <t>46 - 23 - 29.6</t>
  </si>
  <si>
    <t>63 - 47 - 33.83</t>
  </si>
  <si>
    <t>Bell Mobility Inc.</t>
  </si>
  <si>
    <t>310, Water Street, Summerside, City of Summerside, Prince County, Prince Edward Island, C1N 1B6, Canada</t>
  </si>
  <si>
    <t>46.705419444</t>
  </si>
  <si>
    <t>-64.220980556</t>
  </si>
  <si>
    <t>46 - 42 - 19.51</t>
  </si>
  <si>
    <t>64 - 13 - 15.53</t>
  </si>
  <si>
    <t>Bell Aliant O'Leary OLRYPE01RS1, 10, Pate Garden Drive, Town of O'Leary, O'Leary, Town of O'Leary, Prince County, Prince Edward Island, C0B 1V0, Canada</t>
  </si>
  <si>
    <t>46.5991666670001</t>
  </si>
  <si>
    <t>-63.9314388889999</t>
  </si>
  <si>
    <t>46 - 35 - 57.0</t>
  </si>
  <si>
    <t>63 - 55 - 53.18</t>
  </si>
  <si>
    <t>Bell Aliant Tyne Valley TYVYPE02, 7480, Route 12, Ellerslie-Bideford, Rural Municipality of Central Prince, Prince County, Prince Edward Island, C0B 1J0, Canada</t>
  </si>
  <si>
    <t>46.4196055560001</t>
  </si>
  <si>
    <t>-63.7586666669999</t>
  </si>
  <si>
    <t>46 - 25 - 10.58</t>
  </si>
  <si>
    <t>63 - 45 - 31.2</t>
  </si>
  <si>
    <t>Xplore Inc.</t>
  </si>
  <si>
    <t>PEI Snowmobile Trail 100 (Confederation Trail Tignish-Emerald Junction), Summerside, City of Summerside, Prince County, Prince Edward Island, C1N 4J8, Canada</t>
  </si>
  <si>
    <t>46.830555556</t>
  </si>
  <si>
    <t>-64.1408472219999</t>
  </si>
  <si>
    <t>46 - 49 - 50.0</t>
  </si>
  <si>
    <t>64 - 8 - 27.05</t>
  </si>
  <si>
    <t>Rogers Communications Canada Inc.</t>
  </si>
  <si>
    <t>191, Wells Road, Elmsdale, Prince County, Prince Edward Island, C0B 1K0, Canada</t>
  </si>
  <si>
    <t>46.606472222</t>
  </si>
  <si>
    <t>-63.936222222</t>
  </si>
  <si>
    <t>46 - 36 - 23.3</t>
  </si>
  <si>
    <t>63 - 56 - 10.4</t>
  </si>
  <si>
    <t>1207, Ellerslie Road, Ellerslie-Bideford, Rural Municipality of Central Prince, Prince County, Prince Edward Island, C0B 1J0, Canada</t>
  </si>
  <si>
    <t>46.3891944440001</t>
  </si>
  <si>
    <t>-63.782502778</t>
  </si>
  <si>
    <t>46 - 23 - 21.1</t>
  </si>
  <si>
    <t>63 - 46 - 57.01</t>
  </si>
  <si>
    <t>Holland College, Summerside Baywalk, Summerside, City of Summerside, Prince County, Prince Edward Island, C1N 4N6, Canada</t>
  </si>
  <si>
    <t>46.403269444</t>
  </si>
  <si>
    <t>-63.7520388889999</t>
  </si>
  <si>
    <t>46 - 24 - 11.77</t>
  </si>
  <si>
    <t>63 - 45 - 7.34</t>
  </si>
  <si>
    <t>Bragg Communications Inc.</t>
  </si>
  <si>
    <t>Confederation Trail, Summerside, City of Summerside, Prince County, Prince Edward Island, C1N 4J6, Canada</t>
  </si>
  <si>
    <t>46.948888889</t>
  </si>
  <si>
    <t>-64.0655555559999</t>
  </si>
  <si>
    <t>46 - 56 - 56.0</t>
  </si>
  <si>
    <t>64 - 3 - 56.0</t>
  </si>
  <si>
    <t>Confederation Trail, Harper, Town of Alberton, Prince County, Prince Edward Island, C0B 1Z0, Canada</t>
  </si>
  <si>
    <t>46.452855556</t>
  </si>
  <si>
    <t>-64.0771694439999</t>
  </si>
  <si>
    <t>46 - 27 - 10.28</t>
  </si>
  <si>
    <t>64 - 4 - 37.81</t>
  </si>
  <si>
    <t>Evangeline Recreation Centre, Route 124, Rural Municipality of Abram-Village, Prince County, Prince Edward Island, Canada</t>
  </si>
  <si>
    <t>46.8309333330001</t>
  </si>
  <si>
    <t>-64.141125</t>
  </si>
  <si>
    <t>46 - 49 - 51.36</t>
  </si>
  <si>
    <t>64 - 8 - 28.05</t>
  </si>
  <si>
    <t>46.8931166670001</t>
  </si>
  <si>
    <t>-64.115813889</t>
  </si>
  <si>
    <t>46 - 53 - 35.22</t>
  </si>
  <si>
    <t>64 - 6 - 56.93</t>
  </si>
  <si>
    <t>Union Road, St Louis, Prince County, Prince Edward Island, C0B 1Z0, Canada</t>
  </si>
  <si>
    <t>46.7114</t>
  </si>
  <si>
    <t>-64.2205999999999</t>
  </si>
  <si>
    <t>46 - 42 - 41.04</t>
  </si>
  <si>
    <t>64 - 13 - 14.16</t>
  </si>
  <si>
    <t>148, Gaspe Road, Town of O'Leary, O'Leary, Town of O'Leary, Prince County, Prince Edward Island, C0B 1V0, Canada</t>
  </si>
  <si>
    <t>46.4114000000001</t>
  </si>
  <si>
    <t>-63.8018999999999</t>
  </si>
  <si>
    <t>46 - 24 - 41.04</t>
  </si>
  <si>
    <t>63 - 48 - 6.84</t>
  </si>
  <si>
    <t>57, Mill Crescent, Summerside, City of Summerside, Prince County, Prince Edward Island, C1N 6E8, Canada</t>
  </si>
  <si>
    <t>46.9366694440001</t>
  </si>
  <si>
    <t>-64.033491667</t>
  </si>
  <si>
    <t>46 - 56 - 12.01</t>
  </si>
  <si>
    <t>64 - 2 - 0.57</t>
  </si>
  <si>
    <t>Mill Road, Tignish, St. Felix, Rural Municipality of St. Felix, Prince County, Prince Edward Island, C0B 2B0, Canada</t>
  </si>
  <si>
    <t>46.4642111110001</t>
  </si>
  <si>
    <t>-63.980161111</t>
  </si>
  <si>
    <t>46 - 27 - 51.16</t>
  </si>
  <si>
    <t>63 - 58 - 48.58</t>
  </si>
  <si>
    <t>30476, Western Road, Wellington Centre, Rural Municipality of Central Prince, Prince County, Prince Edward Island, C0B 1Y0, Canada</t>
  </si>
  <si>
    <t>46.394088889</t>
  </si>
  <si>
    <t>-63.776638889</t>
  </si>
  <si>
    <t>46 - 23 - 38.72</t>
  </si>
  <si>
    <t>63 - 46 - 35.9</t>
  </si>
  <si>
    <t>Confederation Trail, Summerside, City of Summerside, Prince County, Prince Edward Island, C1N 4H8, Canada</t>
  </si>
  <si>
    <t>46.815555556</t>
  </si>
  <si>
    <t>-64.0630555559999</t>
  </si>
  <si>
    <t>46 - 48 - 56.0</t>
  </si>
  <si>
    <t>64 - 3 - 47.0</t>
  </si>
  <si>
    <t>Bell Aliant Alberton ALTNPE01RS1, 142, Dufferin Street, Alberton, Town of Alberton, Prince County, Prince Edward Island, C0B 1B0, Canada</t>
  </si>
  <si>
    <t>46.4144388890001</t>
  </si>
  <si>
    <t>-63.783888889</t>
  </si>
  <si>
    <t>46 - 24 - 51.98</t>
  </si>
  <si>
    <t>63 - 47 - 2.0</t>
  </si>
  <si>
    <t>Walker Avenue, Summerside, City of Summerside, Prince County, Prince Edward Island, C1N 4K6, Canada</t>
  </si>
  <si>
    <t>46.434480556</t>
  </si>
  <si>
    <t>-63.874819444</t>
  </si>
  <si>
    <t>46 - 26 - 4.13</t>
  </si>
  <si>
    <t>63 - 52 - 29.35</t>
  </si>
  <si>
    <t>Main Drive West, Miscouche, Rural Municipality of Miscouche, Prince County, Prince Edward Island, C0B 1T0, Canada</t>
  </si>
  <si>
    <t>46.464166667</t>
  </si>
  <si>
    <t>-63.979694444</t>
  </si>
  <si>
    <t>46 - 27 - 51.0</t>
  </si>
  <si>
    <t>63 - 58 - 46.9</t>
  </si>
  <si>
    <t>46.7053000000001</t>
  </si>
  <si>
    <t>-64.2207999999999</t>
  </si>
  <si>
    <t>46 - 42 - 19.08</t>
  </si>
  <si>
    <t>64 - 13 - 14.88</t>
  </si>
  <si>
    <t>46.407875</t>
  </si>
  <si>
    <t>-63.804277778</t>
  </si>
  <si>
    <t>46 - 24 - 28.35</t>
  </si>
  <si>
    <t>63 - 48 - 15.4</t>
  </si>
  <si>
    <t>Confederation Trail, Linkletter, Summerside, City of Summerside, Prince County, Prince Edward Island, C1N 6E8, Canada</t>
  </si>
  <si>
    <t>46.948902778</t>
  </si>
  <si>
    <t>-64.065836111</t>
  </si>
  <si>
    <t>46 - 56 - 56.05</t>
  </si>
  <si>
    <t>64 - 3 - 57.01</t>
  </si>
  <si>
    <t>46.936672222</t>
  </si>
  <si>
    <t>-64.033530556</t>
  </si>
  <si>
    <t>46 - 56 - 12.02</t>
  </si>
  <si>
    <t>64 - 2 - 0.71</t>
  </si>
  <si>
    <t>46.688261111</t>
  </si>
  <si>
    <t>-64.3358805559999</t>
  </si>
  <si>
    <t>46 - 41 - 17.74</t>
  </si>
  <si>
    <t>64 - 20 - 9.17</t>
  </si>
  <si>
    <t>3702, O'Leary Road, Springfield West, Prince County, Prince Edward Island, Canada</t>
  </si>
  <si>
    <t>46.4328</t>
  </si>
  <si>
    <t>-63.866697222</t>
  </si>
  <si>
    <t>46 - 25 - 58.08</t>
  </si>
  <si>
    <t>63 - 52 - 0.11</t>
  </si>
  <si>
    <t>St John the Baptist Catholic Church, Lady Slipper Drive North, Miscouche, Rural Municipality of Miscouche, Prince County, Prince Edward Island, C0B 1T0, Canada</t>
  </si>
  <si>
    <t>46.8952416670001</t>
  </si>
  <si>
    <t>-64.148288889</t>
  </si>
  <si>
    <t>46 - 53 - 42.87</t>
  </si>
  <si>
    <t>64 - 8 - 53.84</t>
  </si>
  <si>
    <t>942, Thompson Road, Palmer Road, Prince County, Prince Edward Island, C0B 1Z0, Canada</t>
  </si>
  <si>
    <t>46.711402778</t>
  </si>
  <si>
    <t>-64.2205638889999</t>
  </si>
  <si>
    <t>46 - 42 - 41.05</t>
  </si>
  <si>
    <t>64 - 13 - 14.03</t>
  </si>
  <si>
    <t>46.651511111</t>
  </si>
  <si>
    <t>-64.038561111</t>
  </si>
  <si>
    <t>46 - 39 - 5.44</t>
  </si>
  <si>
    <t>64 - 2 - 18.82</t>
  </si>
  <si>
    <t>Gillis Road, Portage, Rural Municipality of Central Prince, Prince County, Prince Edward Island, Canada</t>
  </si>
  <si>
    <t>46.4169444440001</t>
  </si>
  <si>
    <t>-63.7790138889999</t>
  </si>
  <si>
    <t>46 - 25 - 1.0</t>
  </si>
  <si>
    <t>63 - 46 - 44.45</t>
  </si>
  <si>
    <t>Granville Street, Summerside, City of Summerside, Prince County, Prince Edward Island, C1N 5J4, Canada</t>
  </si>
  <si>
    <t>46.4614472220001</t>
  </si>
  <si>
    <t>-64.051458333</t>
  </si>
  <si>
    <t>46 - 27 - 41.21</t>
  </si>
  <si>
    <t>64 - 3 - 5.25</t>
  </si>
  <si>
    <t>910, Route 124, Urbainville, Prince County, Prince Edward Island, Canada</t>
  </si>
  <si>
    <t>46.9489</t>
  </si>
  <si>
    <t>-64.0658</t>
  </si>
  <si>
    <t>46 - 56 - 56.04</t>
  </si>
  <si>
    <t>64 - 3 - 56.88</t>
  </si>
  <si>
    <t>46.8160333330001</t>
  </si>
  <si>
    <t>-64.063247222</t>
  </si>
  <si>
    <t>46 - 48 - 57.72</t>
  </si>
  <si>
    <t>64 - 3 - 47.69</t>
  </si>
  <si>
    <t>142, Dufferin Street, Alberton, Town of Alberton, Prince County, Prince Edward Island, C0B 1B0, Canada</t>
  </si>
  <si>
    <t>46.2481611110001</t>
  </si>
  <si>
    <t>-63.702580556</t>
  </si>
  <si>
    <t>46 - 14 - 53.38</t>
  </si>
  <si>
    <t>63 - 42 - 9.29</t>
  </si>
  <si>
    <t>TELUS Communications Inc.</t>
  </si>
  <si>
    <t>4, Borden Avenue, Borden-Carleton, Town of Borden-Carleton, Prince County, Prince Edward Island, C0B 1X0, Canada</t>
  </si>
  <si>
    <t>46.4642000000001</t>
  </si>
  <si>
    <t>-63.98</t>
  </si>
  <si>
    <t>46 - 27 - 51.12</t>
  </si>
  <si>
    <t>63 - 58 - 48.0</t>
  </si>
  <si>
    <t>46.417427778</t>
  </si>
  <si>
    <t>-63.772972222</t>
  </si>
  <si>
    <t>46 - 25 - 2.74</t>
  </si>
  <si>
    <t>63 - 46 - 22.7</t>
  </si>
  <si>
    <t>Prince County Hospital, 65, Roy Boates Avenue, Summerside, City of Summerside, Prince County, Prince Edward Island, C1N 2A9, Canada</t>
  </si>
  <si>
    <t>46.711388889</t>
  </si>
  <si>
    <t>-64.220555556</t>
  </si>
  <si>
    <t>46 - 42 - 41.0</t>
  </si>
  <si>
    <t>64 - 13 - 14.0</t>
  </si>
  <si>
    <t>-63.8018</t>
  </si>
  <si>
    <t>63 - 48 - 6.48</t>
  </si>
  <si>
    <t>46.4172333330001</t>
  </si>
  <si>
    <t>-63.7802166669999</t>
  </si>
  <si>
    <t>46 - 25 - 2.04</t>
  </si>
  <si>
    <t>63 - 46 - 48.78</t>
  </si>
  <si>
    <t>451, Granville Street, Summerside, City of Summerside, Prince County, Prince Edward Island, C1N 5J4, Canada</t>
  </si>
  <si>
    <t>46.830808333</t>
  </si>
  <si>
    <t>-64.1410611109999</t>
  </si>
  <si>
    <t>46 - 49 - 50.91</t>
  </si>
  <si>
    <t>64 - 8 - 27.82</t>
  </si>
  <si>
    <t>46.5780722220001</t>
  </si>
  <si>
    <t>-64.001963889</t>
  </si>
  <si>
    <t>46 - 34 - 41.06</t>
  </si>
  <si>
    <t>64 - 0 - 7.07</t>
  </si>
  <si>
    <t>46.5989361110001</t>
  </si>
  <si>
    <t>-63.931830556</t>
  </si>
  <si>
    <t>46 - 35 - 56.17</t>
  </si>
  <si>
    <t>63 - 55 - 54.59</t>
  </si>
  <si>
    <t>7478, Route 12, Ellerslie-Bideford, Rural Municipality of Central Prince, Prince County, Prince Edward Island, C0B 1J0, Canada</t>
  </si>
  <si>
    <t>46.391388889</t>
  </si>
  <si>
    <t>-63.790280556</t>
  </si>
  <si>
    <t>46 - 23 - 29.0</t>
  </si>
  <si>
    <t>63 - 47 - 25.01</t>
  </si>
  <si>
    <t>Holman Centre, 250, Water Street, Summerside, City of Summerside, Prince County, Prince Edward Island, C1N 1B6, Canada</t>
  </si>
  <si>
    <t>46.824825</t>
  </si>
  <si>
    <t>-64.1242972219999</t>
  </si>
  <si>
    <t>46 - 49 - 29.37</t>
  </si>
  <si>
    <t>64 - 7 - 27.47</t>
  </si>
  <si>
    <t>Dock Road, Elmsdale, Prince County, Prince Edward Island, C0B 1K0, Canada</t>
  </si>
  <si>
    <t>46.4606055560001</t>
  </si>
  <si>
    <t>-64.0529999999999</t>
  </si>
  <si>
    <t>46 - 27 - 38.18</t>
  </si>
  <si>
    <t>64 - 3 - 10.8</t>
  </si>
  <si>
    <t>938, Route 124, Urbainville, Prince County, Prince Edward Island, Canada</t>
  </si>
  <si>
    <t>-63.801802778</t>
  </si>
  <si>
    <t>63 - 48 - 6.49</t>
  </si>
  <si>
    <t>46.4127611110001</t>
  </si>
  <si>
    <t>-63.7817416669999</t>
  </si>
  <si>
    <t>46 - 24 - 45.94</t>
  </si>
  <si>
    <t>63 - 46 - 54.27</t>
  </si>
  <si>
    <t>477, Granville Street, Summerside, City of Summerside, Prince County, Prince Edward Island, C1N 5J4, Canada</t>
  </si>
  <si>
    <t>46.309</t>
  </si>
  <si>
    <t>-63.072761111</t>
  </si>
  <si>
    <t>46 - 18 - 32.4</t>
  </si>
  <si>
    <t>63 - 4 - 21.94</t>
  </si>
  <si>
    <t>Marshfield, Queens County, Prince Edward Island, Canada</t>
  </si>
  <si>
    <t>46.196613889</t>
  </si>
  <si>
    <t>-62.881227778</t>
  </si>
  <si>
    <t>46 - 11 - 47.81</t>
  </si>
  <si>
    <t>62 - 52 - 52.42</t>
  </si>
  <si>
    <t>Route 3, Millview, Town of Three Rivers, Queens County, Prince Edward Island, C0A 2E0, Canada</t>
  </si>
  <si>
    <t>46.3458527780001</t>
  </si>
  <si>
    <t>-63.6928583329999</t>
  </si>
  <si>
    <t>46 - 20 - 45.07</t>
  </si>
  <si>
    <t>63 - 41 - 34.29</t>
  </si>
  <si>
    <t>Gardiner Road, Central Bedeque, Prince County, Prince Edward Island, C1N 4J9, Canada</t>
  </si>
  <si>
    <t>46.407530556</t>
  </si>
  <si>
    <t>-62.532047222</t>
  </si>
  <si>
    <t>46 - 24 - 27.11</t>
  </si>
  <si>
    <t>62 - 31 - 55.37</t>
  </si>
  <si>
    <t>41, Five Houses Road, Kings County, Prince Edward Island, C0A 2A0, Canada</t>
  </si>
  <si>
    <t>46.255461111</t>
  </si>
  <si>
    <t>-63.110311111</t>
  </si>
  <si>
    <t>46 - 15 - 19.66</t>
  </si>
  <si>
    <t>63 - 6 - 37.12</t>
  </si>
  <si>
    <t>Belvedere Golf &amp; Country Club, Greensview Drive, Hillsborough Park, Charlottetown, City of Charlottetown, Queens County, Prince Edward Island, C1A 8S5, Canada</t>
  </si>
  <si>
    <t>46.268611111</t>
  </si>
  <si>
    <t>-63.6347222219999</t>
  </si>
  <si>
    <t>46 - 16 - 7.0</t>
  </si>
  <si>
    <t>63 - 38 - 5.0</t>
  </si>
  <si>
    <t>Trans Canada Highway, Cape Traverse, Prince County, Prince Edward Island, C0B 1A0, Canada</t>
  </si>
  <si>
    <t>46.245116667</t>
  </si>
  <si>
    <t>-62.6228694439999</t>
  </si>
  <si>
    <t>46 - 14 - 42.42</t>
  </si>
  <si>
    <t>62 - 37 - 22.33</t>
  </si>
  <si>
    <t>Bell Aliant Cardigan CRDGPE02RS1, 4217, Chapel Road, Cardigan, Town of Three Rivers, Kings County, Prince Edward Island, Canada</t>
  </si>
  <si>
    <t>46.0081916670001</t>
  </si>
  <si>
    <t>-62.592913889</t>
  </si>
  <si>
    <t>46 - 0 - 29.49</t>
  </si>
  <si>
    <t>62 - 35 - 34.49</t>
  </si>
  <si>
    <t>Pioneer Cemetary Road, Murray River, Kings County, Prince Edward Island, C0A 1W0, Canada</t>
  </si>
  <si>
    <t>46.2560194440001</t>
  </si>
  <si>
    <t>-63.1007888889999</t>
  </si>
  <si>
    <t>46 - 15 - 21.67</t>
  </si>
  <si>
    <t>63 - 6 - 2.84</t>
  </si>
  <si>
    <t>Queen Elizabeth Hospital, 60, Riverside Drive, Charlottetown, City of Charlottetown, Queens County, Prince Edward Island, C1A 8T5, Canada</t>
  </si>
  <si>
    <t>46.334719444</t>
  </si>
  <si>
    <t>-63.429897222</t>
  </si>
  <si>
    <t>46 - 20 - 4.99</t>
  </si>
  <si>
    <t>63 - 25 - 47.63</t>
  </si>
  <si>
    <t>689, Fredericton Station Road, Glen Valley, Springton, Queens County, Prince Edward Island, C0B 1N0, Canada</t>
  </si>
  <si>
    <t>46.268808333</t>
  </si>
  <si>
    <t>-63.634655556</t>
  </si>
  <si>
    <t>46 - 16 - 7.71</t>
  </si>
  <si>
    <t>63 - 38 - 4.76</t>
  </si>
  <si>
    <t>46.341525</t>
  </si>
  <si>
    <t>-62.8400694439999</t>
  </si>
  <si>
    <t>46 - 20 - 29.49</t>
  </si>
  <si>
    <t>62 - 50 - 24.25</t>
  </si>
  <si>
    <t>376, Old Cardigan Road, Mount Stewart, Queens County, Prince Edward Island, C0A 1T0, Canada</t>
  </si>
  <si>
    <t>46.375711111</t>
  </si>
  <si>
    <t>-62.345411111</t>
  </si>
  <si>
    <t>46 - 22 - 32.56</t>
  </si>
  <si>
    <t>62 - 20 - 43.48</t>
  </si>
  <si>
    <t>Bear River Road, Bear River South, Kings County, Prince Edward Island, Canada</t>
  </si>
  <si>
    <t>46.4559</t>
  </si>
  <si>
    <t>-63.3654999999999</t>
  </si>
  <si>
    <t>46 - 27 - 21.24</t>
  </si>
  <si>
    <t>63 - 21 - 55.8</t>
  </si>
  <si>
    <t>Route 241, Mayfield, Queens County, Prince Edward Island, C0A 1N0, Canada</t>
  </si>
  <si>
    <t>46.3182694440001</t>
  </si>
  <si>
    <t>-62.504966667</t>
  </si>
  <si>
    <t>46 - 19 - 5.77</t>
  </si>
  <si>
    <t>62 - 30 - 17.88</t>
  </si>
  <si>
    <t>1301, Dundas Road, Dundas, Rural Municipality of Central Kings, Kings County, Prince Edward Island, Canada</t>
  </si>
  <si>
    <t>46.42375</t>
  </si>
  <si>
    <t>-62.091519444</t>
  </si>
  <si>
    <t>46 - 25 - 25.5</t>
  </si>
  <si>
    <t>62 - 5 - 29.47</t>
  </si>
  <si>
    <t>Munns Road, Kingsboro, Rural Municipality of Eastern Kings, Kings County, Prince Edward Island, C0A 1K0, Canada</t>
  </si>
  <si>
    <t>46.314308333</t>
  </si>
  <si>
    <t>-63.186958333</t>
  </si>
  <si>
    <t>46 - 18 - 51.51</t>
  </si>
  <si>
    <t>63 - 11 - 13.05</t>
  </si>
  <si>
    <t>Winsloe Road, Charlottetown, Winsloe South, Rural Municipality of Brackley, Queens County, Prince Edward Island, C1E 1Z4, Canada</t>
  </si>
  <si>
    <t>46.212327778</t>
  </si>
  <si>
    <t>-63.3417388889999</t>
  </si>
  <si>
    <t>46 - 12 - 44.38</t>
  </si>
  <si>
    <t>63 - 20 - 30.26</t>
  </si>
  <si>
    <t>16217, Trans Canada Highway, Riverdale, Rural Municipality of Bonshaw, Queens County, Prince Edward Island, Canada</t>
  </si>
  <si>
    <t>46.4777777780001</t>
  </si>
  <si>
    <t>-63.395830556</t>
  </si>
  <si>
    <t>46 - 28 - 40.0</t>
  </si>
  <si>
    <t>63 - 23 - 44.99</t>
  </si>
  <si>
    <t>269, Eagles Glenn Boulevard, Cavendish, Resort Municipality of Stanley Bridge, Hope River, Bayview, Cavendish and North Rustico, Queens County, Prince Edward Island, Canada</t>
  </si>
  <si>
    <t>46.4878194440001</t>
  </si>
  <si>
    <t>-63.402561111</t>
  </si>
  <si>
    <t>46 - 29 - 16.15</t>
  </si>
  <si>
    <t>63 - 24 - 9.22</t>
  </si>
  <si>
    <t>PEI Liquor, Cavendish Road, Cavendish, Resort Municipality of Stanley Bridge, Hope River, Bayview, Cavendish and North Rustico, Queens County, Prince Edward Island, Canada</t>
  </si>
  <si>
    <t>46.1494555560001</t>
  </si>
  <si>
    <t>-62.607980556</t>
  </si>
  <si>
    <t>46 - 8 - 58.04</t>
  </si>
  <si>
    <t>62 - 36 - 28.73</t>
  </si>
  <si>
    <t>350, Campbell Road, Whim Road, Town of Three Rivers, Kings County, Prince Edward Island, C0A 1R0, Canada</t>
  </si>
  <si>
    <t>46.2836194440001</t>
  </si>
  <si>
    <t>-63.119238889</t>
  </si>
  <si>
    <t>46 - 17 - 1.03</t>
  </si>
  <si>
    <t>63 - 7 - 9.26</t>
  </si>
  <si>
    <t>Norwood Road, Charlottetown, City of Charlottetown, Queens County, Prince Edward Island, C1C 1N2, Canada</t>
  </si>
  <si>
    <t>46.3891611110001</t>
  </si>
  <si>
    <t>-62.647230556</t>
  </si>
  <si>
    <t>46 - 23 - 20.98</t>
  </si>
  <si>
    <t>62 - 38 - 50.03</t>
  </si>
  <si>
    <t>481, Milburn Road, Marie, Kings County, Prince Edward Island, Canada</t>
  </si>
  <si>
    <t>46.1967277780001</t>
  </si>
  <si>
    <t>-62.8812944439999</t>
  </si>
  <si>
    <t>46 - 11 - 48.22</t>
  </si>
  <si>
    <t>62 - 52 - 52.66</t>
  </si>
  <si>
    <t>46.3337500000001</t>
  </si>
  <si>
    <t>-63.4293916669999</t>
  </si>
  <si>
    <t>46 - 20 - 1.5</t>
  </si>
  <si>
    <t>63 - 25 - 45.81</t>
  </si>
  <si>
    <t>713, Fredericton Station Road, Glen Valley, Springton, Queens County, Prince Edward Island, C0B 1N0, Canada</t>
  </si>
  <si>
    <t>46.3356055560001</t>
  </si>
  <si>
    <t>-63.034827778</t>
  </si>
  <si>
    <t>46 - 20 - 8.18</t>
  </si>
  <si>
    <t>63 - 2 - 5.38</t>
  </si>
  <si>
    <t>Confederation Trail, Union Road, Dunstaffnage, Queens County, Prince Edward Island, C0A 1P0, Canada</t>
  </si>
  <si>
    <t>46.4179333330001</t>
  </si>
  <si>
    <t>-62.7710222219999</t>
  </si>
  <si>
    <t>46 - 25 - 4.56</t>
  </si>
  <si>
    <t>62 - 46 - 15.68</t>
  </si>
  <si>
    <t>117, Old Lake Road, Kings County, Prince Edward Island, Canada</t>
  </si>
  <si>
    <t>46.241008333</t>
  </si>
  <si>
    <t>-63.486911111</t>
  </si>
  <si>
    <t>46 - 14 - 27.63</t>
  </si>
  <si>
    <t>63 - 29 - 12.88</t>
  </si>
  <si>
    <t>211, Route 13, Crapaud, Rural Municipality of Crapaud, Queens County, Prince Edward Island, C0A 1J0, Canada</t>
  </si>
  <si>
    <t>46.2796138890001</t>
  </si>
  <si>
    <t>-63.6231888889999</t>
  </si>
  <si>
    <t>46 - 16 - 46.61</t>
  </si>
  <si>
    <t>63 - 37 - 23.48</t>
  </si>
  <si>
    <t>Old Trans Canada Road, Prince County, Prince Edward Island, Canada</t>
  </si>
  <si>
    <t>46.263888889</t>
  </si>
  <si>
    <t>-63.168888889</t>
  </si>
  <si>
    <t>46 - 15 - 50.0</t>
  </si>
  <si>
    <t>63 - 10 - 8.0</t>
  </si>
  <si>
    <t>Nicholas Lane, West Royalty, Charlottetown, City of Charlottetown, Queens County, Prince Edward Island, C1E 1J8, Canada</t>
  </si>
  <si>
    <t>46.357027778</t>
  </si>
  <si>
    <t>-62.255258333</t>
  </si>
  <si>
    <t>46 - 21 - 25.3</t>
  </si>
  <si>
    <t>62 - 15 - 18.93</t>
  </si>
  <si>
    <t>Confederation Trail, Town of Souris, Rural Municipality of Eastern Kings, Kings County, Prince Edward Island, C0A 2B0, Canada</t>
  </si>
  <si>
    <t>46.335608333</t>
  </si>
  <si>
    <t>-63.0348</t>
  </si>
  <si>
    <t>46 - 20 - 8.19</t>
  </si>
  <si>
    <t>63 - 2 - 5.28</t>
  </si>
  <si>
    <t>46.2411083330001</t>
  </si>
  <si>
    <t>-63.124441667</t>
  </si>
  <si>
    <t>46 - 14 - 27.99</t>
  </si>
  <si>
    <t>63 - 7 - 27.99</t>
  </si>
  <si>
    <t>Perfection Foods, 215, Fitzroy Street, Downtown, Charlottetown, City of Charlottetown, Queens County, Prince Edward Island, C1A 1X3, Canada</t>
  </si>
  <si>
    <t>46.414516667</t>
  </si>
  <si>
    <t>-62.772525</t>
  </si>
  <si>
    <t>46 - 24 - 52.26</t>
  </si>
  <si>
    <t>62 - 46 - 21.09</t>
  </si>
  <si>
    <t>35, Old Lake Road, Kings County, Prince Edward Island, Canada</t>
  </si>
  <si>
    <t>45.978788889</t>
  </si>
  <si>
    <t>-62.7707944439999</t>
  </si>
  <si>
    <t>45 - 58 - 43.64</t>
  </si>
  <si>
    <t>62 - 46 - 14.86</t>
  </si>
  <si>
    <t>316, Crawfords Road, Wood Islands, Rural Municipality of Belfast, Queens County, Prince Edward Island, C0A 1B0, Canada</t>
  </si>
  <si>
    <t>46.4909388890001</t>
  </si>
  <si>
    <t>-63.377427778</t>
  </si>
  <si>
    <t>46 - 29 - 27.38</t>
  </si>
  <si>
    <t>63 - 22 - 38.74</t>
  </si>
  <si>
    <t>Cavendish Road, Cavendish, Resort Municipality of Stanley Bridge, Hope River, Bayview, Cavendish and North Rustico, Queens County, Prince Edward Island, Canada</t>
  </si>
  <si>
    <t>46.4549777780001</t>
  </si>
  <si>
    <t>-63.372147222</t>
  </si>
  <si>
    <t>46 - 27 - 17.92</t>
  </si>
  <si>
    <t>63 - 22 - 19.73</t>
  </si>
  <si>
    <t>46.2140305560001</t>
  </si>
  <si>
    <t>-63.0724999999999</t>
  </si>
  <si>
    <t>46 - 12 - 50.51</t>
  </si>
  <si>
    <t>63 - 4 - 21.0</t>
  </si>
  <si>
    <t>45, Georgetown Road, Cross Roads, Tea Hill, Stratford, Town of Stratford, Queens County, Prince Edward Island, C1B 2W2, Canada</t>
  </si>
  <si>
    <t>46.3929416670001</t>
  </si>
  <si>
    <t>-63.0846611109999</t>
  </si>
  <si>
    <t>46 - 23 - 34.59</t>
  </si>
  <si>
    <t>63 - 5 - 4.78</t>
  </si>
  <si>
    <t>2194, Friston Road, Stanhope, Rural Municipality of North Shore, Queens County, Prince Edward Island, Canada</t>
  </si>
  <si>
    <t>46.2122694440001</t>
  </si>
  <si>
    <t>-62.7521555559999</t>
  </si>
  <si>
    <t>46 - 12 - 44.17</t>
  </si>
  <si>
    <t>62 - 45 - 7.76</t>
  </si>
  <si>
    <t>Route 3, Summerville, Town of Three Rivers, Kings County, Prince Edward Island, Canada</t>
  </si>
  <si>
    <t>46.2408500000001</t>
  </si>
  <si>
    <t>-63.48275</t>
  </si>
  <si>
    <t>46 - 14 - 27.06</t>
  </si>
  <si>
    <t>63 - 28 - 57.9</t>
  </si>
  <si>
    <t>307, Route 13, Crapaud, Rural Municipality of Crapaud, Queens County, Prince Edward Island, C0A 1J0, Canada</t>
  </si>
  <si>
    <t>46.283611111</t>
  </si>
  <si>
    <t>-63.1191666669999</t>
  </si>
  <si>
    <t>46 - 17 - 1.0</t>
  </si>
  <si>
    <t>63 - 7 - 9.0</t>
  </si>
  <si>
    <t>46.2827972220001</t>
  </si>
  <si>
    <t>-63.6222361109999</t>
  </si>
  <si>
    <t>46 - 16 - 58.07</t>
  </si>
  <si>
    <t>63 - 37 - 20.05</t>
  </si>
  <si>
    <t>FIDO SOLUTIONS INC.</t>
  </si>
  <si>
    <t>46.1494500000001</t>
  </si>
  <si>
    <t>-62.607791667</t>
  </si>
  <si>
    <t>46 - 8 - 58.02</t>
  </si>
  <si>
    <t>62 - 36 - 28.05</t>
  </si>
  <si>
    <t>352, Campbell Road, Whim Road, Town of Three Rivers, Kings County, Prince Edward Island, C0A 1R0, Canada</t>
  </si>
  <si>
    <t>46.2355555560001</t>
  </si>
  <si>
    <t>-63.1288888889999</t>
  </si>
  <si>
    <t>46 - 14 - 8.0</t>
  </si>
  <si>
    <t>63 - 7 - 44.0</t>
  </si>
  <si>
    <t>Denis Office Supplies, 111, Kent Street, Downtown, Charlottetown, City of Charlottetown, Queens County, Prince Edward Island, C1A 1P2, Canada</t>
  </si>
  <si>
    <t>46.2316555560001</t>
  </si>
  <si>
    <t>-63.123936111</t>
  </si>
  <si>
    <t>46 - 13 - 53.96</t>
  </si>
  <si>
    <t>63 - 7 - 26.17</t>
  </si>
  <si>
    <t>Delta Prince Edward Hotel, 18, Queen Street, Downtown, Charlottetown, City of Charlottetown, Queens County, Prince Edward Island, C1A 8R4, Canada</t>
  </si>
  <si>
    <t>46.359169444</t>
  </si>
  <si>
    <t>-62.6344694439999</t>
  </si>
  <si>
    <t>46 - 21 - 33.01</t>
  </si>
  <si>
    <t>62 - 38 - 4.09</t>
  </si>
  <si>
    <t>Milburn Road, Marie, Kings County, Prince Edward Island, Canada</t>
  </si>
  <si>
    <t>46.1972222220001</t>
  </si>
  <si>
    <t>-63.404722222</t>
  </si>
  <si>
    <t>46 - 11 - 50.0</t>
  </si>
  <si>
    <t>63 - 24 - 17.0</t>
  </si>
  <si>
    <t>17644, Trans Canada Highway, Desable, Rural Municipality of Bonshaw, Queens County, Prince Edward Island, Canada</t>
  </si>
  <si>
    <t>46.391336111</t>
  </si>
  <si>
    <t>-63.214733333</t>
  </si>
  <si>
    <t>46 - 23 - 28.81</t>
  </si>
  <si>
    <t>63 - 12 - 53.04</t>
  </si>
  <si>
    <t>193, Ling Road, Oyster Bed Bridge, Queens County, Prince Edward Island, C1E 1Z3, Canada</t>
  </si>
  <si>
    <t>46.262538889</t>
  </si>
  <si>
    <t>-63.139319444</t>
  </si>
  <si>
    <t>46 - 15 - 45.14</t>
  </si>
  <si>
    <t>63 - 8 - 21.55</t>
  </si>
  <si>
    <t>Confederation Trail, Experimental Farm, Charlottetown, City of Charlottetown, Queens County, Prince Edward Island, C1A 5T1, Canada</t>
  </si>
  <si>
    <t>46.254125</t>
  </si>
  <si>
    <t>-63.121280556</t>
  </si>
  <si>
    <t>46 - 15 - 14.85</t>
  </si>
  <si>
    <t>63 - 7 - 16.61</t>
  </si>
  <si>
    <t>44, Palmers Lane, Parkdale, Charlottetown, City of Charlottetown, Queens County, Prince Edward Island, C1A 9R9, Canada</t>
  </si>
  <si>
    <t>46.241183333</t>
  </si>
  <si>
    <t>-63.482716667</t>
  </si>
  <si>
    <t>46 - 14 - 28.26</t>
  </si>
  <si>
    <t>63 - 28 - 57.78</t>
  </si>
  <si>
    <t>46.192283333</t>
  </si>
  <si>
    <t>-63.3426527779999</t>
  </si>
  <si>
    <t>46 - 11 - 32.22</t>
  </si>
  <si>
    <t>63 - 20 - 33.55</t>
  </si>
  <si>
    <t>St. Catherines Trail, Bonshaw, Rural Municipality of Bonshaw, Queens County, Prince Edward Island, Canada</t>
  </si>
  <si>
    <t>46.364675</t>
  </si>
  <si>
    <t>-63.410052778</t>
  </si>
  <si>
    <t>46 - 21 - 52.83</t>
  </si>
  <si>
    <t>63 - 24 - 36.19</t>
  </si>
  <si>
    <t>Route 2, Hazel Grove, Queens County, Prince Edward Island, C0B 1N0, Canada</t>
  </si>
  <si>
    <t>46.2609138890001</t>
  </si>
  <si>
    <t>-63.1196805559999</t>
  </si>
  <si>
    <t>46 - 15 - 39.29</t>
  </si>
  <si>
    <t>63 - 7 - 10.85</t>
  </si>
  <si>
    <t>Brackley Point Road, Sherwood, Charlottetown, City of Charlottetown, Queens County, Prince Edward Island, C1A 5P7, Canada</t>
  </si>
  <si>
    <t>46.2146000000001</t>
  </si>
  <si>
    <t>-63.4977</t>
  </si>
  <si>
    <t>46 - 12 - 52.56</t>
  </si>
  <si>
    <t>63 - 29 - 51.72</t>
  </si>
  <si>
    <t>Elanco Animal Health PEI, 797, Victoria Road, Victoria, Prince County, Prince Edward Island, C0A 2G0, Canada</t>
  </si>
  <si>
    <t>46.051277778</t>
  </si>
  <si>
    <t>-62.721319444</t>
  </si>
  <si>
    <t>46 - 3 - 4.6</t>
  </si>
  <si>
    <t>62 - 43 - 16.75</t>
  </si>
  <si>
    <t>Wood Islands Road, Caledonia, Rural Municipality of Belfast, Queens County, Prince Edward Island, Canada</t>
  </si>
  <si>
    <t>46.490719444</t>
  </si>
  <si>
    <t>-63.381147222</t>
  </si>
  <si>
    <t>46 - 29 - 26.59</t>
  </si>
  <si>
    <t>63 - 22 - 52.13</t>
  </si>
  <si>
    <t>8613, Cavendish Road, Cavendish, Resort Municipality of Stanley Bridge, Hope River, Bayview, Cavendish and North Rustico, Queens County, Prince Edward Island, Canada</t>
  </si>
  <si>
    <t>46.2625694440001</t>
  </si>
  <si>
    <t>-63.117758333</t>
  </si>
  <si>
    <t>46 - 15 - 45.25</t>
  </si>
  <si>
    <t>63 - 7 - 3.93</t>
  </si>
  <si>
    <t>37, Fountain Drive, Hillsborough Park, Charlottetown, City of Charlottetown, Queens County, Prince Edward Island, C1A 5P8, Canada</t>
  </si>
  <si>
    <t>46.4253972220001</t>
  </si>
  <si>
    <t>-63.6227916669999</t>
  </si>
  <si>
    <t>46 - 25 - 31.43</t>
  </si>
  <si>
    <t>63 - 37 - 22.05</t>
  </si>
  <si>
    <t>PEI Snowmobile Trail 304 (Spring Valley-Margate-Kelvin Grove), Kensington, Rural Municipality of Malpeque Bay, Prince County, Prince Edward Island, C0B 1M0, Canada</t>
  </si>
  <si>
    <t>46.0513333330001</t>
  </si>
  <si>
    <t>-62.7213166669999</t>
  </si>
  <si>
    <t>46 - 3 - 4.8</t>
  </si>
  <si>
    <t>62 - 43 - 16.74</t>
  </si>
  <si>
    <t>46.2492</t>
  </si>
  <si>
    <t>-63.1218388889999</t>
  </si>
  <si>
    <t>46 - 14 - 57.12</t>
  </si>
  <si>
    <t>63 - 7 - 18.62</t>
  </si>
  <si>
    <t>42, Beasley Avenue, Parkdale, Charlottetown, City of Charlottetown, Queens County, Prince Edward Island, C1A 5J2, Canada</t>
  </si>
  <si>
    <t>46.212247222</t>
  </si>
  <si>
    <t>-62.763616667</t>
  </si>
  <si>
    <t>46 - 12 - 44.09</t>
  </si>
  <si>
    <t>62 - 45 - 49.02</t>
  </si>
  <si>
    <t>Route 3, Summerville, Town of Three Rivers, Kings County, Prince Edward Island, C0A 2E0, Canada</t>
  </si>
  <si>
    <t>46.2511000000001</t>
  </si>
  <si>
    <t>-63.1425</t>
  </si>
  <si>
    <t>46 - 15 - 3.96</t>
  </si>
  <si>
    <t>63 - 8 - 33.0</t>
  </si>
  <si>
    <t>Bell Aliant Belvedere Avenue, 71, Belvedere Avenue, Spring Park, Charlottetown, City of Charlottetown, Queens County, Prince Edward Island, C1A 6B2, Canada</t>
  </si>
  <si>
    <t>46.4859916670001</t>
  </si>
  <si>
    <t>-63.392361111</t>
  </si>
  <si>
    <t>46 - 29 - 9.57</t>
  </si>
  <si>
    <t>63 - 23 - 32.5</t>
  </si>
  <si>
    <t>Forest Hills Lane, Cavendish, Resort Municipality of Stanley Bridge, Hope River, Bayview, Cavendish and North Rustico, Queens County, Prince Edward Island, Canada</t>
  </si>
  <si>
    <t>46.2306</t>
  </si>
  <si>
    <t>-63.24</t>
  </si>
  <si>
    <t>46 - 13 - 50.16</t>
  </si>
  <si>
    <t>63 - 14 - 24.0</t>
  </si>
  <si>
    <t>48, Herlihy Drive, Clyde River, Rural Municipality of Clyde River, Queens County, Prince Edward Island, C0A 1H0, Canada</t>
  </si>
  <si>
    <t>46.423775</t>
  </si>
  <si>
    <t>-62.0915027779999</t>
  </si>
  <si>
    <t>46 - 25 - 25.59</t>
  </si>
  <si>
    <t>62 - 5 - 29.41</t>
  </si>
  <si>
    <t>46.345886111</t>
  </si>
  <si>
    <t>-63.6929</t>
  </si>
  <si>
    <t>46 - 20 - 45.19</t>
  </si>
  <si>
    <t>63 - 41 - 34.44</t>
  </si>
  <si>
    <t>46.4238333330001</t>
  </si>
  <si>
    <t>-62.091675</t>
  </si>
  <si>
    <t>46 - 25 - 25.8</t>
  </si>
  <si>
    <t>62 - 5 - 30.03</t>
  </si>
  <si>
    <t>46.283430556</t>
  </si>
  <si>
    <t>-63.1198277779999</t>
  </si>
  <si>
    <t>46 - 17 - 0.35</t>
  </si>
  <si>
    <t>63 - 7 - 11.38</t>
  </si>
  <si>
    <t>46.477769444</t>
  </si>
  <si>
    <t>-63.395555556</t>
  </si>
  <si>
    <t>46 - 28 - 39.97</t>
  </si>
  <si>
    <t>63 - 23 - 44.0</t>
  </si>
  <si>
    <t>271, Eagles Glenn Boulevard, Cavendish, Resort Municipality of Stanley Bridge, Hope River, Bayview, Cavendish and North Rustico, Queens County, Prince Edward Island, Canada</t>
  </si>
  <si>
    <t>46.2131444440001</t>
  </si>
  <si>
    <t>-63.081766667</t>
  </si>
  <si>
    <t>46 - 12 - 47.32</t>
  </si>
  <si>
    <t>63 - 4 - 54.36</t>
  </si>
  <si>
    <t>Eastlink, 100, Cable Court, Cross Roads, Kinlock, Stratford, Town of Stratford, Queens County, Prince Edward Island, C1B 1A9, Canada</t>
  </si>
  <si>
    <t>46.5175194440001</t>
  </si>
  <si>
    <t>-63.64805</t>
  </si>
  <si>
    <t>46 - 31 - 3.07</t>
  </si>
  <si>
    <t>63 - 38 - 52.98</t>
  </si>
  <si>
    <t>Route 103, Baltic, Rural Municipality of Malpeque Bay, Prince County, Prince Edward Island, Canada</t>
  </si>
  <si>
    <t>-63.6344444439999</t>
  </si>
  <si>
    <t>63 - 38 - 4.0</t>
  </si>
  <si>
    <t>46.4254000000001</t>
  </si>
  <si>
    <t>-63.6228</t>
  </si>
  <si>
    <t>46 - 25 - 31.44</t>
  </si>
  <si>
    <t>63 - 37 - 22.08</t>
  </si>
  <si>
    <t>46.4778388890001</t>
  </si>
  <si>
    <t>-63.3958527779999</t>
  </si>
  <si>
    <t>46 - 28 - 40.22</t>
  </si>
  <si>
    <t>63 - 23 - 45.07</t>
  </si>
  <si>
    <t>267, Eagles Glenn Boulevard, Cavendish, Resort Municipality of Stanley Bridge, Hope River, Bayview, Cavendish and North Rustico, Queens County, Prince Edward Island, Canada</t>
  </si>
  <si>
    <t>46.31435</t>
  </si>
  <si>
    <t>-63.186941667</t>
  </si>
  <si>
    <t>46 - 18 - 51.66</t>
  </si>
  <si>
    <t>63 - 11 - 12.99</t>
  </si>
  <si>
    <t>46.4837972220001</t>
  </si>
  <si>
    <t>-63.391513889</t>
  </si>
  <si>
    <t>46 - 29 - 1.67</t>
  </si>
  <si>
    <t>63 - 23 - 29.45</t>
  </si>
  <si>
    <t>46.194888889</t>
  </si>
  <si>
    <t>-62.539277778</t>
  </si>
  <si>
    <t>46 - 11 - 41.6</t>
  </si>
  <si>
    <t>62 - 32 - 21.4</t>
  </si>
  <si>
    <t>21, Burnt Point Road, Georgetown, Town of Three Rivers, Kings County, Prince Edward Island, Canada</t>
  </si>
  <si>
    <t>46.1658</t>
  </si>
  <si>
    <t>-62.6475</t>
  </si>
  <si>
    <t>46 - 9 - 56.88</t>
  </si>
  <si>
    <t>62 - 38 - 51.0</t>
  </si>
  <si>
    <t>Bell Aliant Montague MTAGPE03RS1, 121, Sackville Street, Montague, Town of Three Rivers, Kings County, Prince Edward Island, C0A 1R0, Canada</t>
  </si>
  <si>
    <t>46.3744</t>
  </si>
  <si>
    <t>-62.3441999999999</t>
  </si>
  <si>
    <t>46 - 22 - 27.84</t>
  </si>
  <si>
    <t>62 - 20 - 39.12</t>
  </si>
  <si>
    <t>-63.1103138889999</t>
  </si>
  <si>
    <t>63 - 6 - 37.13</t>
  </si>
  <si>
    <t>46.26255</t>
  </si>
  <si>
    <t>-63.1394722219999</t>
  </si>
  <si>
    <t>46 - 15 - 45.18</t>
  </si>
  <si>
    <t>63 - 8 - 22.1</t>
  </si>
  <si>
    <t>46.2356</t>
  </si>
  <si>
    <t>-63.1303</t>
  </si>
  <si>
    <t>46 - 14 - 8.16</t>
  </si>
  <si>
    <t>63 - 7 - 49.08</t>
  </si>
  <si>
    <t>Ceridian, 223, Queen Street, Downtown, Charlottetown, City of Charlottetown, Queens County, Prince Edward Island, C1A 1R4, Canada</t>
  </si>
  <si>
    <t>46.528969444</t>
  </si>
  <si>
    <t>-63.670302778</t>
  </si>
  <si>
    <t>46 - 31 - 44.29</t>
  </si>
  <si>
    <t>63 - 40 - 13.09</t>
  </si>
  <si>
    <t>97, Crowley Road, Baltic, Rural Municipality of Malpeque Bay, Prince County, Prince Edward Island, Canada</t>
  </si>
  <si>
    <t>46.47965</t>
  </si>
  <si>
    <t>-63.3899472219999</t>
  </si>
  <si>
    <t>46 - 28 - 46.74</t>
  </si>
  <si>
    <t>63 - 23 - 23.81</t>
  </si>
  <si>
    <t>209, Forest Hills Lane, Cavendish, Resort Municipality of Stanley Bridge, Hope River, Bayview, Cavendish and North Rustico, Queens County, Prince Edward Island, Canada</t>
  </si>
  <si>
    <t>46.435416667</t>
  </si>
  <si>
    <t>-63.428930556</t>
  </si>
  <si>
    <t>46 - 26 - 7.5</t>
  </si>
  <si>
    <t>63 - 25 - 44.15</t>
  </si>
  <si>
    <t>411, North Road, Hope River, Queens County, Prince Edward Island, C0A 1E0, Canada</t>
  </si>
  <si>
    <t>46.231788889</t>
  </si>
  <si>
    <t>-63.123788889</t>
  </si>
  <si>
    <t>46 - 13 - 54.44</t>
  </si>
  <si>
    <t>63 - 7 - 25.64</t>
  </si>
  <si>
    <t>46.2889777780001</t>
  </si>
  <si>
    <t>-63.140961111</t>
  </si>
  <si>
    <t>46 - 17 - 20.32</t>
  </si>
  <si>
    <t>63 - 8 - 27.46</t>
  </si>
  <si>
    <t>Brackley Point Road, Royalty Junction, Charlottetown, City of Charlottetown, Rural Municipality of Brackley, Queens County, Prince Edward Island, C1E 0E5, Canada</t>
  </si>
  <si>
    <t>46.149194444</t>
  </si>
  <si>
    <t>-62.6067944439999</t>
  </si>
  <si>
    <t>46 - 8 - 57.1</t>
  </si>
  <si>
    <t>62 - 36 - 24.46</t>
  </si>
  <si>
    <t>363, Campbell Road, Whim Road, Town of Three Rivers, Kings County, Prince Edward Island, C0A 1R0, Canada</t>
  </si>
  <si>
    <t>46.342988889</t>
  </si>
  <si>
    <t>-63.32865</t>
  </si>
  <si>
    <t>46 - 20 - 34.76</t>
  </si>
  <si>
    <t>63 - 19 - 43.14</t>
  </si>
  <si>
    <t>Route 2, Queens County, Prince Edward Island, Canada</t>
  </si>
  <si>
    <t>46.4109444440001</t>
  </si>
  <si>
    <t>-62.775425</t>
  </si>
  <si>
    <t>46 - 24 - 39.4</t>
  </si>
  <si>
    <t>62 - 46 - 31.53</t>
  </si>
  <si>
    <t>St Peters Road, Bristol, Canavoy, Kings County, Prince Edward Island, Canada</t>
  </si>
  <si>
    <t>46.0067083330001</t>
  </si>
  <si>
    <t>-62.585588889</t>
  </si>
  <si>
    <t>46 - 0 - 24.15</t>
  </si>
  <si>
    <t>62 - 35 - 8.12</t>
  </si>
  <si>
    <t>354, Cape Bear Road, Murray River, Kings County, Prince Edward Island, C0A 1W0, Canada</t>
  </si>
  <si>
    <t>46.401919444</t>
  </si>
  <si>
    <t>-63.0919499999999</t>
  </si>
  <si>
    <t>46 - 24 - 6.91</t>
  </si>
  <si>
    <t>63 - 5 - 31.02</t>
  </si>
  <si>
    <t>2450, Friston Road, Stanhope, Rural Municipality of North Shore, Queens County, Prince Edward Island, Canada</t>
  </si>
  <si>
    <t>46.454972222</t>
  </si>
  <si>
    <t>-63.371966667</t>
  </si>
  <si>
    <t>46 - 27 - 17.9</t>
  </si>
  <si>
    <t>63 - 22 - 19.08</t>
  </si>
  <si>
    <t>46.2076555560001</t>
  </si>
  <si>
    <t>-63.033858333</t>
  </si>
  <si>
    <t>46 - 12 - 27.56</t>
  </si>
  <si>
    <t>63 - 2 - 1.89</t>
  </si>
  <si>
    <t>Alexandra, Queens County, Prince Edward Island, Canada</t>
  </si>
  <si>
    <t>46.481738889</t>
  </si>
  <si>
    <t>-63.411566667</t>
  </si>
  <si>
    <t>46 - 28 - 54.26</t>
  </si>
  <si>
    <t>63 - 24 - 41.64</t>
  </si>
  <si>
    <t>9127, Cavendish Road, Bayview, Resort Municipality of Stanley Bridge, Hope River, Bayview, Cavendish and North Rustico, Queens County, Prince Edward Island, C0A 1E0, Canada</t>
  </si>
  <si>
    <t>46.356105556</t>
  </si>
  <si>
    <t>-63.351327778</t>
  </si>
  <si>
    <t>46 - 21 - 21.98</t>
  </si>
  <si>
    <t>63 - 21 - 4.78</t>
  </si>
  <si>
    <t>Harmony House Theatre, 19814, Route 2, Hunter River, Rural Municipality of Hunter River, Queens County, Prince Edward Island, Canada</t>
  </si>
  <si>
    <t>46.1704750000001</t>
  </si>
  <si>
    <t>-63.2469555559999</t>
  </si>
  <si>
    <t>46 - 10 - 13.71</t>
  </si>
  <si>
    <t>63 - 14 - 49.04</t>
  </si>
  <si>
    <t>163, Long Creek Road, New Dominion, Rural Municipality of Afton, Queens County, Prince Edward Island, C0A 1H7, Canada</t>
  </si>
  <si>
    <t>46.212288889</t>
  </si>
  <si>
    <t>-62.7521166669999</t>
  </si>
  <si>
    <t>46 - 12 - 44.24</t>
  </si>
  <si>
    <t>62 - 45 - 7.62</t>
  </si>
  <si>
    <t>46.252469444</t>
  </si>
  <si>
    <t>-63.1213999999999</t>
  </si>
  <si>
    <t>46 - 15 - 8.89</t>
  </si>
  <si>
    <t>63 - 7 - 17.04</t>
  </si>
  <si>
    <t>70, Confederation Street, Parkdale, Charlottetown, City of Charlottetown, Queens County, Prince Edward Island, C1A 9R9, Canada</t>
  </si>
  <si>
    <t>46.1922750000001</t>
  </si>
  <si>
    <t>-63.342475</t>
  </si>
  <si>
    <t>46 - 11 - 32.19</t>
  </si>
  <si>
    <t>63 - 20 - 32.91</t>
  </si>
  <si>
    <t>46.2649500000001</t>
  </si>
  <si>
    <t>-63.144641667</t>
  </si>
  <si>
    <t>46 - 15 - 53.82</t>
  </si>
  <si>
    <t>63 - 8 - 40.71</t>
  </si>
  <si>
    <t>Royalty Crossing, 670, University Avenue, Charlottetown, City of Charlottetown, Queens County, Prince Edward Island, C1E 1E3, Canada</t>
  </si>
  <si>
    <t>46.2661277780001</t>
  </si>
  <si>
    <t>-63.1478083329999</t>
  </si>
  <si>
    <t>46 - 15 - 58.06</t>
  </si>
  <si>
    <t>63 - 8 - 52.11</t>
  </si>
  <si>
    <t>University Avenue, Charlottetown, City of Charlottetown, Queens County, Prince Edward Island, C1E 1H6, Canada</t>
  </si>
  <si>
    <t>46.197352778</t>
  </si>
  <si>
    <t>-63.100183333</t>
  </si>
  <si>
    <t>46 - 11 - 50.47</t>
  </si>
  <si>
    <t>63 - 6 - 0.66</t>
  </si>
  <si>
    <t>187, Keppoch Road, Keppoch, Stratford, Town of Stratford, Queens County, Prince Edward Island, C1B 0B8, Canada</t>
  </si>
  <si>
    <t>46.3319416670001</t>
  </si>
  <si>
    <t>-62.837219444</t>
  </si>
  <si>
    <t>46 - 19 - 54.99</t>
  </si>
  <si>
    <t>62 - 50 - 13.99</t>
  </si>
  <si>
    <t>159, Old Cardigan Road, Queens County, Prince Edward Island, Canada</t>
  </si>
  <si>
    <t>46.2638694440001</t>
  </si>
  <si>
    <t>-63.169088889</t>
  </si>
  <si>
    <t>46 - 15 - 49.93</t>
  </si>
  <si>
    <t>63 - 10 - 8.72</t>
  </si>
  <si>
    <t>46.1825305560001</t>
  </si>
  <si>
    <t>-62.653388889</t>
  </si>
  <si>
    <t>46 - 10 - 57.11</t>
  </si>
  <si>
    <t>62 - 39 - 12.2</t>
  </si>
  <si>
    <t>49, Nicholson Road, Brudenell, Town of Three Rivers, Kings County, Prince Edward Island, C0A 1R0, Canada</t>
  </si>
  <si>
    <t>46.333691667</t>
  </si>
  <si>
    <t>-63.429313889</t>
  </si>
  <si>
    <t>46 - 20 - 1.29</t>
  </si>
  <si>
    <t>63 - 25 - 45.53</t>
  </si>
  <si>
    <t>715, Fredericton Station Road, Glen Valley, Springton, Queens County, Prince Edward Island, C0B 1N0, Canada</t>
  </si>
  <si>
    <t>46.4573111110001</t>
  </si>
  <si>
    <t>-63.308388889</t>
  </si>
  <si>
    <t>46 - 27 - 26.32</t>
  </si>
  <si>
    <t>63 - 18 - 30.2</t>
  </si>
  <si>
    <t>75, Harbourview Drive, North Rustico, Town of North Rustico, Queens County, Prince Edward Island, C0A 1X0, Canada</t>
  </si>
  <si>
    <t>46.2660194440001</t>
  </si>
  <si>
    <t>-63.1168083329999</t>
  </si>
  <si>
    <t>46 - 15 - 57.67</t>
  </si>
  <si>
    <t>63 - 7 - 0.51</t>
  </si>
  <si>
    <t>216, St Peters Road, Hillsborough Park, Charlottetown, City of Charlottetown, Queens County, Prince Edward Island, C1A 6N2, Canada</t>
  </si>
  <si>
    <t>46.2051250000001</t>
  </si>
  <si>
    <t>-63.108655556</t>
  </si>
  <si>
    <t>46 - 12 - 18.45</t>
  </si>
  <si>
    <t>63 - 6 - 31.16</t>
  </si>
  <si>
    <t>95, Keppoch Road, Keppoch, Stratford, Town of Stratford, Queens County, Prince Edward Island, C1B 0B8, Canada</t>
  </si>
  <si>
    <t>46.3683472220001</t>
  </si>
  <si>
    <t>-62.3133472219999</t>
  </si>
  <si>
    <t>46 - 22 - 6.05</t>
  </si>
  <si>
    <t>62 - 18 - 48.05</t>
  </si>
  <si>
    <t>Skully Road, Rollo Bay, Rural Municipality of Souris West, Kings County, Prince Edward Island, Canada</t>
  </si>
  <si>
    <t>46.198808333</t>
  </si>
  <si>
    <t>-63.1051305559999</t>
  </si>
  <si>
    <t>46 - 11 - 55.71</t>
  </si>
  <si>
    <t>63 - 6 - 18.47</t>
  </si>
  <si>
    <t>169, Keppoch Road, Keppoch, Stratford, Town of Stratford, Queens County, Prince Edward Island, C1B 0B8, Canada</t>
  </si>
  <si>
    <t>46.3174805560001</t>
  </si>
  <si>
    <t>-63.182188889</t>
  </si>
  <si>
    <t>46 - 19 - 2.93</t>
  </si>
  <si>
    <t>63 - 10 - 55.88</t>
  </si>
  <si>
    <t>46.212219444</t>
  </si>
  <si>
    <t>-63.3416694439999</t>
  </si>
  <si>
    <t>46 - 12 - 43.99</t>
  </si>
  <si>
    <t>63 - 20 - 30.01</t>
  </si>
  <si>
    <t>Strathgartney Road, Bonshaw, Rural Municipality of Bonshaw, Queens County, Prince Edward Island, Canada</t>
  </si>
  <si>
    <t>46.335611111</t>
  </si>
  <si>
    <t>-63.034797222</t>
  </si>
  <si>
    <t>46 - 20 - 8.2</t>
  </si>
  <si>
    <t>63 - 2 - 5.27</t>
  </si>
  <si>
    <t>46.1966305560001</t>
  </si>
  <si>
    <t>-62.881247222</t>
  </si>
  <si>
    <t>46 - 11 - 47.87</t>
  </si>
  <si>
    <t>62 - 52 - 52.49</t>
  </si>
  <si>
    <t>46.2563000000001</t>
  </si>
  <si>
    <t>-63.1373972219999</t>
  </si>
  <si>
    <t>46 - 15 - 22.68</t>
  </si>
  <si>
    <t>63 - 8 - 14.63</t>
  </si>
  <si>
    <t>University of Prince Edward Island, 550, University Avenue, Charlottetown, City of Charlottetown, Queens County, Prince Edward Island, C1A 4P3, Canada</t>
  </si>
  <si>
    <t>46.4371305560001</t>
  </si>
  <si>
    <t>-63.637505556</t>
  </si>
  <si>
    <t>46 - 26 - 13.67</t>
  </si>
  <si>
    <t>63 - 38 - 15.02</t>
  </si>
  <si>
    <t>45, Broadway Street North, Kensington, Prince County, Prince Edward Island, C1N 5J5, Canada</t>
  </si>
  <si>
    <t>46.062219444</t>
  </si>
  <si>
    <t>-62.8525</t>
  </si>
  <si>
    <t>46 - 3 - 43.99</t>
  </si>
  <si>
    <t>62 - 51 - 9.0</t>
  </si>
  <si>
    <t>Colville Road, Ocean View, Rural Municipality of Belfast, Queens County, Prince Edward Island, Canada</t>
  </si>
  <si>
    <t>46.241225</t>
  </si>
  <si>
    <t>-63.482675</t>
  </si>
  <si>
    <t>46 - 14 - 28.41</t>
  </si>
  <si>
    <t>63 - 28 - 57.63</t>
  </si>
  <si>
    <t>46.241186111</t>
  </si>
  <si>
    <t>46 - 14 - 28.27</t>
  </si>
  <si>
    <t>46.282805556</t>
  </si>
  <si>
    <t>-63.62225</t>
  </si>
  <si>
    <t>46 - 16 - 58.1</t>
  </si>
  <si>
    <t>63 - 37 - 20.1</t>
  </si>
  <si>
    <t>46.422213889</t>
  </si>
  <si>
    <t>-63.6837</t>
  </si>
  <si>
    <t>46 - 25 - 19.97</t>
  </si>
  <si>
    <t>63 - 41 - 1.32</t>
  </si>
  <si>
    <t>25565, Route 2, Prince County, Prince Edward Island, C1N 5J5, Canada</t>
  </si>
  <si>
    <t>46.5048416670001</t>
  </si>
  <si>
    <t>-63.626511111</t>
  </si>
  <si>
    <t>46 - 30 - 17.43</t>
  </si>
  <si>
    <t>63 - 37 - 35.44</t>
  </si>
  <si>
    <t>PEI Snowmobile Trail 206 (Spring Valley-Clermont), Baltic, Rural Municipality of Malpeque Bay, Prince County, Prince Edward Island, Canada</t>
  </si>
  <si>
    <t>46.4851583330001</t>
  </si>
  <si>
    <t>-63.404627778</t>
  </si>
  <si>
    <t>46 - 29 - 6.57</t>
  </si>
  <si>
    <t>63 - 24 - 16.66</t>
  </si>
  <si>
    <t>8995, Cavendish Road, Cavendish, Resort Municipality of Stanley Bridge, Hope River, Bayview, Cavendish and North Rustico, Queens County, Prince Edward Island, C0A 1E0, Canada</t>
  </si>
  <si>
    <t>46.4252777780001</t>
  </si>
  <si>
    <t>-63.6224999999999</t>
  </si>
  <si>
    <t>46 - 25 - 31.0</t>
  </si>
  <si>
    <t>63 - 37 - 21.0</t>
  </si>
  <si>
    <t>46.2562194440001</t>
  </si>
  <si>
    <t>-63.119938889</t>
  </si>
  <si>
    <t>46 - 15 - 22.39</t>
  </si>
  <si>
    <t>63 - 7 - 11.78</t>
  </si>
  <si>
    <t>Woodward Drive, Parkdale, Charlottetown, City of Charlottetown, Queens County, Prince Edward Island, C1A 5P3, Canada</t>
  </si>
  <si>
    <t>46.007430556</t>
  </si>
  <si>
    <t>-62.5843694439999</t>
  </si>
  <si>
    <t>46 - 0 - 26.75</t>
  </si>
  <si>
    <t>62 - 35 - 3.73</t>
  </si>
  <si>
    <t>381, Cape Bear Road, Murray River, Kings County, Prince Edward Island, C0A 1W0, Canada</t>
  </si>
  <si>
    <t>46.4253</t>
  </si>
  <si>
    <t>-63.622522222</t>
  </si>
  <si>
    <t>46 - 25 - 31.08</t>
  </si>
  <si>
    <t>63 - 37 - 21.08</t>
  </si>
  <si>
    <t>46.070061111</t>
  </si>
  <si>
    <t>-62.822719444</t>
  </si>
  <si>
    <t>46 - 4 - 12.22</t>
  </si>
  <si>
    <t>62 - 49 - 21.79</t>
  </si>
  <si>
    <t>46.2357805560001</t>
  </si>
  <si>
    <t>-63.128944444</t>
  </si>
  <si>
    <t>46 - 14 - 8.81</t>
  </si>
  <si>
    <t>63 - 7 - 44.2</t>
  </si>
  <si>
    <t>BDC Place, 119, Kent Street, Downtown, Charlottetown, City of Charlottetown, Queens County, Prince Edward Island, C1A 1N3, Canada</t>
  </si>
  <si>
    <t>46.391333333</t>
  </si>
  <si>
    <t>-63.2147305559999</t>
  </si>
  <si>
    <t>46 - 23 - 28.8</t>
  </si>
  <si>
    <t>63 - 12 - 53.03</t>
  </si>
  <si>
    <t>46.4888361110001</t>
  </si>
  <si>
    <t>-63.391077778</t>
  </si>
  <si>
    <t>46 - 29 - 19.81</t>
  </si>
  <si>
    <t>63 - 23 - 27.88</t>
  </si>
  <si>
    <t>8769, Cavendish Road, Cavendish, Resort Municipality of Stanley Bridge, Hope River, Bayview, Cavendish and North Rustico, Queens County, Prince Edward Island, Canada</t>
  </si>
  <si>
    <t>46.254388889</t>
  </si>
  <si>
    <t>-62.617838889</t>
  </si>
  <si>
    <t>46 - 15 - 15.8</t>
  </si>
  <si>
    <t>62 - 37 - 4.22</t>
  </si>
  <si>
    <t>PEI Snowmobile Trail New (Peakes to Cardigan), Glenfanning, Town of Three Rivers, Kings County, Prince Edward Island, Canada</t>
  </si>
  <si>
    <t>46.488527778</t>
  </si>
  <si>
    <t>-63.392527778</t>
  </si>
  <si>
    <t>46 - 29 - 18.7</t>
  </si>
  <si>
    <t>63 - 23 - 33.1</t>
  </si>
  <si>
    <t>8793, Cavendish Road, Cavendish, Resort Municipality of Stanley Bridge, Hope River, Bayview, Cavendish and North Rustico, Queens County, Prince Edward Island, Canada</t>
  </si>
  <si>
    <t>46.0890944440001</t>
  </si>
  <si>
    <t>-62.879702778</t>
  </si>
  <si>
    <t>46 - 5 - 20.74</t>
  </si>
  <si>
    <t>62 - 52 - 46.93</t>
  </si>
  <si>
    <t>Garfield Road, Eldon, Rural Municipality of Belfast, Queens County, Prince Edward Island, C0A 1A0, Canada</t>
  </si>
  <si>
    <t>46.2076777780001</t>
  </si>
  <si>
    <t>-63.033863889</t>
  </si>
  <si>
    <t>46 - 12 - 27.64</t>
  </si>
  <si>
    <t>63 - 2 - 1.91</t>
  </si>
  <si>
    <t>46.2111166670001</t>
  </si>
  <si>
    <t>-63.1057611109999</t>
  </si>
  <si>
    <t>46 - 12 - 40.02</t>
  </si>
  <si>
    <t>63 - 6 - 20.74</t>
  </si>
  <si>
    <t>43, Keppoch Road, Southport, Stratford, Town of Stratford, Queens County, Prince Edward Island, C1B 0B8, Canada</t>
  </si>
  <si>
    <t>46.212277778</t>
  </si>
  <si>
    <t>-63.34155</t>
  </si>
  <si>
    <t>46 - 12 - 44.2</t>
  </si>
  <si>
    <t>63 - 20 - 29.58</t>
  </si>
  <si>
    <t>46.2972194440001</t>
  </si>
  <si>
    <t>-62.483888889</t>
  </si>
  <si>
    <t>46 - 17 - 49.99</t>
  </si>
  <si>
    <t>62 - 29 - 2.0</t>
  </si>
  <si>
    <t>France Road, Poplar Point, Rural Municipality of Central Kings, Kings County, Prince Edward Island, Canada</t>
  </si>
  <si>
    <t>46.201427778</t>
  </si>
  <si>
    <t>-63.1076138889999</t>
  </si>
  <si>
    <t>46 - 12 - 5.14</t>
  </si>
  <si>
    <t>63 - 6 - 27.41</t>
  </si>
  <si>
    <t>127, Keppoch Road, Keppoch, Stratford, Town of Stratford, Queens County, Prince Edward Island, C1B 0B8, Canada</t>
  </si>
  <si>
    <t>46.3141694440001</t>
  </si>
  <si>
    <t>-63.186669444</t>
  </si>
  <si>
    <t>46 - 18 - 51.01</t>
  </si>
  <si>
    <t>63 - 11 - 12.01</t>
  </si>
  <si>
    <t>46.340555556</t>
  </si>
  <si>
    <t>-62.838611111</t>
  </si>
  <si>
    <t>46 - 20 - 26.0</t>
  </si>
  <si>
    <t>62 - 50 - 19.0</t>
  </si>
  <si>
    <t>Old Cardigan Road, Mount Stewart, Queens County, Prince Edward Island, C0A 1T0, Canada</t>
  </si>
  <si>
    <t>46.4578194440001</t>
  </si>
  <si>
    <t>-63.313644444</t>
  </si>
  <si>
    <t>46 - 27 - 28.15</t>
  </si>
  <si>
    <t>63 - 18 - 49.12</t>
  </si>
  <si>
    <t>Main Street, North Rustico, Town of North Rustico, Queens County, Prince Edward Island, C0A 1X0, Canada</t>
  </si>
  <si>
    <t>46.2577027780001</t>
  </si>
  <si>
    <t>-63.1389833329999</t>
  </si>
  <si>
    <t>46 - 15 - 27.73</t>
  </si>
  <si>
    <t>63 - 8 - 20.34</t>
  </si>
  <si>
    <t>46.3511583330001</t>
  </si>
  <si>
    <t>-62.380355556</t>
  </si>
  <si>
    <t>46 - 21 - 4.17</t>
  </si>
  <si>
    <t>62 - 22 - 49.28</t>
  </si>
  <si>
    <t>Route 2, Fortune Bridge, Kings County, Prince Edward Island, Canada</t>
  </si>
  <si>
    <t>46.1491888890001</t>
  </si>
  <si>
    <t>-62.606788889</t>
  </si>
  <si>
    <t>46 - 8 - 57.08</t>
  </si>
  <si>
    <t>62 - 36 - 24.44</t>
  </si>
  <si>
    <t>46.3456</t>
  </si>
  <si>
    <t>-63.6928</t>
  </si>
  <si>
    <t>46 - 20 - 44.16</t>
  </si>
  <si>
    <t>63 - 41 - 34.08</t>
  </si>
  <si>
    <t>46.4812416670001</t>
  </si>
  <si>
    <t>-63.3909</t>
  </si>
  <si>
    <t>46 - 28 - 52.47</t>
  </si>
  <si>
    <t>63 - 23 - 27.24</t>
  </si>
  <si>
    <t>169, Forest Hills Lane, Cavendish, Resort Municipality of Stanley Bridge, Hope River, Bayview, Cavendish and North Rustico, Queens County, Prince Edward Island, Canada</t>
  </si>
  <si>
    <t>46.45505</t>
  </si>
  <si>
    <t>-63.316291667</t>
  </si>
  <si>
    <t>46 - 27 - 18.18</t>
  </si>
  <si>
    <t>63 - 18 - 58.65</t>
  </si>
  <si>
    <t>46.2507138890001</t>
  </si>
  <si>
    <t>-63.694097222</t>
  </si>
  <si>
    <t>46 - 15 - 2.57</t>
  </si>
  <si>
    <t>63 - 41 - 38.75</t>
  </si>
  <si>
    <t>Carleton Street, Borden-Carleton, Town of Borden-Carleton, Prince County, Prince Edward Island, C0B 1X0, Canada</t>
  </si>
  <si>
    <t>46.0511277780001</t>
  </si>
  <si>
    <t>-62.721125</t>
  </si>
  <si>
    <t>46 - 3 - 4.06</t>
  </si>
  <si>
    <t>62 - 43 - 16.05</t>
  </si>
  <si>
    <t>46.262536111</t>
  </si>
  <si>
    <t>-63.139325</t>
  </si>
  <si>
    <t>46 - 15 - 45.13</t>
  </si>
  <si>
    <t>63 - 8 - 21.57</t>
  </si>
  <si>
    <t>46.3141666670001</t>
  </si>
  <si>
    <t>-63.1866666669999</t>
  </si>
  <si>
    <t>46 - 18 - 51.0</t>
  </si>
  <si>
    <t>63 - 11 - 12.0</t>
  </si>
  <si>
    <t>45.9787388890001</t>
  </si>
  <si>
    <t>-62.7707722219999</t>
  </si>
  <si>
    <t>45 - 58 - 43.46</t>
  </si>
  <si>
    <t>62 - 46 - 14.78</t>
  </si>
  <si>
    <t>46.4867694440001</t>
  </si>
  <si>
    <t>-63.399669444</t>
  </si>
  <si>
    <t>46 - 29 - 12.37</t>
  </si>
  <si>
    <t>63 - 23 - 58.81</t>
  </si>
  <si>
    <t>Avonlea Boulevard, Cavendish, Resort Municipality of Stanley Bridge, Hope River, Bayview, Cavendish and North Rustico, Queens County, Prince Edward Island, Canada</t>
  </si>
  <si>
    <t>46.4919583330001</t>
  </si>
  <si>
    <t>-63.374458333</t>
  </si>
  <si>
    <t>46 - 29 - 31.05</t>
  </si>
  <si>
    <t>63 - 22 - 28.05</t>
  </si>
  <si>
    <t>8518, Cavendish Road, Cavendish, Resort Municipality of Stanley Bridge, Hope River, Bayview, Cavendish and North Rustico, Queens County, Prince Edward Island, C0A 1X0, Canada</t>
  </si>
  <si>
    <t>46.070063889</t>
  </si>
  <si>
    <t>-62.822722222</t>
  </si>
  <si>
    <t>46 - 4 - 12.23</t>
  </si>
  <si>
    <t>62 - 49 - 21.8</t>
  </si>
  <si>
    <t>46.289236111</t>
  </si>
  <si>
    <t>-63.194891667</t>
  </si>
  <si>
    <t>46 - 17 - 21.25</t>
  </si>
  <si>
    <t>63 - 11 - 41.61</t>
  </si>
  <si>
    <t>Confederation Trail, Charlottetown, Milton Station, Rural Municipality of Miltonvale Park, Queens County, Prince Edward Island, C1E 1Z2, Canada</t>
  </si>
  <si>
    <t>46.334444444</t>
  </si>
  <si>
    <t>-63.4299999999999</t>
  </si>
  <si>
    <t>46 - 20 - 4.0</t>
  </si>
  <si>
    <t>63 - 25 - 48.0</t>
  </si>
  <si>
    <t>695, Fredericton Station Road, Glen Valley, Springton, Queens County, Prince Edward Island, C0B 1N0, Canada</t>
  </si>
  <si>
    <t>46.245205556</t>
  </si>
  <si>
    <t>-63.1173527779999</t>
  </si>
  <si>
    <t>46 - 14 - 42.74</t>
  </si>
  <si>
    <t>63 - 7 - 2.47</t>
  </si>
  <si>
    <t>Eastlink Centre, 46, Kensington Road, Parkdale, Charlottetown, City of Charlottetown, Queens County, Prince Edward Island, C1A 5H7, Canada</t>
  </si>
  <si>
    <t>46.2646333330001</t>
  </si>
  <si>
    <t>-63.144405556</t>
  </si>
  <si>
    <t>46 - 15 - 52.68</t>
  </si>
  <si>
    <t>63 - 8 - 39.86</t>
  </si>
  <si>
    <t>46.2083638890001</t>
  </si>
  <si>
    <t>-63.1079444439999</t>
  </si>
  <si>
    <t>46 - 12 - 30.11</t>
  </si>
  <si>
    <t>63 - 6 - 28.6</t>
  </si>
  <si>
    <t>77, Keppoch Road, Keppoch, Stratford, Town of Stratford, Queens County, Prince Edward Island, C1B 0B8, Canada</t>
  </si>
  <si>
    <t>46.4921583330001</t>
  </si>
  <si>
    <t>-63.3788777779999</t>
  </si>
  <si>
    <t>46 - 29 - 31.77</t>
  </si>
  <si>
    <t>63 - 22 - 43.96</t>
  </si>
  <si>
    <t>7574, Cawnpore Lane, Cavendish, Resort Municipality of Stanley Bridge, Hope River, Bayview, Cavendish and North Rustico, Queens County, Prince Edward Island, Canada</t>
  </si>
  <si>
    <t>46.339247222</t>
  </si>
  <si>
    <t>-63.424002778</t>
  </si>
  <si>
    <t>46 - 20 - 21.29</t>
  </si>
  <si>
    <t>63 - 25 - 26.41</t>
  </si>
  <si>
    <t>957, Junction Road, Glen Valley, Springton, Queens County, Prince Edward Island, C0B 1N0, Canada</t>
  </si>
  <si>
    <t>46.460055556</t>
  </si>
  <si>
    <t>-63.314555556</t>
  </si>
  <si>
    <t>46 - 27 - 36.2</t>
  </si>
  <si>
    <t>63 - 18 - 52.4</t>
  </si>
  <si>
    <t>7282, Cavendish Road, North Rustico, Town of North Rustico, Queens County, Prince Edward Island, C0A 1X0, Canada</t>
  </si>
  <si>
    <t>46.4926</t>
  </si>
  <si>
    <t>-63.370688889</t>
  </si>
  <si>
    <t>46 - 29 - 33.36</t>
  </si>
  <si>
    <t>63 - 22 - 14.48</t>
  </si>
  <si>
    <t>8445, Cavendish Road, Cavendish, Resort Municipality of Stanley Bridge, Hope River, Bayview, Cavendish and North Rustico, Queens County, Prince Edward Island, C0A 1X0, Canada</t>
  </si>
  <si>
    <t>46.33925</t>
  </si>
  <si>
    <t>-63.424</t>
  </si>
  <si>
    <t>46 - 20 - 21.3</t>
  </si>
  <si>
    <t>63 - 25 - 26.4</t>
  </si>
  <si>
    <t>-63.119830556</t>
  </si>
  <si>
    <t>63 - 7 - 11.39</t>
  </si>
  <si>
    <t>46.213138889</t>
  </si>
  <si>
    <t>-63.081769444</t>
  </si>
  <si>
    <t>46 - 12 - 47.3</t>
  </si>
  <si>
    <t>63 - 4 - 54.37</t>
  </si>
  <si>
    <t>-62.7707694439999</t>
  </si>
  <si>
    <t>62 - 46 - 14.77</t>
  </si>
  <si>
    <t>-63.410055556</t>
  </si>
  <si>
    <t>63 - 24 - 36.2</t>
  </si>
  <si>
    <t>46.517522222</t>
  </si>
  <si>
    <t>46 - 31 - 3.08</t>
  </si>
  <si>
    <t>46.34585</t>
  </si>
  <si>
    <t>-63.692861111</t>
  </si>
  <si>
    <t>46 - 20 - 45.06</t>
  </si>
  <si>
    <t>63 - 41 - 34.3</t>
  </si>
  <si>
    <t>46.2974888890001</t>
  </si>
  <si>
    <t>-63.1408888889999</t>
  </si>
  <si>
    <t>46 - 17 - 50.96</t>
  </si>
  <si>
    <t>63 - 8 - 27.2</t>
  </si>
  <si>
    <t>Confederation Trail, Royalty Junction, Rural Municipality of Brackley, Queens County, Prince Edward Island, C1E 0E5, Canada</t>
  </si>
  <si>
    <t>46.2802</t>
  </si>
  <si>
    <t>-63.345927778</t>
  </si>
  <si>
    <t>46 - 16 - 48.72</t>
  </si>
  <si>
    <t>63 - 20 - 45.34</t>
  </si>
  <si>
    <t>Kingston Road, Emyvale, Rural Municipality of Kingston, Queens County, Prince Edward Island, C0A 1Y0, Canada</t>
  </si>
  <si>
    <t>46.235561111</t>
  </si>
  <si>
    <t>46 - 14 - 8.02</t>
  </si>
  <si>
    <t>46.5286444440001</t>
  </si>
  <si>
    <t>-63.6702333329999</t>
  </si>
  <si>
    <t>46 - 31 - 43.12</t>
  </si>
  <si>
    <t>63 - 40 - 12.84</t>
  </si>
  <si>
    <t>103, Crowley Road, Baltic, Rural Municipality of Malpeque Bay, Prince County, Prince Edward Island, Canada</t>
  </si>
  <si>
    <t>46.2122805560001</t>
  </si>
  <si>
    <t>46 - 12 - 44.21</t>
  </si>
  <si>
    <t>46.0067111110001</t>
  </si>
  <si>
    <t>46 - 0 - 24.16</t>
  </si>
  <si>
    <t>46.2395333330001</t>
  </si>
  <si>
    <t>-63.120677778</t>
  </si>
  <si>
    <t>46 - 14 - 22.32</t>
  </si>
  <si>
    <t>63 - 7 - 14.44</t>
  </si>
  <si>
    <t>Prince of Wales Campus, Cumberland Street, Downtown, Charlottetown, City of Charlottetown, Queens County, Prince Edward Island, C1A 9M5, Canada</t>
  </si>
  <si>
    <t>46.196611111</t>
  </si>
  <si>
    <t>-62.8812305559999</t>
  </si>
  <si>
    <t>46 - 11 - 47.8</t>
  </si>
  <si>
    <t>62 - 52 - 52.43</t>
  </si>
  <si>
    <t>46.259069444</t>
  </si>
  <si>
    <t>-63.1191277779999</t>
  </si>
  <si>
    <t>46 - 15 - 32.65</t>
  </si>
  <si>
    <t>63 - 7 - 8.86</t>
  </si>
  <si>
    <t>Vogue Optical Roundabout, Parkdale, Charlottetown, City of Charlottetown, Queens County, Prince Edward Island, C1A 6X9, Canada</t>
  </si>
  <si>
    <t>46.2316611110001</t>
  </si>
  <si>
    <t>-63.123938889</t>
  </si>
  <si>
    <t>46 - 13 - 53.98</t>
  </si>
  <si>
    <t>63 - 7 - 26.18</t>
  </si>
  <si>
    <t>46.2412305560001</t>
  </si>
  <si>
    <t>-63.4826805559999</t>
  </si>
  <si>
    <t>46 - 14 - 28.43</t>
  </si>
  <si>
    <t>63 - 28 - 57.65</t>
  </si>
  <si>
    <t>Title Holder/ PID</t>
  </si>
  <si>
    <t>The Railway Association of Canada</t>
  </si>
  <si>
    <t>-65.2261</t>
  </si>
  <si>
    <t>65 - 13 - 33.96</t>
  </si>
  <si>
    <t>Orion Wireless Partnership (WCS)</t>
  </si>
  <si>
    <t>46.1041638890001</t>
  </si>
  <si>
    <t>46 - 6 - 14.99</t>
  </si>
  <si>
    <t>46.0450000000001</t>
  </si>
  <si>
    <t>46 - 2 - 42.0</t>
  </si>
  <si>
    <t>46.1079472220001</t>
  </si>
  <si>
    <t>46 - 6 - 28.61</t>
  </si>
  <si>
    <t>46.1425</t>
  </si>
  <si>
    <t>46 - 8 - 33.0</t>
  </si>
  <si>
    <t>45.9375000000001</t>
  </si>
  <si>
    <t>45 - 56 - 15.0</t>
  </si>
  <si>
    <t>46.097222222</t>
  </si>
  <si>
    <t>46 - 5 - 50.0</t>
  </si>
  <si>
    <t>Telus – Regulatory Affairs</t>
  </si>
  <si>
    <t>46.1029638890001</t>
  </si>
  <si>
    <t>-64.784166667</t>
  </si>
  <si>
    <t>46 - 6 - 10.67</t>
  </si>
  <si>
    <t>64 - 47 - 3.0</t>
  </si>
  <si>
    <t>Université de Moncton, Rue Pascal-Poirier, Moncton Parish, Moncton, Westmorland County, New Brunswick, E1A 9V7, Canada</t>
  </si>
  <si>
    <t>Apartment</t>
  </si>
  <si>
    <t xml:space="preserve">Résidence Lafrance
</t>
  </si>
  <si>
    <t>Email sent 1/19/2026 to Isabelle Blanchard</t>
  </si>
  <si>
    <t>15063843475
isabelle.mcintrie.blanchard@umonton.ca</t>
  </si>
  <si>
    <t>-64.8375</t>
  </si>
  <si>
    <t>64 - 50 - 15.0</t>
  </si>
  <si>
    <t>Boulevard Wheeler, Hildegarde, Moncton Parish, Moncton, Westmorland County, New Brunswick, E1E 0E6, Canada</t>
  </si>
  <si>
    <t>Other Structure</t>
  </si>
  <si>
    <t>City of Moncton Public Works - Lattice tower in large yard, appears to be City property</t>
  </si>
  <si>
    <r>
      <rPr>
        <sz val="11"/>
        <color rgb="FF000000"/>
        <rFont val="Calibri"/>
        <scheme val="minor"/>
      </rPr>
      <t xml:space="preserve">Aaron Martin - 1-506-(cant give # out)
aaron.martin@moncton.ca </t>
    </r>
    <r>
      <rPr>
        <b/>
        <sz val="11"/>
        <color rgb="FFFF0000"/>
        <rFont val="Calibri"/>
        <scheme val="minor"/>
      </rPr>
      <t xml:space="preserve">Email sent 1/19/2026
See LINE #1284, related to Town of Roverview &amp; Luke Gould
</t>
    </r>
  </si>
  <si>
    <t>Followup week of Jan 26-30</t>
  </si>
  <si>
    <t>46.088111111</t>
  </si>
  <si>
    <t>-64.776719444</t>
  </si>
  <si>
    <t>46 - 5 - 17.2</t>
  </si>
  <si>
    <t>64 - 46 - 36.19</t>
  </si>
  <si>
    <t>Main Street, Moncton Parish, Moncton, Westmorland County, New Brunswick, E1C 1E9, Canada</t>
  </si>
  <si>
    <t>Commercial Building</t>
  </si>
  <si>
    <t xml:space="preserve">Delta Hotels Beausejour- Rob says hotel ownership is based in Ontario. They recently renewed the lease on this hotel. He is passing my email &amp; phone # onto the head office in Ontario
</t>
  </si>
  <si>
    <r>
      <rPr>
        <sz val="11"/>
        <color rgb="FF000000"/>
        <rFont val="Calibri"/>
        <scheme val="minor"/>
      </rPr>
      <t xml:space="preserve">Delta Hotel rooftop; </t>
    </r>
    <r>
      <rPr>
        <b/>
        <sz val="11"/>
        <color rgb="FFFF0000"/>
        <rFont val="Calibri"/>
        <scheme val="minor"/>
      </rPr>
      <t>Rob leblanc is key guy as per phone clerk guy</t>
    </r>
  </si>
  <si>
    <r>
      <rPr>
        <sz val="12"/>
        <color rgb="FF000000"/>
        <rFont val="Calibri"/>
        <scheme val="minor"/>
      </rPr>
      <t xml:space="preserve">1-506-854-4344
</t>
    </r>
    <r>
      <rPr>
        <b/>
        <sz val="12"/>
        <color rgb="FFFF0000"/>
        <rFont val="Calibri"/>
        <scheme val="minor"/>
      </rPr>
      <t xml:space="preserve">506-875-1479 </t>
    </r>
  </si>
  <si>
    <t>Followup in 2027</t>
  </si>
  <si>
    <t>45.2385694440001</t>
  </si>
  <si>
    <t>-66.1220888889999</t>
  </si>
  <si>
    <t>45 - 14 - 18.85</t>
  </si>
  <si>
    <t>66 - 7 - 19.52</t>
  </si>
  <si>
    <t>45, Ocean Court, Quinton Heights, City of Saint John, Saint John County, New Brunswick, E2M 3Y4, Canada</t>
  </si>
  <si>
    <t>https://www.google.com/maps/place/45%C2%B014'18.9%22N+66%C2%B007'19.5%22W/@45.2392849,-66.1219603,3a,60y,188.19h,90.96t/data=!3m7!1e1!3m5!1sPXhV8R34DaEHXoA3646PtQ!2e0!6shttps:%2F%2Fstreetviewpixels-pa.googleapis.com%2Fv1%2Fthumbnail%3Fcb_client%3Dmaps_sv.tactile%26w%3D900%26h%3D600%26pitch%3D-0.9585136564251542%26panoid%3DPXhV8R34DaEHXoA3646PtQ%26yaw%3D188.18837597109712!7i16384!8i8192!4m4!3m3!8m2!3d45.2385694!4d-66.1220889?entry=ttu&amp;g_ep=EgoyMDI2MDExMy4wIKXMDSoASAFQAw%3D%3D</t>
  </si>
  <si>
    <r>
      <rPr>
        <sz val="11"/>
        <color rgb="FF000000"/>
        <rFont val="Calibri"/>
        <scheme val="minor"/>
      </rPr>
      <t xml:space="preserve">St.John - Spoke to the main call center, she passed my number &amp; name, and someone will contact me; she wasnt sure which dept; if we dont hear anything back, </t>
    </r>
    <r>
      <rPr>
        <sz val="11"/>
        <color rgb="FFFF0000"/>
        <rFont val="Calibri"/>
        <scheme val="minor"/>
      </rPr>
      <t>followup Jan 26-30 week</t>
    </r>
  </si>
  <si>
    <t xml:space="preserve">Panels mounted on water tower
</t>
  </si>
  <si>
    <t>506-658-4455</t>
  </si>
  <si>
    <t>45.9187111110001</t>
  </si>
  <si>
    <t>-66.6313388889999</t>
  </si>
  <si>
    <t>45 - 55 - 7.36</t>
  </si>
  <si>
    <t>66 - 37 - 52.82</t>
  </si>
  <si>
    <t>Boulevard Alison, Doak Settlement, City of Fredericton, York County, New Brunswick, E3B 4X2, Canada</t>
  </si>
  <si>
    <t>Monopole Tower</t>
  </si>
  <si>
    <t>GHD Engineering consultant</t>
  </si>
  <si>
    <r>
      <rPr>
        <sz val="11"/>
        <color rgb="FF000000"/>
        <rFont val="Calibri"/>
        <scheme val="minor"/>
      </rPr>
      <t xml:space="preserve">As per secretary, </t>
    </r>
    <r>
      <rPr>
        <b/>
        <sz val="11"/>
        <color rgb="FFFF0000"/>
        <rFont val="Calibri"/>
        <scheme val="minor"/>
      </rPr>
      <t>Rob Turner</t>
    </r>
    <r>
      <rPr>
        <sz val="11"/>
        <color rgb="FF000000"/>
        <rFont val="Calibri"/>
        <scheme val="minor"/>
      </rPr>
      <t xml:space="preserve"> may be able to discuss - she passed our info along </t>
    </r>
    <r>
      <rPr>
        <b/>
        <sz val="11"/>
        <color rgb="FFFF0000"/>
        <rFont val="Calibri"/>
        <scheme val="minor"/>
      </rPr>
      <t>1/19/2026</t>
    </r>
    <r>
      <rPr>
        <sz val="11"/>
        <color rgb="FF000000"/>
        <rFont val="Calibri"/>
        <scheme val="minor"/>
      </rPr>
      <t xml:space="preserve">. "His voicemail isnt working". Gave our company name. Followup if nothing in 1 week </t>
    </r>
  </si>
  <si>
    <t>45.9849888890001</t>
  </si>
  <si>
    <t>-66.6316805559999</t>
  </si>
  <si>
    <t>45 - 59 - 5.96</t>
  </si>
  <si>
    <t>66 - 37 - 54.05</t>
  </si>
  <si>
    <t>Rue Sainte Marie, City of Fredericton Maintenance Depot and Fredericton Transit, St. Mary's First Nation / Sitansisk Wolastoqiyik, City of Fredericton, York County, New Brunswick, E3A 2S4, Canada</t>
  </si>
  <si>
    <t xml:space="preserve">Fredericton Transit
</t>
  </si>
  <si>
    <t>Some Karen said she passed my number to the correct department. WIll be hard to do any deals with the City of Fredericton</t>
  </si>
  <si>
    <r>
      <rPr>
        <sz val="12"/>
        <color rgb="FF000000"/>
        <rFont val="Calibri"/>
        <scheme val="minor"/>
      </rPr>
      <t xml:space="preserve">1-506-460-2200
</t>
    </r>
    <r>
      <rPr>
        <sz val="12"/>
        <color rgb="FFFF0000"/>
        <rFont val="Calibri"/>
        <scheme val="minor"/>
      </rPr>
      <t>506-460-2020 (havent tried this one yet)</t>
    </r>
  </si>
  <si>
    <t>Revisit at later time</t>
  </si>
  <si>
    <t>45.9605611110001</t>
  </si>
  <si>
    <t>-66.660280556</t>
  </si>
  <si>
    <t>45 - 57 - 38.02</t>
  </si>
  <si>
    <t>66 - 39 - 37.01</t>
  </si>
  <si>
    <t>Rookwood Avenue, Jardins Sunshine Gardens, Sunshine Gardens, City of Fredericton, York County, New Brunswick, E3B 2L4, Canada</t>
  </si>
  <si>
    <r>
      <rPr>
        <sz val="8"/>
        <color rgb="FF000000"/>
        <rFont val="Calibri"/>
        <scheme val="minor"/>
      </rPr>
      <t xml:space="preserve">Rookwood Family Health
Bounce 103 Radio Station
</t>
    </r>
    <r>
      <rPr>
        <sz val="12"/>
        <color rgb="FFFF0000"/>
        <rFont val="Calibri"/>
        <scheme val="minor"/>
      </rPr>
      <t xml:space="preserve">Ross Ventures owns Building - 
</t>
    </r>
    <r>
      <rPr>
        <sz val="12"/>
        <color rgb="FF000000"/>
        <rFont val="Calibri"/>
        <scheme val="minor"/>
      </rPr>
      <t>I checked their website and no other properties appear to have towers or panels</t>
    </r>
  </si>
  <si>
    <t>No answer on 1/19/2026. Only options are 0 for assistance, 2 for rentals, 3 for maint.</t>
  </si>
  <si>
    <r>
      <rPr>
        <sz val="12"/>
        <color rgb="FF000000"/>
        <rFont val="Calibri"/>
        <scheme val="minor"/>
      </rPr>
      <t xml:space="preserve">15064550543
+15064542444
</t>
    </r>
    <r>
      <rPr>
        <sz val="12"/>
        <color rgb="FFFF0000"/>
        <rFont val="Calibri"/>
        <scheme val="minor"/>
      </rPr>
      <t>1-506-453-1800</t>
    </r>
  </si>
  <si>
    <t>Followup week of Jan 19-23</t>
  </si>
  <si>
    <t>45.990219444</t>
  </si>
  <si>
    <t>-66.6696388889999</t>
  </si>
  <si>
    <t>45 - 59 - 24.79</t>
  </si>
  <si>
    <t>66 - 40 - 10.7</t>
  </si>
  <si>
    <t>Chemin Ring Road, Royal Road, Barton, City of Fredericton, York County, New Brunswick, E3A 1B8, Canada</t>
  </si>
  <si>
    <r>
      <rPr>
        <b/>
        <sz val="11"/>
        <color rgb="FF000000"/>
        <rFont val="Calibri"/>
        <scheme val="minor"/>
      </rPr>
      <t xml:space="preserve">ServiceMaster of Fredericton- most likely as per ONX
</t>
    </r>
    <r>
      <rPr>
        <sz val="11"/>
        <color rgb="FF000000"/>
        <rFont val="Calibri"/>
        <scheme val="minor"/>
      </rPr>
      <t xml:space="preserve">Aqua-Power Cleaners (1979) Ltd
</t>
    </r>
  </si>
  <si>
    <r>
      <rPr>
        <sz val="11"/>
        <color rgb="FF000000"/>
        <rFont val="Calibri"/>
        <scheme val="minor"/>
      </rPr>
      <t xml:space="preserve">Side-by-side monipole towers, one is tiny indiv. plot
</t>
    </r>
    <r>
      <rPr>
        <b/>
        <sz val="11"/>
        <color rgb="FFFF0000"/>
        <rFont val="Calibri"/>
        <scheme val="minor"/>
      </rPr>
      <t xml:space="preserve">John (Dad, 78 YO) &amp; son Chris Brown </t>
    </r>
    <r>
      <rPr>
        <sz val="11"/>
        <color rgb="FF000000"/>
        <rFont val="Calibri"/>
        <scheme val="minor"/>
      </rPr>
      <t xml:space="preserve">- unsure when they expire, 2nd deal with </t>
    </r>
    <r>
      <rPr>
        <b/>
        <sz val="11"/>
        <color rgb="FFFF0000"/>
        <rFont val="Calibri"/>
        <scheme val="minor"/>
      </rPr>
      <t>Rogers, Eastlink</t>
    </r>
  </si>
  <si>
    <t>15063001411
+15064581113</t>
  </si>
  <si>
    <r>
      <rPr>
        <sz val="11"/>
        <color rgb="FF000000"/>
        <rFont val="Calibri"/>
        <scheme val="minor"/>
      </rPr>
      <t xml:space="preserve">Followup </t>
    </r>
    <r>
      <rPr>
        <b/>
        <sz val="11"/>
        <color rgb="FF000000"/>
        <rFont val="Calibri"/>
        <scheme val="minor"/>
      </rPr>
      <t xml:space="preserve">late </t>
    </r>
    <r>
      <rPr>
        <sz val="11"/>
        <color rgb="FF000000"/>
        <rFont val="Calibri"/>
        <scheme val="minor"/>
      </rPr>
      <t>week of Jan 26-29</t>
    </r>
  </si>
  <si>
    <r>
      <rPr>
        <sz val="11"/>
        <color rgb="FF000000"/>
        <rFont val="Calibri"/>
        <scheme val="minor"/>
      </rPr>
      <t xml:space="preserve">cbrown@svmfredericton.ca
</t>
    </r>
    <r>
      <rPr>
        <b/>
        <sz val="11"/>
        <color rgb="FFFF0000"/>
        <rFont val="Calibri"/>
        <scheme val="minor"/>
      </rPr>
      <t>Email sent 1/19/2026</t>
    </r>
  </si>
  <si>
    <t>46.1527694440001</t>
  </si>
  <si>
    <t>-64.7759305559999</t>
  </si>
  <si>
    <t>46 - 9 - 9.97</t>
  </si>
  <si>
    <t>64 - 46 - 33.35</t>
  </si>
  <si>
    <t>Moncton / McEwen Airport, 1455, Elmwood Drive, Moncton Parish, Moncton, Westmorland County, New Brunswick, E1H 2H5, Canada</t>
  </si>
  <si>
    <r>
      <rPr>
        <b/>
        <sz val="11"/>
        <color rgb="FF000000"/>
        <rFont val="Calibri"/>
        <scheme val="minor"/>
      </rPr>
      <t xml:space="preserve">Postech Screw Piles Moncton - seems to be land owner as per Postech employee on phone call 1/19/2026
</t>
    </r>
    <r>
      <rPr>
        <sz val="11"/>
        <color rgb="FF000000"/>
        <rFont val="Calibri"/>
        <scheme val="minor"/>
      </rPr>
      <t>Wayside Sunrooms (not applicable)</t>
    </r>
  </si>
  <si>
    <t>Possibly COT - Postech Daniel Smith- Carrier is Bragg Comm?</t>
  </si>
  <si>
    <r>
      <rPr>
        <b/>
        <sz val="12"/>
        <color rgb="FFFF0000"/>
        <rFont val="Calibri"/>
        <scheme val="minor"/>
      </rPr>
      <t xml:space="preserve">15068579512
</t>
    </r>
    <r>
      <rPr>
        <strike/>
        <sz val="8"/>
        <color rgb="FF000000"/>
        <rFont val="Calibri"/>
        <scheme val="minor"/>
      </rPr>
      <t xml:space="preserve">+15068574006 (not applicable)
</t>
    </r>
    <r>
      <rPr>
        <b/>
        <sz val="12"/>
        <color rgb="FFFF0000"/>
        <rFont val="Calibri"/>
        <scheme val="minor"/>
      </rPr>
      <t>dsmith@postechpiles.com sent 1/19/2026</t>
    </r>
  </si>
  <si>
    <t>45.9710111110001</t>
  </si>
  <si>
    <t>-66.53155</t>
  </si>
  <si>
    <t>45 - 58 - 15.64</t>
  </si>
  <si>
    <t>66 - 31 - 53.58</t>
  </si>
  <si>
    <t>Lauron Road, Maugerville Parish, Capital Region Rural District, Sunbury County, New Brunswick, Canada</t>
  </si>
  <si>
    <t>CDO</t>
  </si>
  <si>
    <t>Very rural, no bus. nearby</t>
  </si>
  <si>
    <t>46.101019444</t>
  </si>
  <si>
    <t>-64.7303111109999</t>
  </si>
  <si>
    <t>46 - 6 - 3.67</t>
  </si>
  <si>
    <t>64 - 43 - 49.12</t>
  </si>
  <si>
    <t>Bell Aliant Dieppe, 23, Industrial Street, Moncton Parish, Dieppe, Westmorland County, New Brunswick, E1C 1P6, Canada</t>
  </si>
  <si>
    <t xml:space="preserve">BellAlliant Work Center- cant find phone # attached to business, many Bell service vehicles noted on GSV, skip this location </t>
  </si>
  <si>
    <t>Possibly owned by Bell although listed as Bragg Communications</t>
  </si>
  <si>
    <t>45.7139000000001</t>
  </si>
  <si>
    <t>-65.5124999999999</t>
  </si>
  <si>
    <t>45 - 42 - 50.04</t>
  </si>
  <si>
    <t>65 - 30 - 45.0</t>
  </si>
  <si>
    <t>Pleasant Avenue, Downtown, Sussex Parish, Kings County, New Brunswick, E4E 2N5, Canada</t>
  </si>
  <si>
    <t>Best lead is nearby realtor signs to inquire about private road where tower is located; CDO</t>
  </si>
  <si>
    <t>46.065555556</t>
  </si>
  <si>
    <t>-64.711666667</t>
  </si>
  <si>
    <t>46 - 3 - 56.0</t>
  </si>
  <si>
    <t>64 - 42 - 42.0</t>
  </si>
  <si>
    <t>Boucle 2 / Loop 2, Saint-Anselme, Moncton Parish, Dieppe, Westmorland County, New Brunswick, E1A 7I4, Canada</t>
  </si>
  <si>
    <t>City of Dieppe (outer Moncton)</t>
  </si>
  <si>
    <r>
      <rPr>
        <sz val="11"/>
        <color rgb="FF000000"/>
        <rFont val="Calibri"/>
        <scheme val="minor"/>
      </rPr>
      <t xml:space="preserve">Panels mounted on water tower
</t>
    </r>
    <r>
      <rPr>
        <sz val="11"/>
        <color rgb="FFFF0000"/>
        <rFont val="Calibri"/>
        <scheme val="minor"/>
      </rPr>
      <t>Gab Belliveau is the Superintendant of Water &amp; Sewer</t>
    </r>
  </si>
  <si>
    <r>
      <rPr>
        <sz val="12"/>
        <color rgb="FF000000"/>
        <rFont val="Calibri"/>
        <scheme val="minor"/>
      </rPr>
      <t xml:space="preserve">Spoke  to &amp; emailed Gabriel Belliveau
</t>
    </r>
    <r>
      <rPr>
        <b/>
        <sz val="12"/>
        <color rgb="FFFF0000"/>
        <rFont val="Calibri"/>
        <scheme val="minor"/>
      </rPr>
      <t xml:space="preserve">gabriel.belliveau@dieppe.ca
</t>
    </r>
    <r>
      <rPr>
        <sz val="12"/>
        <color rgb="FF000000"/>
        <rFont val="Calibri"/>
        <scheme val="minor"/>
      </rPr>
      <t>506-877-7807</t>
    </r>
  </si>
  <si>
    <t>Send email draft in AM</t>
  </si>
  <si>
    <r>
      <rPr>
        <b/>
        <sz val="11"/>
        <color rgb="FF000000"/>
        <rFont val="Calibri"/>
        <scheme val="minor"/>
      </rPr>
      <t>Title Holder:</t>
    </r>
    <r>
      <rPr>
        <sz val="11"/>
        <color rgb="FF000000"/>
        <rFont val="Calibri"/>
        <scheme val="minor"/>
      </rPr>
      <t xml:space="preserve"> City of Dieppe</t>
    </r>
  </si>
  <si>
    <t>47.0662194440001</t>
  </si>
  <si>
    <t>-67.756438889</t>
  </si>
  <si>
    <t>47 - 3 - 58.39</t>
  </si>
  <si>
    <t>67 - 45 - 23.18</t>
  </si>
  <si>
    <t>12, Chemin Grenier, Paroisse de Saint-André, Municipalité régionale de Grand-Sault, Comté de Madawaska, New Brunswick, E3Y 1A3, Canada</t>
  </si>
  <si>
    <t>CDO; No visual on tower at GSV</t>
  </si>
  <si>
    <t>46.0870972220001</t>
  </si>
  <si>
    <t>-64.8107916669999</t>
  </si>
  <si>
    <t>46 - 5 - 13.55</t>
  </si>
  <si>
    <t>64 - 48 - 38.85</t>
  </si>
  <si>
    <t>St. George Boulevard, Moncton Parish, Moncton, Westmorland County, New Brunswick, E1E 2C7, Canada</t>
  </si>
  <si>
    <t xml:space="preserve">Raise the Bar Fitness
</t>
  </si>
  <si>
    <r>
      <rPr>
        <sz val="11"/>
        <color rgb="FF000000"/>
        <rFont val="Calibri"/>
        <scheme val="minor"/>
      </rPr>
      <t xml:space="preserve">ONX shows this tower likely on Gym property. </t>
    </r>
    <r>
      <rPr>
        <b/>
        <sz val="11"/>
        <color rgb="FFFF0000"/>
        <rFont val="Calibri"/>
        <scheme val="minor"/>
      </rPr>
      <t>LAM on 1/19/2026</t>
    </r>
  </si>
  <si>
    <t>45.9084194440001</t>
  </si>
  <si>
    <t>-64.3851444439999</t>
  </si>
  <si>
    <t>45 - 54 - 30.31</t>
  </si>
  <si>
    <t>64 - 23 - 6.52</t>
  </si>
  <si>
    <t>Meadow Lane, Sackville, Westmorland County, New Brunswick, E4L 4P8, Canada</t>
  </si>
  <si>
    <t>Lattice Tower</t>
  </si>
  <si>
    <t>Likely owned by Municipality of Sackville</t>
  </si>
  <si>
    <t xml:space="preserve">Side-by-side monipole towers </t>
  </si>
  <si>
    <t>506-364-4930</t>
  </si>
  <si>
    <t>46.1714055560001</t>
  </si>
  <si>
    <t>-64.024891667</t>
  </si>
  <si>
    <t>46 - 10 - 17.06</t>
  </si>
  <si>
    <t>64 - 1 - 29.61</t>
  </si>
  <si>
    <t>Route 955, Botsford Parish, Westmorland County, New Brunswick, Canada</t>
  </si>
  <si>
    <t xml:space="preserve">CDO  </t>
  </si>
  <si>
    <t>46.1142472220001</t>
  </si>
  <si>
    <t>-63.8384694439999</t>
  </si>
  <si>
    <t>46 - 6 - 51.29</t>
  </si>
  <si>
    <t>63 - 50 - 18.49</t>
  </si>
  <si>
    <t>Lanes Quarry Road, Botsford Parish, Westmorland County, New Brunswick, E4M 2A8, Canada</t>
  </si>
  <si>
    <t>45.920283333</t>
  </si>
  <si>
    <t>-66.6374</t>
  </si>
  <si>
    <t>45 - 55 - 13.02</t>
  </si>
  <si>
    <t>66 - 38 - 14.64</t>
  </si>
  <si>
    <t>64, Alison Boulevard, Skyline Acres, City of Fredericton, York County, New Brunswick, E3B 5H1, Canada</t>
  </si>
  <si>
    <t>46.96</t>
  </si>
  <si>
    <t>-65.794722222</t>
  </si>
  <si>
    <t>46 - 57 - 36.0</t>
  </si>
  <si>
    <t>65 - 47 - 41.0</t>
  </si>
  <si>
    <t>Kanes Lane, Northesk Parish, Rural Community of Miramichi River Valley, Northumberland County, New Brunswick, E9E 1J1, Canada</t>
  </si>
  <si>
    <t>46.4756</t>
  </si>
  <si>
    <t>-64.7388999999999</t>
  </si>
  <si>
    <t>46 - 28 - 32.16</t>
  </si>
  <si>
    <t>64 - 44 - 20.04</t>
  </si>
  <si>
    <t>Paroisse de Wellington, Comté de Kent, New Brunswick, E4S 3H9, Canada</t>
  </si>
  <si>
    <t>46.9081944440001</t>
  </si>
  <si>
    <t>-65.689833333</t>
  </si>
  <si>
    <t>46 - 54 - 29.5</t>
  </si>
  <si>
    <t>65 - 41 - 23.4</t>
  </si>
  <si>
    <t>Parker Road, Southesk Parish, Rural Community of Miramichi River Valley, Northumberland County, New Brunswick, E1V 5G1, Canada</t>
  </si>
  <si>
    <t>46.9208</t>
  </si>
  <si>
    <t>-67.3694</t>
  </si>
  <si>
    <t>46 - 55 - 14.88</t>
  </si>
  <si>
    <t>67 - 22 - 9.84</t>
  </si>
  <si>
    <t>Gordon Parish, District Of Tobique Valley, Victoria County, New Brunswick, E7G 2E4, Canada</t>
  </si>
  <si>
    <t>45.337305556</t>
  </si>
  <si>
    <t>-67.333333333</t>
  </si>
  <si>
    <t>45 - 20 - 14.3</t>
  </si>
  <si>
    <t>67 - 19 - 60.0</t>
  </si>
  <si>
    <t>Lynnfield Road, Oak Hill, Saint James Parish, Southwest Rural District, Charlotte County, New Brunswick, Canada</t>
  </si>
  <si>
    <t>46.7358</t>
  </si>
  <si>
    <t>-65.4186</t>
  </si>
  <si>
    <t>46 - 44 - 8.88</t>
  </si>
  <si>
    <t>65 - 25 - 6.96</t>
  </si>
  <si>
    <t>Rue des Érables, Rogersville, Paroisse de Rogersville, Northumberland County, New Brunswick, E4Y 2N2, Canada</t>
  </si>
  <si>
    <t>46.757194444</t>
  </si>
  <si>
    <t>-67.7594999999999</t>
  </si>
  <si>
    <t>46 - 45 - 25.9</t>
  </si>
  <si>
    <t>67 - 45 - 34.2</t>
  </si>
  <si>
    <t>Route 190, Andover Parish, Village of Southern Victoria, Victoria County, New Brunswick, E7H 0B8, Canada</t>
  </si>
  <si>
    <t>46.547744444</t>
  </si>
  <si>
    <t>-67.733388889</t>
  </si>
  <si>
    <t>46 - 32 - 51.88</t>
  </si>
  <si>
    <t>67 - 44 - 0.2</t>
  </si>
  <si>
    <t>Stairs Road, Wicklow Parish, District of Carleton North, Carleton County, New Brunswick, Canada</t>
  </si>
  <si>
    <t>46.0986</t>
  </si>
  <si>
    <t>-64.7367</t>
  </si>
  <si>
    <t>46 - 5 - 54.96</t>
  </si>
  <si>
    <t>64 - 44 - 12.12</t>
  </si>
  <si>
    <t>CCNB - Campus de Dieppe, Rue du Collège, Moncton Parish, Dieppe, Westmorland County, New Brunswick, E1A 1P2, Canada</t>
  </si>
  <si>
    <t>CDO - Likely owned by municipality</t>
  </si>
  <si>
    <t>45.829666667</t>
  </si>
  <si>
    <t>-66.230027778</t>
  </si>
  <si>
    <t>45 - 49 - 46.8</t>
  </si>
  <si>
    <t>66 - 13 - 48.1</t>
  </si>
  <si>
    <t>Route 2, Gagetown Parish, Village of Arcadia, Queens County, New Brunswick, E5M 1S6, Canada</t>
  </si>
  <si>
    <t>45.8959972220001</t>
  </si>
  <si>
    <t>-66.5917527779999</t>
  </si>
  <si>
    <t>45 - 53 - 45.59</t>
  </si>
  <si>
    <t>66 - 35 - 30.31</t>
  </si>
  <si>
    <t>Dorcas Street, Lincoln, City of Fredericton, Sunbury County, New Brunswick, E3B 0E3, Canada</t>
  </si>
  <si>
    <t>Kerr Controls</t>
  </si>
  <si>
    <t>45.8948111110001</t>
  </si>
  <si>
    <t>-66.7731666669999</t>
  </si>
  <si>
    <t>45 - 53 - 41.32</t>
  </si>
  <si>
    <t>66 - 46 - 23.4</t>
  </si>
  <si>
    <t>Timberland Court, Kingsclear Parish, Hanwell Rural Community, York County, New Brunswick, E3E 2C8, Canada</t>
  </si>
  <si>
    <t>46.0750166670001</t>
  </si>
  <si>
    <t>-64.8306361109999</t>
  </si>
  <si>
    <t>46 - 4 - 30.06</t>
  </si>
  <si>
    <t>64 - 49 - 50.29</t>
  </si>
  <si>
    <t>Baig Boulevard, Moncton Parish, Moncton, Westmorland County, New Brunswick, E1E 1C8, Canada</t>
  </si>
  <si>
    <t>Green Diamond Equipment</t>
  </si>
  <si>
    <t>+1 (506) 388-3608</t>
  </si>
  <si>
    <t>45.7140805560001</t>
  </si>
  <si>
    <t>-65.512597222</t>
  </si>
  <si>
    <t>45 - 42 - 50.69</t>
  </si>
  <si>
    <t>65 - 30 - 45.35</t>
  </si>
  <si>
    <t>46.1641777780001</t>
  </si>
  <si>
    <t>-64.910569444</t>
  </si>
  <si>
    <t>46 - 9 - 51.04</t>
  </si>
  <si>
    <t>64 - 54 - 38.05</t>
  </si>
  <si>
    <t>Moncton Parish, Moncton, Westmorland County, New Brunswick, Canada</t>
  </si>
  <si>
    <t>45.3691027780001</t>
  </si>
  <si>
    <t>-65.996483333</t>
  </si>
  <si>
    <t>45 - 22 - 8.77</t>
  </si>
  <si>
    <t>65 - 59 - 47.34</t>
  </si>
  <si>
    <t>Riverside Country Club, Willow Avenue, Rothesay Parish, Town of Rothesay, Kings County, New Brunswick, E2H 2S3, Canada</t>
  </si>
  <si>
    <t>Guyed</t>
  </si>
  <si>
    <t xml:space="preserve">Riverside Country Club
Looking at removal - </t>
  </si>
  <si>
    <r>
      <rPr>
        <b/>
        <sz val="11"/>
        <color rgb="FFFF0000"/>
        <rFont val="Calibri"/>
      </rPr>
      <t>Jason Porter GM</t>
    </r>
    <r>
      <rPr>
        <sz val="11"/>
        <color rgb="FF000000"/>
        <rFont val="Calibri"/>
      </rPr>
      <t xml:space="preserve"> &amp; Executive Ext. 234 </t>
    </r>
  </si>
  <si>
    <t>1-506-647-1504  (cell)
1-506-847-7545 Ext. 234</t>
  </si>
  <si>
    <t>46.7571888890001</t>
  </si>
  <si>
    <t>-67.7594861109999</t>
  </si>
  <si>
    <t>46 - 45 - 25.88</t>
  </si>
  <si>
    <t>67 - 45 - 34.15</t>
  </si>
  <si>
    <t>46.0502361110001</t>
  </si>
  <si>
    <t>-65.0772666669999</t>
  </si>
  <si>
    <t>46 - 3 - 0.85</t>
  </si>
  <si>
    <t>65 - 4 - 38.16</t>
  </si>
  <si>
    <t>Homestead Road, Salisbury Parish, Westmorland County, New Brunswick, E4J 2G1, Canada</t>
  </si>
  <si>
    <t>45.2506388890001</t>
  </si>
  <si>
    <t>-66.099522222</t>
  </si>
  <si>
    <t>45 - 15 - 2.3</t>
  </si>
  <si>
    <t>66 - 5 - 58.28</t>
  </si>
  <si>
    <t>Fairville Boulevard, Greendale, Purdys Corner, City of Saint John, Saint John County, New Brunswick, E5K 1Z1, Canada</t>
  </si>
  <si>
    <t xml:space="preserve">Big Dog Detailing
</t>
  </si>
  <si>
    <t>Rooftop panels, plus 2 monopoles located on same parcel</t>
  </si>
  <si>
    <t>1506-607-2399</t>
  </si>
  <si>
    <t>Brett to call</t>
  </si>
  <si>
    <t>46.063777778</t>
  </si>
  <si>
    <t>-66.581638889</t>
  </si>
  <si>
    <t>46 - 3 - 49.6</t>
  </si>
  <si>
    <t>66 - 34 - 53.9</t>
  </si>
  <si>
    <t>Route 628, Penniac, Durham Bridge, Saint Marys Parish, Nashwaak Rural Community, York County, New Brunswick, E6C 1K8, Canada</t>
  </si>
  <si>
    <t>45.842305556</t>
  </si>
  <si>
    <t>-66.0147777779999</t>
  </si>
  <si>
    <t>45 - 50 - 32.3</t>
  </si>
  <si>
    <t>66 - 0 - 53.2</t>
  </si>
  <si>
    <t>Bridge Drive, Cambridge-Narrows, Cambridge Parish, Village of Arcadia, Queens County, New Brunswick, E4C 1N9, Canada</t>
  </si>
  <si>
    <t>46.0964083330001</t>
  </si>
  <si>
    <t>-64.8096027779999</t>
  </si>
  <si>
    <t>46 - 5 - 47.07</t>
  </si>
  <si>
    <t>64 - 48 - 34.57</t>
  </si>
  <si>
    <t>Collishaw Street, Victory Industrial Park, Moncton Parish, Moncton, Westmorland County, New Brunswick, E1C 9N6, Canada</t>
  </si>
  <si>
    <t>RE/MAX AVANTE
DUPLICATED - MAYBE BECAUSE MULTIPLE CARRIERS ON SAME ROOFTOP?</t>
  </si>
  <si>
    <t xml:space="preserve">HIDE THIS ROW, ITS NOT APPLICABLE </t>
  </si>
  <si>
    <t>45.8527861110001</t>
  </si>
  <si>
    <t>-66.44575</t>
  </si>
  <si>
    <t>45 - 51 - 10.03</t>
  </si>
  <si>
    <t>66 - 26 - 44.7</t>
  </si>
  <si>
    <t>Champlain Avenue, Burton, Town of Oromocto, Sunbury County, New Brunswick, E2V 2Y6, Canada</t>
  </si>
  <si>
    <t>Gagetown Fitness</t>
  </si>
  <si>
    <t>Located on Canadian Military base</t>
  </si>
  <si>
    <t>46.130025</t>
  </si>
  <si>
    <t>-64.912505556</t>
  </si>
  <si>
    <t>46 - 7 - 48.09</t>
  </si>
  <si>
    <t>64 - 54 - 45.02</t>
  </si>
  <si>
    <t>Homestead Road, Moncton Parish, Lutes Mountain, Westmorland County, New Brunswick, E1G 3S5, Canada</t>
  </si>
  <si>
    <t>45.2717000000001</t>
  </si>
  <si>
    <t>-65.9963999999999</t>
  </si>
  <si>
    <t>45 - 16 - 18.12</t>
  </si>
  <si>
    <t>65 - 59 - 47.04</t>
  </si>
  <si>
    <t>1225, Bayside Drive, Grandview, City of Saint John, Saint John County, New Brunswick, E2J 4V9, Canada</t>
  </si>
  <si>
    <t>45.943052778</t>
  </si>
  <si>
    <t>-66.648861111</t>
  </si>
  <si>
    <t>45 - 56 - 34.99</t>
  </si>
  <si>
    <t>66 - 38 - 55.9</t>
  </si>
  <si>
    <t>University of New Brunswick, Rue Montgomery Street, College Hill, Skyline Acres, City of Fredericton, York County, New Brunswick, E3B 5W7, Canada</t>
  </si>
  <si>
    <t xml:space="preserve">Magee House (university housing)
</t>
  </si>
  <si>
    <t>Phone: 506-453-4800 / 1-888-865-6122 (toll-free)  Phone: 506-453-4948</t>
  </si>
  <si>
    <t>45.170888889</t>
  </si>
  <si>
    <t>-66.908083333</t>
  </si>
  <si>
    <t>45 - 10 - 15.2</t>
  </si>
  <si>
    <t>66 - 54 - 29.1</t>
  </si>
  <si>
    <t>Saint Patrick Parish, Municipality of Eastern Charlotte, Charlotte County, New Brunswick, Canada</t>
  </si>
  <si>
    <t>47.846561111</t>
  </si>
  <si>
    <t>-65.88015</t>
  </si>
  <si>
    <t>47 - 50 - 47.62</t>
  </si>
  <si>
    <t>65 - 52 - 48.54</t>
  </si>
  <si>
    <t>Chemin Turgeon, Paroisse de Beresford, Comté de Gloucester, New Brunswick, Canada</t>
  </si>
  <si>
    <t>47.6748027780001</t>
  </si>
  <si>
    <t>-65.6975555559999</t>
  </si>
  <si>
    <t>47 - 40 - 29.29</t>
  </si>
  <si>
    <t>65 - 41 - 51.2</t>
  </si>
  <si>
    <t>Route 11, Paroisse de Beresford, Comté de Gloucester, New Brunswick, E8K 1H2, Canada</t>
  </si>
  <si>
    <t>45.990069444</t>
  </si>
  <si>
    <t>-66.669980556</t>
  </si>
  <si>
    <t>45 - 59 - 24.25</t>
  </si>
  <si>
    <t>66 - 40 - 11.93</t>
  </si>
  <si>
    <t>ServiceMaster of Fredericton
Aqua-Power Cleaners (1979) Ltd</t>
  </si>
  <si>
    <t>Two monopoles in parking lot of Comm business</t>
  </si>
  <si>
    <t>46.09205</t>
  </si>
  <si>
    <t>-64.852183333</t>
  </si>
  <si>
    <t>46 - 5 - 31.38</t>
  </si>
  <si>
    <t>64 - 51 - 7.86</t>
  </si>
  <si>
    <t>Odlum Jct, English Drive, Moncton Parish, Moncton, Westmorland County, New Brunswick, E1E 4E3, Canada</t>
  </si>
  <si>
    <t>Richelieu MONCTON
Procraft Industrial</t>
  </si>
  <si>
    <t>18003616000
+15063825050</t>
  </si>
  <si>
    <t>46.1010944440001</t>
  </si>
  <si>
    <t>-64.767483333</t>
  </si>
  <si>
    <t>46 - 6 - 3.94</t>
  </si>
  <si>
    <t>64 - 46 - 2.94</t>
  </si>
  <si>
    <t>Dowd Street, Moncton Parish, Moncton, Westmorland County, New Brunswick, E1A 6T1, Canada</t>
  </si>
  <si>
    <t>Scissor Excitement</t>
  </si>
  <si>
    <t>46.015233333</t>
  </si>
  <si>
    <t>-66.2344555559999</t>
  </si>
  <si>
    <t>46 - 0 - 54.84</t>
  </si>
  <si>
    <t>66 - 14 - 4.04</t>
  </si>
  <si>
    <t>Road 14, Sheffield Parish, Capital Region Rural District, Sunbury County, New Brunswick, E4B 3H6, Canada</t>
  </si>
  <si>
    <t>45.9614388890001</t>
  </si>
  <si>
    <t>-66.6440527779999</t>
  </si>
  <si>
    <t>45 - 57 - 41.18</t>
  </si>
  <si>
    <t>66 - 38 - 38.59</t>
  </si>
  <si>
    <t>Kings Place, 440, Rue King Street, Garrison District, Downtown, City of Fredericton, York County, New Brunswick, E3B 1E5, Canada</t>
  </si>
  <si>
    <t xml:space="preserve">Kings Place Mall
</t>
  </si>
  <si>
    <t>Admin says Luke is Bldg Operator, 1-506-238-5315</t>
  </si>
  <si>
    <t>46.1252416670001</t>
  </si>
  <si>
    <t>-64.7640749999999</t>
  </si>
  <si>
    <t>46 - 7 - 30.87</t>
  </si>
  <si>
    <t>64 - 45 - 50.67</t>
  </si>
  <si>
    <t>Price Street, Moncton Parish, Moncton, Westmorland County, New Brunswick, E1A 9G6, Canada</t>
  </si>
  <si>
    <t>Lineage (Courier company)- Spoke to Bldg Mngr, the land of Lineage is owned by 3rd party, and unsure of who owns tower parcel</t>
  </si>
  <si>
    <t>Located adjacent to Lineage warehouse, is separate parcel as per ONX</t>
  </si>
  <si>
    <t>46.1047194440001</t>
  </si>
  <si>
    <t>-64.8055555559999</t>
  </si>
  <si>
    <t>46 - 6 - 16.99</t>
  </si>
  <si>
    <t>64 - 48 - 20.0</t>
  </si>
  <si>
    <t>Moncton Hospital, 135, MacBeath Avenue, Moncton Parish, Moncton, Westmorland County, New Brunswick, E1C 6Z8, Canada</t>
  </si>
  <si>
    <t>Moncton Hospital</t>
  </si>
  <si>
    <t xml:space="preserve">Rooftop panels </t>
  </si>
  <si>
    <t>45.9924972220001</t>
  </si>
  <si>
    <t>-64.499441667</t>
  </si>
  <si>
    <t>45 - 59 - 32.99</t>
  </si>
  <si>
    <t>64 - 29 - 57.99</t>
  </si>
  <si>
    <t>Service Road, Dorchester Parish, Westmorland County, New Brunswick, Canada</t>
  </si>
  <si>
    <t>45.8694</t>
  </si>
  <si>
    <t>-66.6103388889999</t>
  </si>
  <si>
    <t>45 - 52 - 9.84</t>
  </si>
  <si>
    <t>66 - 36 - 37.22</t>
  </si>
  <si>
    <t>Lincoln Parish, Sunbury-York South Rural Community, Sunbury County, New Brunswick, E3B 5A6, Canada</t>
  </si>
  <si>
    <t>45.438</t>
  </si>
  <si>
    <t>-65.9</t>
  </si>
  <si>
    <t>45 - 26 - 16.8</t>
  </si>
  <si>
    <t>65 - 54 - 0.0</t>
  </si>
  <si>
    <t>117, Stock Farm Road, Rothesay Parish, Town of Quispamsis, Kings County, New Brunswick, E2G 1C2, Canada</t>
  </si>
  <si>
    <t>45.9909500000001</t>
  </si>
  <si>
    <t>-66.7568388889999</t>
  </si>
  <si>
    <t>45 - 59 - 27.42</t>
  </si>
  <si>
    <t>66 - 45 - 24.62</t>
  </si>
  <si>
    <t>Shields Street, Douglas, City of Fredericton, York County, New Brunswick, Canada</t>
  </si>
  <si>
    <t>CDO - located on a mine site, large parcel of land, rent likely collected by the owner of the mine site</t>
  </si>
  <si>
    <t>47.3686111110001</t>
  </si>
  <si>
    <t>-68.356388889</t>
  </si>
  <si>
    <t>47 - 22 - 7.0</t>
  </si>
  <si>
    <t>68 - 21 - 23.0</t>
  </si>
  <si>
    <t>Piste Quisibis, Paroisse de Madawaska, Ville d'Edmundston, Comté de Madawaska, New Brunswick, E3V 1G4, Canada</t>
  </si>
  <si>
    <t>45.2527777780001</t>
  </si>
  <si>
    <t>-66.078027778</t>
  </si>
  <si>
    <t>45 - 15 - 10.0</t>
  </si>
  <si>
    <t>66 - 4 - 40.9</t>
  </si>
  <si>
    <t>685, Fundy Drive, Fundy Heights, Saint John West, City of Saint John, Saint John County, New Brunswick, E2M 2V4, Canada</t>
  </si>
  <si>
    <t>46.071916667</t>
  </si>
  <si>
    <t>-64.8671944439999</t>
  </si>
  <si>
    <t>46 - 4 - 18.9</t>
  </si>
  <si>
    <t>64 - 52 - 1.9</t>
  </si>
  <si>
    <t>Hump Yard Road, Moncton Parish, Moncton, Westmorland County, New Brunswick, E1E 0E8, Canada</t>
  </si>
  <si>
    <t xml:space="preserve">ARS Rolling Stock Inc
</t>
  </si>
  <si>
    <t>Tower inside CN-owned train yard. ARS Roll stock has a business inside train yard; no GSV on tower, no OVD view, try to call and ask if Comm equipment exists at this site</t>
  </si>
  <si>
    <t>46.0980361110001</t>
  </si>
  <si>
    <t>-64.787133333</t>
  </si>
  <si>
    <t>46 - 5 - 52.93</t>
  </si>
  <si>
    <t>64 - 47 - 13.68</t>
  </si>
  <si>
    <t>Dr-Georges-L.-Dumont Hospital, 330, Avenue de l'Université, Moncton Parish, Moncton, Westmorland County, New Brunswick, E1C 2Z3, Canada</t>
  </si>
  <si>
    <t xml:space="preserve">Dr. Georges-L.-Dumont University Hospital Centre; NO direct visual on rooftop panels 
</t>
  </si>
  <si>
    <t xml:space="preserve">Call and ask to speak to Maintenance person at hospital </t>
  </si>
  <si>
    <t>45.944519444</t>
  </si>
  <si>
    <t>-66.6734333329999</t>
  </si>
  <si>
    <t>45 - 56 - 40.27</t>
  </si>
  <si>
    <t>66 - 40 - 24.36</t>
  </si>
  <si>
    <t>919, Prospect Street, Uptown, City of Fredericton, York County, New Brunswick, E3B 3H5, Canada</t>
  </si>
  <si>
    <t>No tower noted at location</t>
  </si>
  <si>
    <t>45.2565750000001</t>
  </si>
  <si>
    <t>-66.100519444</t>
  </si>
  <si>
    <t>45 - 15 - 23.67</t>
  </si>
  <si>
    <t>66 - 6 - 1.87</t>
  </si>
  <si>
    <t>639, Manawagonish Road, Greendale, Purdys Corner, City of Saint John, Saint John County, New Brunswick, E2M 4P5, Canada</t>
  </si>
  <si>
    <t>45.948730556</t>
  </si>
  <si>
    <t>-66.664588889</t>
  </si>
  <si>
    <t>45 - 56 - 55.43</t>
  </si>
  <si>
    <t>66 - 39 - 52.52</t>
  </si>
  <si>
    <t>5, Beechwood Crescent, Uptown, City of Fredericton, York County, New Brunswick, E3B 3H2, Canada</t>
  </si>
  <si>
    <t>46.1411000000001</t>
  </si>
  <si>
    <t>-67.5982999999999</t>
  </si>
  <si>
    <t>46 - 8 - 27.96</t>
  </si>
  <si>
    <t>67 - 35 - 53.88</t>
  </si>
  <si>
    <t>Charles Street, Woodstock Parish, Town of Woodstock, Carleton County, New Brunswick, E7M 2C2, Canada</t>
  </si>
  <si>
    <t>CDO; small parcel of rural land. OVD view of tower only; likely owned by carrier (Cell phone company)</t>
  </si>
  <si>
    <t>47.790241667</t>
  </si>
  <si>
    <t>-64.958466667</t>
  </si>
  <si>
    <t>47 - 47 - 24.87</t>
  </si>
  <si>
    <t>64 - 57 - 30.48</t>
  </si>
  <si>
    <t>Palais de justice de Caraquet, 182, Boulevard Saint-Pierre Ouest, Pointe-Rocheuse, Caraquet, Comté de Gloucester, New Brunswick, E1W 1B2, Canada</t>
  </si>
  <si>
    <t>No tower at location</t>
  </si>
  <si>
    <t>47.0556</t>
  </si>
  <si>
    <t>-65.4886</t>
  </si>
  <si>
    <t>47 - 3 - 20.16</t>
  </si>
  <si>
    <t>65 - 29 - 18.96</t>
  </si>
  <si>
    <t>Route 8, Paroisse de Newcastle, Northumberland County, New Brunswick, E1V 7T9, Canada</t>
  </si>
  <si>
    <t>45.3021416670001</t>
  </si>
  <si>
    <t>-66.084280556</t>
  </si>
  <si>
    <t>45 - 18 - 7.71</t>
  </si>
  <si>
    <t>66 - 5 - 3.41</t>
  </si>
  <si>
    <t>400, University Avenue, City of Saint John, Saint John County, New Brunswick, E2L 4L2, Canada</t>
  </si>
  <si>
    <t>45.333888889</t>
  </si>
  <si>
    <t>-65.9372222219999</t>
  </si>
  <si>
    <t>45 - 20 - 2.0</t>
  </si>
  <si>
    <t>65 - 56 - 14.0</t>
  </si>
  <si>
    <t>1033, Hillcrest Road, City of Saint John, Saint John County, New Brunswick, E2N 1E6, Canada</t>
  </si>
  <si>
    <t>45.9573055560001</t>
  </si>
  <si>
    <t>-66.6944694439999</t>
  </si>
  <si>
    <t>45 - 57 - 26.3</t>
  </si>
  <si>
    <t>66 - 41 - 40.09</t>
  </si>
  <si>
    <t>Rue Prospect, Morning Gate, City of Fredericton, York County, New Brunswick, E3B 5Z1, Canada</t>
  </si>
  <si>
    <t>45.848508333</t>
  </si>
  <si>
    <t>-66.473508333</t>
  </si>
  <si>
    <t>45 - 50 - 54.63</t>
  </si>
  <si>
    <t>66 - 28 - 24.63</t>
  </si>
  <si>
    <t>Oromocto Public Hospital, Broad Road, Burton Parish, Sunbury County, New Brunswick, E2V 4M4, Canada</t>
  </si>
  <si>
    <t>45.929888889</t>
  </si>
  <si>
    <t>-66.7118972219999</t>
  </si>
  <si>
    <t>45 - 55 - 47.6</t>
  </si>
  <si>
    <t>66 - 42 - 42.83</t>
  </si>
  <si>
    <t>Kingswood Entertainment Centre, Voie Kingswood Way, Kingsclear Parish, Hanwell Rural Community, York County, New Brunswick, E3C 2L4, Canada</t>
  </si>
  <si>
    <t>45.8916</t>
  </si>
  <si>
    <t>-66.5733999999999</t>
  </si>
  <si>
    <t>45 - 53 - 29.76</t>
  </si>
  <si>
    <t>66 - 34 - 24.24</t>
  </si>
  <si>
    <t>Floral Crescent, Town of Oromocto, Sunbury County, New Brunswick, E3B 8N1, Canada</t>
  </si>
  <si>
    <t>-65.418597222</t>
  </si>
  <si>
    <t>65 - 25 - 6.95</t>
  </si>
  <si>
    <t>46.4603000000001</t>
  </si>
  <si>
    <t>-64.958883333</t>
  </si>
  <si>
    <t>46 - 27 - 37.08</t>
  </si>
  <si>
    <t>64 - 57 - 31.98</t>
  </si>
  <si>
    <t>Chemin L'Église, Weldford Parish, Comté de Kent, New Brunswick, Canada</t>
  </si>
  <si>
    <t>45.937983333</t>
  </si>
  <si>
    <t>-65.986791667</t>
  </si>
  <si>
    <t>45 - 56 - 16.74</t>
  </si>
  <si>
    <t>65 - 59 - 12.45</t>
  </si>
  <si>
    <t>Waterborough Parish, Village of Arcadia, Queens County, New Brunswick, Canada</t>
  </si>
  <si>
    <t>45.278058333</t>
  </si>
  <si>
    <t>-66.071897222</t>
  </si>
  <si>
    <t>45 - 16 - 41.01</t>
  </si>
  <si>
    <t>66 - 4 - 18.83</t>
  </si>
  <si>
    <t>55, Magazine Street, Indiantown, City of Saint John, Saint John County, New Brunswick, E2K 5S8, Canada</t>
  </si>
  <si>
    <t>45.983575</t>
  </si>
  <si>
    <t>-66.878286111</t>
  </si>
  <si>
    <t>45 - 59 - 0.87</t>
  </si>
  <si>
    <t>66 - 52 - 41.83</t>
  </si>
  <si>
    <t>Rocky Road, Bright Parish, Central York Rural Community, York County, New Brunswick, E6L 1M2, Canada</t>
  </si>
  <si>
    <t>45.8519388890001</t>
  </si>
  <si>
    <t>-65.226580556</t>
  </si>
  <si>
    <t>45 - 51 - 6.98</t>
  </si>
  <si>
    <t>65 - 13 - 35.69</t>
  </si>
  <si>
    <t>Route 895, Cardwell Parish, Kings Rural District, Kings County, New Brunswick, Canada</t>
  </si>
  <si>
    <t>46.1560305560001</t>
  </si>
  <si>
    <t>-66.580261111</t>
  </si>
  <si>
    <t>46 - 9 - 21.71</t>
  </si>
  <si>
    <t>66 - 34 - 48.94</t>
  </si>
  <si>
    <t>Sweeney Road, Saint Marys Parish, Nashwaak Rural Community, York County, New Brunswick, Canada</t>
  </si>
  <si>
    <t>45.477911111</t>
  </si>
  <si>
    <t>-66.234730556</t>
  </si>
  <si>
    <t>45 - 28 - 40.48</t>
  </si>
  <si>
    <t>66 - 14 - 5.03</t>
  </si>
  <si>
    <t>Brittain Road, Petersville Parish, Fundy Rural District, Queens County, New Brunswick, Canada</t>
  </si>
  <si>
    <t>45.099688889</t>
  </si>
  <si>
    <t>-66.659180556</t>
  </si>
  <si>
    <t>45 - 5 - 58.88</t>
  </si>
  <si>
    <t>66 - 39 - 33.05</t>
  </si>
  <si>
    <t>Seeleys Cove, Pennfield Parish, Municipality of Eastern Charlotte, Charlotte County, New Brunswick, Canada</t>
  </si>
  <si>
    <t>46.087594444</t>
  </si>
  <si>
    <t>-64.989325</t>
  </si>
  <si>
    <t>46 - 5 - 15.34</t>
  </si>
  <si>
    <t>64 - 59 - 21.57</t>
  </si>
  <si>
    <t>Homestead Road, Moncton Parish, Westmorland County, New Brunswick, E1G 4A1, Canada</t>
  </si>
  <si>
    <t>46.140288889</t>
  </si>
  <si>
    <t>-67.598361111</t>
  </si>
  <si>
    <t>46 - 8 - 25.04</t>
  </si>
  <si>
    <t>67 - 35 - 54.1</t>
  </si>
  <si>
    <t>46.119952778</t>
  </si>
  <si>
    <t>-67.1088861109999</t>
  </si>
  <si>
    <t>46 - 7 - 11.83</t>
  </si>
  <si>
    <t>67 - 6 - 31.99</t>
  </si>
  <si>
    <t>Sherrdon Crescent, Central Hainesville, Bright Parish, Central York Rural Community, York County, New Brunswick, Canada</t>
  </si>
  <si>
    <t>47.9870777780001</t>
  </si>
  <si>
    <t>-66.3353861109999</t>
  </si>
  <si>
    <t>47 - 59 - 13.48</t>
  </si>
  <si>
    <t>66 - 20 - 7.39</t>
  </si>
  <si>
    <t>Colborne Parish, New Brunswick, E8E 2N1, Canada</t>
  </si>
  <si>
    <t>45.610811111</t>
  </si>
  <si>
    <t>-65.921947222</t>
  </si>
  <si>
    <t>45 - 36 - 38.92</t>
  </si>
  <si>
    <t>65 - 55 - 19.01</t>
  </si>
  <si>
    <t>Pascobac Lane, Kars Parish, Village of Valley Waters, Kings County, New Brunswick, E5N 1R7, Canada</t>
  </si>
  <si>
    <t>45.3701611110001</t>
  </si>
  <si>
    <t>-65.7735111109999</t>
  </si>
  <si>
    <t>45 - 22 - 12.58</t>
  </si>
  <si>
    <t>65 - 46 - 24.64</t>
  </si>
  <si>
    <t>Otter Lake Road, Simonds Parish, Village of Fundy-St. Martins, Saint John County, New Brunswick, Canada</t>
  </si>
  <si>
    <t>45.0930555560001</t>
  </si>
  <si>
    <t>-66.455247222</t>
  </si>
  <si>
    <t>45 - 5 - 35.0</t>
  </si>
  <si>
    <t>66 - 27 - 18.89</t>
  </si>
  <si>
    <t>VE9MBY 444.875+, Ridge Road, Maces Bay, Musquash Parish, Rural Community of Fundy Shores, Saint John County, New Brunswick, E5J 1W4, Canada</t>
  </si>
  <si>
    <t>45.1293305560001</t>
  </si>
  <si>
    <t>-66.804511111</t>
  </si>
  <si>
    <t>45 - 7 - 45.59</t>
  </si>
  <si>
    <t>66 - 48 - 16.24</t>
  </si>
  <si>
    <t>VE9STG 147.225+, Mount Pleasant Road, Saint George, Saint George Parish, Municipality of Eastern Charlotte, Charlotte County, New Brunswick, E5C 3K4, Canada</t>
  </si>
  <si>
    <t>47.0987805560001</t>
  </si>
  <si>
    <t>-65.3924388889999</t>
  </si>
  <si>
    <t>47 - 5 - 55.61</t>
  </si>
  <si>
    <t>65 - 23 - 32.78</t>
  </si>
  <si>
    <t>Russellville Road, Paroisse de Newcastle, Northumberland County, New Brunswick, E1N 4M1, Canada</t>
  </si>
  <si>
    <t>45.5044111110001</t>
  </si>
  <si>
    <t>-65.746152778</t>
  </si>
  <si>
    <t>45 - 30 - 15.88</t>
  </si>
  <si>
    <t>65 - 44 - 46.15</t>
  </si>
  <si>
    <t>Ernest Smith Road, Town of Hampton, Kings County, New Brunswick, Canada</t>
  </si>
  <si>
    <t>46.272036111</t>
  </si>
  <si>
    <t>-67.639441667</t>
  </si>
  <si>
    <t>46 - 16 - 19.33</t>
  </si>
  <si>
    <t>67 - 38 - 21.99</t>
  </si>
  <si>
    <t>Route 560, Wakefield Parish, Town of Woodstock, Carleton County, New Brunswick, Canada</t>
  </si>
  <si>
    <t>46.800269444</t>
  </si>
  <si>
    <t>-65.881902778</t>
  </si>
  <si>
    <t>46 - 48 - 0.97</t>
  </si>
  <si>
    <t>65 - 52 - 54.85</t>
  </si>
  <si>
    <t>Lockstead Road, Blackville Parish, Rural Community of Miramichi River Valley, Northumberland County, New Brunswick, Canada</t>
  </si>
  <si>
    <t>45.9814250000001</t>
  </si>
  <si>
    <t>-66.2073694439999</t>
  </si>
  <si>
    <t>45 - 58 - 53.13</t>
  </si>
  <si>
    <t>66 - 12 - 26.53</t>
  </si>
  <si>
    <t>Route 670, Albrights Corner, Sheffield Parish, Municipality of Grand Lake, Sunbury County, New Brunswick, E4B 1E6, Canada</t>
  </si>
  <si>
    <t>46.9920777780001</t>
  </si>
  <si>
    <t>-67.617322222</t>
  </si>
  <si>
    <t>46 - 59 - 31.48</t>
  </si>
  <si>
    <t>67 - 37 - 2.36</t>
  </si>
  <si>
    <t>162, Klokledahl Hill Road, New Denmark, Paroisse de Denmark, Western Valley Rural District, Victoria County, New Brunswick, E7G 2T2, Canada</t>
  </si>
  <si>
    <t>46.89</t>
  </si>
  <si>
    <t>-67.407777778</t>
  </si>
  <si>
    <t>46 - 53 - 24.0</t>
  </si>
  <si>
    <t>67 - 24 - 28.0</t>
  </si>
  <si>
    <t>Old CN Station Road, Gordon Parish, District Of Tobique Valley, Victoria County, New Brunswick, E7G 2E4, Canada</t>
  </si>
  <si>
    <t>No major equipment on tower structure</t>
  </si>
  <si>
    <t>46.072166667</t>
  </si>
  <si>
    <t>-64.869194444</t>
  </si>
  <si>
    <t>46 - 4 - 19.8</t>
  </si>
  <si>
    <t>64 - 52 - 9.1</t>
  </si>
  <si>
    <t>Duplicated with Line #63 - ARS Rolling stock</t>
  </si>
  <si>
    <t>46.0790000000001</t>
  </si>
  <si>
    <t>-64.851722222</t>
  </si>
  <si>
    <t>46 - 4 - 44.4</t>
  </si>
  <si>
    <t>64 - 51 - 6.2</t>
  </si>
  <si>
    <t>46.1018611110001</t>
  </si>
  <si>
    <t>-63.915461111</t>
  </si>
  <si>
    <t>46 - 6 - 6.7</t>
  </si>
  <si>
    <t>63 - 54 - 55.66</t>
  </si>
  <si>
    <t>Route 16, Malden, Botsford Parish, Westmorland County, New Brunswick, Canada</t>
  </si>
  <si>
    <r>
      <rPr>
        <sz val="11"/>
        <color rgb="FFFF0000"/>
        <rFont val="Calibri"/>
        <scheme val="minor"/>
      </rPr>
      <t xml:space="preserve">CDO </t>
    </r>
    <r>
      <rPr>
        <sz val="11"/>
        <color rgb="FF000000"/>
        <rFont val="Calibri"/>
        <scheme val="minor"/>
      </rPr>
      <t>- 
Nearby church to potentially call - St. Bartholomew Parish</t>
    </r>
  </si>
  <si>
    <t>tiny rural plot of land as per ONX, likely owned by carrier</t>
  </si>
  <si>
    <t>46.1768916670001</t>
  </si>
  <si>
    <t>-67.5493638889999</t>
  </si>
  <si>
    <t>46 - 10 - 36.81</t>
  </si>
  <si>
    <t>67 - 32 - 57.71</t>
  </si>
  <si>
    <t>Northampton Parish, Town of Woodstock, Carleton County, New Brunswick, E7M 2E9, Canada</t>
  </si>
  <si>
    <t xml:space="preserve">Brigitte's Bed and Breakfast
</t>
  </si>
  <si>
    <t>If we can contact in the future, any owners of the nearby homes on Coo St. Property at the end of Cook street has Tower on its parcel as per ONX.</t>
  </si>
  <si>
    <t>46.9004722220001</t>
  </si>
  <si>
    <t>-67.419166667</t>
  </si>
  <si>
    <t>46 - 54 - 1.7</t>
  </si>
  <si>
    <t>67 - 25 - 9.0</t>
  </si>
  <si>
    <t>Linton Corner, Gordon Parish, District Of Tobique Valley, Victoria County, New Brunswick, E7G 2E4, Canada</t>
  </si>
  <si>
    <t>CDO; no GSV on rural tower</t>
  </si>
  <si>
    <t>47.335</t>
  </si>
  <si>
    <t>-68.6136</t>
  </si>
  <si>
    <t>47 - 20 - 6.0</t>
  </si>
  <si>
    <t>68 - 36 - 48.96</t>
  </si>
  <si>
    <t>Paroisse du Lac-Baker, Haut-Madawaska, Comté de Madawaska, New Brunswick, Canada</t>
  </si>
  <si>
    <t>TIny plot of rural land on Guyed Tower; likely owned by carrier; no nearby businesses</t>
  </si>
  <si>
    <t>46.7047166670001</t>
  </si>
  <si>
    <t>-65.838463889</t>
  </si>
  <si>
    <t>46 - 42 - 16.98</t>
  </si>
  <si>
    <t>65 - 50 - 18.47</t>
  </si>
  <si>
    <t>Route 8, Blackville Parish, Rural Community of Miramichi River Valley, Northumberland County, New Brunswick, E9B 1N8, Canada</t>
  </si>
  <si>
    <t>Greater Blackville Resource Centre
Tiny plot of land likely owned by Carrier</t>
  </si>
  <si>
    <t>Rural Guyed tower; call Resource Center nearby
https://www.rivervalleycycling.com/ as secondary resource</t>
  </si>
  <si>
    <t>46.1928055560001</t>
  </si>
  <si>
    <t>-64.8602194439999</t>
  </si>
  <si>
    <t>46 - 11 - 34.1</t>
  </si>
  <si>
    <t>64 - 51 - 36.79</t>
  </si>
  <si>
    <t>Indian Mountain Road, Moncton Parish, Westmorland County, New Brunswick, E1H 2M3, Canada</t>
  </si>
  <si>
    <t>CDO - likely owned by Carrier</t>
  </si>
  <si>
    <t>Side by side Guyed Towed on small rural plot of land</t>
  </si>
  <si>
    <t>46.0589416670001</t>
  </si>
  <si>
    <t>-64.815611111</t>
  </si>
  <si>
    <t>46 - 3 - 32.19</t>
  </si>
  <si>
    <t>64 - 48 - 56.2</t>
  </si>
  <si>
    <t>Wentworth Drive, Coverdale Parish, Albert County, New Brunswick, E1B 2T4, Canada</t>
  </si>
  <si>
    <r>
      <rPr>
        <sz val="8"/>
        <color rgb="FFFF0000"/>
        <rFont val="Calibri"/>
        <scheme val="minor"/>
      </rPr>
      <t>Giant Tiger- Monday morning, ask for Burt - He says</t>
    </r>
    <r>
      <rPr>
        <b/>
        <sz val="8"/>
        <color rgb="FFFF0000"/>
        <rFont val="Calibri"/>
        <scheme val="minor"/>
      </rPr>
      <t xml:space="preserve"> Grey Group</t>
    </r>
    <r>
      <rPr>
        <sz val="8"/>
        <color rgb="FFFF0000"/>
        <rFont val="Calibri"/>
        <scheme val="minor"/>
      </rPr>
      <t xml:space="preserve"> out of P.E.I. owns the building, they bought it a year ago</t>
    </r>
    <r>
      <rPr>
        <sz val="11"/>
        <color rgb="FFFF0000"/>
        <rFont val="Calibri"/>
        <scheme val="minor"/>
      </rPr>
      <t xml:space="preserve"> 
Spoke to Alicia at Gray Group; Andrew is in charge of leasing</t>
    </r>
  </si>
  <si>
    <r>
      <rPr>
        <sz val="11"/>
        <color rgb="FF000000"/>
        <rFont val="Calibri"/>
        <scheme val="minor"/>
      </rPr>
      <t xml:space="preserve">Dual monopoles in Comm. parking lot. 
</t>
    </r>
    <r>
      <rPr>
        <b/>
        <sz val="11"/>
        <color rgb="FF000000"/>
        <rFont val="Calibri"/>
        <scheme val="minor"/>
      </rPr>
      <t xml:space="preserve">This site is the ONLY property Gray Group owns with cell towers on it
</t>
    </r>
    <r>
      <rPr>
        <b/>
        <sz val="11"/>
        <color rgb="FFFF0000"/>
        <rFont val="Calibri"/>
        <scheme val="minor"/>
      </rPr>
      <t>https://thegraygroup.ca/contact/</t>
    </r>
  </si>
  <si>
    <r>
      <t xml:space="preserve">902-894-4729 ext. 224 (Alicia Adams)
</t>
    </r>
    <r>
      <rPr>
        <b/>
        <sz val="12"/>
        <color rgb="FF000000"/>
        <rFont val="Calibri"/>
        <scheme val="minor"/>
      </rPr>
      <t>902-894-4729 ext. 238 Andrew Whidden
leasing@thegraygroup.ca</t>
    </r>
  </si>
  <si>
    <t>46.107891667</t>
  </si>
  <si>
    <t>-64.8317777779999</t>
  </si>
  <si>
    <t>46 - 6 - 28.41</t>
  </si>
  <si>
    <t>64 - 49 - 54.4</t>
  </si>
  <si>
    <t>New Brunswick Community College, Ivan Court, Moncton Parish, Moncton, Westmorland County, New Brunswick, E1C 8H9, Canada</t>
  </si>
  <si>
    <r>
      <rPr>
        <sz val="11"/>
        <color rgb="FF000000"/>
        <rFont val="Calibri"/>
        <scheme val="minor"/>
      </rPr>
      <t xml:space="preserve">SportChek
Marshalls
</t>
    </r>
    <r>
      <rPr>
        <sz val="11"/>
        <color rgb="FFFF0000"/>
        <rFont val="Calibri"/>
        <scheme val="minor"/>
      </rPr>
      <t>Bldg is owned by NorthWest Plaza REIT. Brian Wall will pass my contact onto correct Manager; Brian did the Rogers lease previously on this property</t>
    </r>
  </si>
  <si>
    <t>brain.wall@plaza.ca</t>
  </si>
  <si>
    <r>
      <rPr>
        <sz val="12"/>
        <color rgb="FF000000"/>
        <rFont val="Calibri"/>
        <scheme val="minor"/>
      </rPr>
      <t xml:space="preserve">15063829302
+15063892523
</t>
    </r>
    <r>
      <rPr>
        <sz val="12"/>
        <color rgb="FFFF0000"/>
        <rFont val="Calibri"/>
        <scheme val="minor"/>
      </rPr>
      <t>1-506-461-6456 LAM 1/16/2026</t>
    </r>
  </si>
  <si>
    <t>46.044211111</t>
  </si>
  <si>
    <t>-65.175430556</t>
  </si>
  <si>
    <t>46 - 2 - 39.16</t>
  </si>
  <si>
    <t>65 - 10 - 31.55</t>
  </si>
  <si>
    <t>Route 880, Salisbury Parish, Westmorland County, New Brunswick, Canada</t>
  </si>
  <si>
    <r>
      <rPr>
        <sz val="11"/>
        <color rgb="FF000000"/>
        <rFont val="Calibri"/>
        <scheme val="minor"/>
      </rPr>
      <t xml:space="preserve">Very short tower on Rural farm; </t>
    </r>
    <r>
      <rPr>
        <sz val="11"/>
        <color rgb="FFFF0000"/>
        <rFont val="Calibri"/>
        <scheme val="minor"/>
      </rPr>
      <t>CDO</t>
    </r>
  </si>
  <si>
    <t>46.0358000000001</t>
  </si>
  <si>
    <t>-67.3219972219999</t>
  </si>
  <si>
    <t>46 - 2 - 8.88</t>
  </si>
  <si>
    <t>67 - 19 - 19.19</t>
  </si>
  <si>
    <t>Stairs Hill Road, South Waterville, Southampton Parish, Nackawic-Millville Rural Community, York County, New Brunswick, Canada</t>
  </si>
  <si>
    <r>
      <rPr>
        <sz val="11"/>
        <color rgb="FF000000"/>
        <rFont val="Calibri"/>
        <scheme val="minor"/>
      </rPr>
      <t xml:space="preserve">WIZINJA Construction
Tower located on small rural plot; likely owned by Carrier
No GSV here and poor visual on tower from OVD view
</t>
    </r>
    <r>
      <rPr>
        <sz val="11"/>
        <color rgb="FFFF0000"/>
        <rFont val="Calibri"/>
        <scheme val="minor"/>
      </rPr>
      <t>CDO</t>
    </r>
  </si>
  <si>
    <t xml:space="preserve">Also, 344 Stairs Hill Rd is nearby home who may know landowner where tower is located. 
</t>
  </si>
  <si>
    <t>45.9565944440001</t>
  </si>
  <si>
    <t>-66.677011111</t>
  </si>
  <si>
    <t>45 - 57 - 23.74</t>
  </si>
  <si>
    <t>66 - 40 - 37.24</t>
  </si>
  <si>
    <t>587, Hanwell Road, Sunshine Gardens, City of Fredericton, York County, New Brunswick, E3B 2L4, Canada</t>
  </si>
  <si>
    <t>BHL (bad hyperlink)</t>
  </si>
  <si>
    <t>45.3067611110001</t>
  </si>
  <si>
    <t>-66.0319666669999</t>
  </si>
  <si>
    <t>45 - 18 - 24.34</t>
  </si>
  <si>
    <t>66 - 1 - 55.08</t>
  </si>
  <si>
    <t>440, Rothesay Avenue, Westmorland Heights, City of Saint John, Saint John County, New Brunswick, E2J 2E7, Canada</t>
  </si>
  <si>
    <t>46.686675</t>
  </si>
  <si>
    <t>-65.075005556</t>
  </si>
  <si>
    <t>46 - 41 - 12.03</t>
  </si>
  <si>
    <t>65 - 4 - 30.02</t>
  </si>
  <si>
    <t>Chemin Gerasime Gallant, Saint-Ignace, Paroisse de Saint-Charles, Comté de Kent, New Brunswick, E4X 2G5, Canada</t>
  </si>
  <si>
    <t xml:space="preserve">Balsam and Bear Haven Corp. (cabin rental agency)- spoke to this lady she doesnt know the landowner but will ask Jeremy (her R.E. agent) if he knows
</t>
  </si>
  <si>
    <t xml:space="preserve">Ask Balsam company if they know owner of large farm plot on the opposite side of Gérasime Gallant Rd </t>
  </si>
  <si>
    <t>45.829533333</t>
  </si>
  <si>
    <t>-65.748180556</t>
  </si>
  <si>
    <t>45 - 49 - 46.32</t>
  </si>
  <si>
    <t>65 - 44 - 53.45</t>
  </si>
  <si>
    <t>Annidale Road, Johnston Parish, Butternut Valley Rural Community, Queens County, New Brunswick, Canada</t>
  </si>
  <si>
    <t>CDO; likely COT</t>
  </si>
  <si>
    <t>46.0763666670001</t>
  </si>
  <si>
    <t>-64.806672222</t>
  </si>
  <si>
    <t>46 - 4 - 34.92</t>
  </si>
  <si>
    <t>64 - 48 - 24.02</t>
  </si>
  <si>
    <t>Lorentz Drive, Moncton Parish, Moncton, Westmorland County, New Brunswick, E1E 1J1, Canada</t>
  </si>
  <si>
    <r>
      <rPr>
        <sz val="11"/>
        <color rgb="FF000000"/>
        <rFont val="Calibri"/>
        <scheme val="minor"/>
      </rPr>
      <t xml:space="preserve">Lorentz Apartments
</t>
    </r>
    <r>
      <rPr>
        <sz val="11"/>
        <color rgb="FF00B050"/>
        <rFont val="Calibri"/>
        <scheme val="minor"/>
      </rPr>
      <t>Killam Apartment REIT is a growth-oriented Canadian real estate investment trust, owning, operating, managing and developing a portfolio of apartments and manufactured home community properties.</t>
    </r>
  </si>
  <si>
    <t>Panels mounted on 9 story apartment bldg</t>
  </si>
  <si>
    <r>
      <t xml:space="preserve">https://killamreit.com/
1-866-453-8900
ops.admin@killamreit.com - </t>
    </r>
    <r>
      <rPr>
        <b/>
        <sz val="12"/>
        <color rgb="FFFF0000"/>
        <rFont val="Calibri"/>
        <scheme val="minor"/>
      </rPr>
      <t>Sent email  on 1/16/2026</t>
    </r>
  </si>
  <si>
    <t>47.687244444</t>
  </si>
  <si>
    <t>-65.43085</t>
  </si>
  <si>
    <t>47 - 41 - 14.08</t>
  </si>
  <si>
    <t>65 - 25 - 51.06</t>
  </si>
  <si>
    <t>NB 340, Janeville, Paroisse de New Bandon, Comté de Gloucester, New Brunswick, E2A 5L2, Canada</t>
  </si>
  <si>
    <t xml:space="preserve">New Bandon Salmon Beach Fire Dept.
Janeville Elementary School
</t>
  </si>
  <si>
    <r>
      <rPr>
        <sz val="11"/>
        <color rgb="FF000000"/>
        <rFont val="Calibri"/>
        <scheme val="minor"/>
      </rPr>
      <t xml:space="preserve">Rural Guyed Tower near elementary school and Fire Station, no other nearby businesses; TOWER IS VISIBLE FROM BOTH OF THESE
Small plot of land per ONX, likely owned by Carrier </t>
    </r>
    <r>
      <rPr>
        <sz val="11"/>
        <color rgb="FFFF0000"/>
        <rFont val="Calibri"/>
        <scheme val="minor"/>
      </rPr>
      <t>COT</t>
    </r>
  </si>
  <si>
    <t>46.093294444</t>
  </si>
  <si>
    <t>-63.9617638889999</t>
  </si>
  <si>
    <t>46 - 5 - 35.86</t>
  </si>
  <si>
    <t>63 - 57 - 42.35</t>
  </si>
  <si>
    <r>
      <rPr>
        <sz val="11"/>
        <color rgb="FF000000"/>
        <rFont val="Calibri"/>
        <scheme val="minor"/>
      </rPr>
      <t xml:space="preserve">Rural Guyed Tower, small plot of land per ONX, likely </t>
    </r>
    <r>
      <rPr>
        <sz val="11"/>
        <color rgb="FFFF0000"/>
        <rFont val="Calibri"/>
        <scheme val="minor"/>
      </rPr>
      <t>COT</t>
    </r>
  </si>
  <si>
    <t>46.208905556</t>
  </si>
  <si>
    <t>-64.426952778</t>
  </si>
  <si>
    <t>46 - 12 - 32.06</t>
  </si>
  <si>
    <t>64 - 25 - 37.03</t>
  </si>
  <si>
    <t>Peat Moss Road, Beaubassin Est, Westmorland County, New Brunswick, E4P 0J6, Canada</t>
  </si>
  <si>
    <t>N/A</t>
  </si>
  <si>
    <r>
      <rPr>
        <sz val="11"/>
        <color rgb="FF000000"/>
        <rFont val="Calibri"/>
        <scheme val="minor"/>
      </rPr>
      <t xml:space="preserve">ONX shows small plot for rural tower. No nearby businesses. Likely </t>
    </r>
    <r>
      <rPr>
        <sz val="11"/>
        <color rgb="FFFF0000"/>
        <rFont val="Calibri"/>
        <scheme val="minor"/>
      </rPr>
      <t>COT</t>
    </r>
  </si>
  <si>
    <t>46.1115055560001</t>
  </si>
  <si>
    <t>-64.718255556</t>
  </si>
  <si>
    <t>46 - 6 - 41.42</t>
  </si>
  <si>
    <t>64 - 43 - 5.72</t>
  </si>
  <si>
    <t>Autoroute des Anciens Combattants / Veterans Memorial Highway, Moncton Parish, Moncton, Westmorland County, New Brunswick, E1A 5R8, Canada</t>
  </si>
  <si>
    <r>
      <rPr>
        <sz val="11"/>
        <color rgb="FF000000"/>
        <rFont val="Calibri"/>
        <scheme val="minor"/>
      </rPr>
      <t xml:space="preserve">Marriott Hotel in semi-rural area </t>
    </r>
    <r>
      <rPr>
        <b/>
        <sz val="11"/>
        <color rgb="FFFF0000"/>
        <rFont val="Calibri"/>
        <scheme val="minor"/>
      </rPr>
      <t>spoke to front desk, maintenance guy to call me back 1/19/2026</t>
    </r>
  </si>
  <si>
    <t>As per ONX, parking lot &amp; hotel are separate plots; both Marriott owned</t>
  </si>
  <si>
    <t>45.274075</t>
  </si>
  <si>
    <t>-66.061236111</t>
  </si>
  <si>
    <t>45 - 16 - 26.67</t>
  </si>
  <si>
    <t>66 - 3 - 40.45</t>
  </si>
  <si>
    <t>1, Germain Street, Parker's Corner, Indiantown, City of Saint John, Saint John County, New Brunswick, E2L 1N4, Canada</t>
  </si>
  <si>
    <t xml:space="preserve">NB Square Office Tower - Building Owner?
Cox &amp; Palmer - Saint John (Law Firm)
McInnes Cooper
</t>
  </si>
  <si>
    <t>Towers &amp; panels on Rooftop, likely multiple carriers</t>
  </si>
  <si>
    <t>+15066581000
15066328900
+15066436500</t>
  </si>
  <si>
    <t>45.3933500000001</t>
  </si>
  <si>
    <t>-65.9659</t>
  </si>
  <si>
    <t>45 - 23 - 36.06</t>
  </si>
  <si>
    <t>65 - 57 - 57.24</t>
  </si>
  <si>
    <t>Campbell Drive, Rothesay Parish, Town of Rothesay, Kings County, New Brunswick, E2E 3J9, Canada</t>
  </si>
  <si>
    <t>47.145016667</t>
  </si>
  <si>
    <t>-65.258630556</t>
  </si>
  <si>
    <t>47 - 8 - 42.06</t>
  </si>
  <si>
    <t>65 - 15 - 31.07</t>
  </si>
  <si>
    <t>Route 11, Paroisse d'Alnwick, Northumberland County, New Brunswick, Canada</t>
  </si>
  <si>
    <t>Rural guyed tower</t>
  </si>
  <si>
    <t>45.640833333</t>
  </si>
  <si>
    <t>-65.894722222</t>
  </si>
  <si>
    <t>45 - 38 - 27.0</t>
  </si>
  <si>
    <t>65 - 53 - 41.0</t>
  </si>
  <si>
    <t>Morrell Road, Springfield Parish, Village of Valley Waters, Kings County, New Brunswick, Canada</t>
  </si>
  <si>
    <t>46.1011361110001</t>
  </si>
  <si>
    <t>-64.767494444</t>
  </si>
  <si>
    <t>46 - 6 - 4.09</t>
  </si>
  <si>
    <t>64 - 46 - 2.98</t>
  </si>
  <si>
    <t>Lattice tower in the city; tiny plot of land for this monopole as per ONX;
Very likely COT but will call Scissor Exc to see if they have any info</t>
  </si>
  <si>
    <t>46.194033333</t>
  </si>
  <si>
    <t>-64.2821222219999</t>
  </si>
  <si>
    <t>46 - 11 - 38.52</t>
  </si>
  <si>
    <t>64 - 16 - 55.64</t>
  </si>
  <si>
    <t>Chemin Butte-à-Napoléon, Paroisse de Shediac, Westmorland County, New Brunswick, E4N 1J0, Canada</t>
  </si>
  <si>
    <r>
      <rPr>
        <sz val="11"/>
        <color rgb="FF000000"/>
        <rFont val="Calibri"/>
        <scheme val="minor"/>
      </rPr>
      <t xml:space="preserve">Rural, </t>
    </r>
    <r>
      <rPr>
        <sz val="11"/>
        <color rgb="FFFF0000"/>
        <rFont val="Calibri"/>
        <scheme val="minor"/>
      </rPr>
      <t>COT</t>
    </r>
  </si>
  <si>
    <t>45.318419444</t>
  </si>
  <si>
    <t>-66.0824777779999</t>
  </si>
  <si>
    <t>45 - 19 - 6.31</t>
  </si>
  <si>
    <t>66 - 4 - 56.92</t>
  </si>
  <si>
    <t>977, Kennebecasis Drive, Millidgeville, City of Saint John, Saint John County, New Brunswick, E2K 2H9, Canada</t>
  </si>
  <si>
    <t>Likely bad hyperlink</t>
  </si>
  <si>
    <t>45.3544000000001</t>
  </si>
  <si>
    <t>-66.1761083329999</t>
  </si>
  <si>
    <t>45 - 21 - 15.84</t>
  </si>
  <si>
    <t>66 - 10 - 33.99</t>
  </si>
  <si>
    <t>Lands End, Westfield Parish, Fundy Rural District, Kings County, New Brunswick, E5K 2V9, Canada</t>
  </si>
  <si>
    <t>46.0703</t>
  </si>
  <si>
    <t>-64.7646999999999</t>
  </si>
  <si>
    <t>46 - 4 - 13.08</t>
  </si>
  <si>
    <t>64 - 45 - 52.92</t>
  </si>
  <si>
    <t>Venice Lane, Riverview, Albert County, New Brunswick, E1B 4E7, Canada</t>
  </si>
  <si>
    <r>
      <rPr>
        <sz val="11"/>
        <color rgb="FF000000"/>
        <rFont val="Calibri"/>
        <scheme val="minor"/>
      </rPr>
      <t xml:space="preserve">Riverview Town Hall  </t>
    </r>
    <r>
      <rPr>
        <b/>
        <sz val="11"/>
        <color rgb="FFFF0000"/>
        <rFont val="Calibri"/>
        <scheme val="minor"/>
      </rPr>
      <t>Luke with City of Riverview LAM 1/19/2026</t>
    </r>
  </si>
  <si>
    <t>Panels mounted on water tower</t>
  </si>
  <si>
    <t>506-387-2020</t>
  </si>
  <si>
    <t>46.0961888890001</t>
  </si>
  <si>
    <t>-64.8092305559999</t>
  </si>
  <si>
    <t>46 - 5 - 46.28</t>
  </si>
  <si>
    <t>64 - 48 - 33.23</t>
  </si>
  <si>
    <t xml:space="preserve">RE/MAX AVANTE - building owned by ???
Remax is only renting space in this bldg
</t>
  </si>
  <si>
    <t>Spoke to Tory Hicks agent - he is passing our contact info onto the building owner which is NOT REMAX 1/19/2026 - If no reply, followup with Torry in 1 week</t>
  </si>
  <si>
    <t>45.5658000000001</t>
  </si>
  <si>
    <t>-66.3847</t>
  </si>
  <si>
    <t>45 - 33 - 56.88</t>
  </si>
  <si>
    <t>66 - 23 - 4.92</t>
  </si>
  <si>
    <t>Enniskillen Road, Petersville Parish, Fundy Rural District, Queens County, New Brunswick, Canada</t>
  </si>
  <si>
    <t>Defence Construction Canada (DCC) – Head Office
DND / Canadian Armed Forces Contact (contractor &amp; procurement direction)</t>
  </si>
  <si>
    <t xml:space="preserve">Camp Petersville Gate
</t>
  </si>
  <si>
    <r>
      <rPr>
        <sz val="12"/>
        <color rgb="FFFF0000"/>
        <rFont val="Calibri"/>
        <scheme val="minor"/>
      </rPr>
      <t xml:space="preserve">613-998-9548 LAM 1/19/2026
</t>
    </r>
    <r>
      <rPr>
        <sz val="12"/>
        <color rgb="FF000000"/>
        <rFont val="Calibri"/>
        <scheme val="minor"/>
      </rPr>
      <t xml:space="preserve">(819) 956-3440 or 1-800-811-1148
</t>
    </r>
  </si>
  <si>
    <t>45.2874277780001</t>
  </si>
  <si>
    <t>-65.987666667</t>
  </si>
  <si>
    <t>45 - 17 - 14.74</t>
  </si>
  <si>
    <t>65 - 59 - 15.6</t>
  </si>
  <si>
    <t>Grandview Avenue, Champlain Heights (South), City of Saint John, Saint John County, New Brunswick, E2J 4C5, Canada</t>
  </si>
  <si>
    <t>47.451108333</t>
  </si>
  <si>
    <t>-68.385330556</t>
  </si>
  <si>
    <t>47 - 27 - 3.99</t>
  </si>
  <si>
    <t>68 - 23 - 7.19</t>
  </si>
  <si>
    <t>Saint-Jacques, Paroisse de Saint-Jacques, Ville d'Edmundston, Comté de Madawaska, New Brunswick, E7B 1V6, Canada</t>
  </si>
  <si>
    <t>45.2333305560001</t>
  </si>
  <si>
    <t>-65.9844388889999</t>
  </si>
  <si>
    <t>45 - 13 - 59.99</t>
  </si>
  <si>
    <t>65 - 59 - 3.98</t>
  </si>
  <si>
    <t>1000, Proud Road, City of Saint John, Saint John County, New Brunswick, E2J 4V9, Canada</t>
  </si>
  <si>
    <t>45.438580556</t>
  </si>
  <si>
    <t>-65.899683333</t>
  </si>
  <si>
    <t>45 - 26 - 18.89</t>
  </si>
  <si>
    <t>65 - 53 - 58.86</t>
  </si>
  <si>
    <t>45.966613889</t>
  </si>
  <si>
    <t>-66.5967805559999</t>
  </si>
  <si>
    <t>45 - 57 - 59.81</t>
  </si>
  <si>
    <t>66 - 35 - 48.41</t>
  </si>
  <si>
    <t>NB Power, 239, Rue GIlbert Street, NB Power Marsyville, Marysville, City of Fredericton, York County, New Brunswick, E3A 4A0, Canada</t>
  </si>
  <si>
    <t>47.2484805560001</t>
  </si>
  <si>
    <t>-68.6264805559999</t>
  </si>
  <si>
    <t>47 - 14 - 54.53</t>
  </si>
  <si>
    <t>68 - 37 - 35.33</t>
  </si>
  <si>
    <t>Boulevard Long, Clair, Paroisse de Clair, Haut-Madawaska, Comté de Madawaska, New Brunswick, Canada</t>
  </si>
  <si>
    <t>45.274577778</t>
  </si>
  <si>
    <t>-66.0267222219999</t>
  </si>
  <si>
    <t>45 - 16 - 28.48</t>
  </si>
  <si>
    <t>66 - 1 - 36.2</t>
  </si>
  <si>
    <t>509, Bayside Drive, City of Saint John, Saint John County, New Brunswick, E2J 0A9, Canada</t>
  </si>
  <si>
    <t>47.0061000000001</t>
  </si>
  <si>
    <t>-65.586397222</t>
  </si>
  <si>
    <t>47 - 0 - 21.96</t>
  </si>
  <si>
    <t>65 - 35 - 11.03</t>
  </si>
  <si>
    <t>Hansen Road, Newcastle, Paroisse de Newcastle, Northumberland County, New Brunswick, E1V 1A1, Canada</t>
  </si>
  <si>
    <t>46.1312444440001</t>
  </si>
  <si>
    <t>-64.750047222</t>
  </si>
  <si>
    <t>46 - 7 - 52.48</t>
  </si>
  <si>
    <t>64 - 45 - 0.17</t>
  </si>
  <si>
    <t>MacNaughton Avenue, Moncton Parish, Moncton, Westmorland County, New Brunswick, E1G 2Z8, Canada</t>
  </si>
  <si>
    <t>45.269341667</t>
  </si>
  <si>
    <t>-66.061316667</t>
  </si>
  <si>
    <t>45 - 16 - 9.63</t>
  </si>
  <si>
    <t>66 - 3 - 40.74</t>
  </si>
  <si>
    <t>Canadian Customs Agency, 189, Prince William Street, Parker's Corner, Indiantown, City of Saint John, Saint John County, New Brunswick, E2L 2B7, Canada</t>
  </si>
  <si>
    <t>45.997522222</t>
  </si>
  <si>
    <t>-66.7699083329999</t>
  </si>
  <si>
    <t>45 - 59 - 51.08</t>
  </si>
  <si>
    <t>66 - 46 - 11.67</t>
  </si>
  <si>
    <t>Katie Avenue, Douglas, City of Fredericton, York County, New Brunswick, Canada</t>
  </si>
  <si>
    <t>45.8064000000001</t>
  </si>
  <si>
    <t>-65.3391999999999</t>
  </si>
  <si>
    <t>45 - 48 - 23.04</t>
  </si>
  <si>
    <t>65 - 20 - 21.12</t>
  </si>
  <si>
    <t>Dunsinane Road, Cardwell Parish, Kings Rural District, Kings County, New Brunswick, Canada</t>
  </si>
  <si>
    <t>47.388897222</t>
  </si>
  <si>
    <t>-68.3164</t>
  </si>
  <si>
    <t>47 - 23 - 20.03</t>
  </si>
  <si>
    <t>68 - 18 - 59.04</t>
  </si>
  <si>
    <t>Rue de la Falaise, Parc Industriel Nord, Paroisse de Madawaska, Ville d'Edmundston, Comté de Madawaska, New Brunswick, E3V 3L1, Canada</t>
  </si>
  <si>
    <t>46.0873888890001</t>
  </si>
  <si>
    <t>-64.592725</t>
  </si>
  <si>
    <t>46 - 5 - 14.6</t>
  </si>
  <si>
    <t>64 - 35 - 33.81</t>
  </si>
  <si>
    <t>Calhoun Road, Moncton Parish, Westmorland County, New Brunswick, Canada</t>
  </si>
  <si>
    <t>45.276219444</t>
  </si>
  <si>
    <t>-66.063655556</t>
  </si>
  <si>
    <t>45 - 16 - 34.39</t>
  </si>
  <si>
    <t>66 - 3 - 49.16</t>
  </si>
  <si>
    <t>TD Station, 99, Station Street, Indiantown, City of Saint John, Saint John County, New Brunswick, E2L 4X4, Canada</t>
  </si>
  <si>
    <t>46.4464</t>
  </si>
  <si>
    <t>-67.5785999999999</t>
  </si>
  <si>
    <t>46 - 26 - 47.04</t>
  </si>
  <si>
    <t>67 - 34 - 42.96</t>
  </si>
  <si>
    <t>Tapley Road, Bristol Heights, Bristol, Florenceville-Bristol, Kent Parish, District of Carleton North, Carleton County, New Brunswick, E7L 2E6, Canada</t>
  </si>
  <si>
    <t>45.4050888890001</t>
  </si>
  <si>
    <t>-65.9712249999999</t>
  </si>
  <si>
    <t>45 - 24 - 18.32</t>
  </si>
  <si>
    <t>65 - 58 - 16.41</t>
  </si>
  <si>
    <t>175, Hampton Road, Fairvale, Rothesay Parish, Town of Quispamsis, Kings County, New Brunswick, E2E 4J8, Canada</t>
  </si>
  <si>
    <t>45.8775000000001</t>
  </si>
  <si>
    <t>-66.575297222</t>
  </si>
  <si>
    <t>45 - 52 - 39.0</t>
  </si>
  <si>
    <t>66 - 34 - 31.07</t>
  </si>
  <si>
    <t>Maple Leaf Drive, Town of Oromocto, Sunbury County, New Brunswick, E3B 8N1, Canada</t>
  </si>
  <si>
    <t>47.624608333</t>
  </si>
  <si>
    <t>-64.866458333</t>
  </si>
  <si>
    <t>47 - 37 - 28.59</t>
  </si>
  <si>
    <t>64 - 51 - 59.25</t>
  </si>
  <si>
    <t>Chemin Pallot, Paroisse d'Inkerman, Comté de Gloucester, New Brunswick, E8P 1H9, Canada</t>
  </si>
  <si>
    <t>45.4881</t>
  </si>
  <si>
    <t>-65.8264</t>
  </si>
  <si>
    <t>45 - 29 - 17.16</t>
  </si>
  <si>
    <t>65 - 49 - 35.04</t>
  </si>
  <si>
    <t>Route 1, Hampton Parish, Town of Hampton, Kings County, New Brunswick, E5N 0L5, Canada</t>
  </si>
  <si>
    <t>46.3948722220001</t>
  </si>
  <si>
    <t>-65.1900249999999</t>
  </si>
  <si>
    <t>46 - 23 - 41.54</t>
  </si>
  <si>
    <t>65 - 11 - 24.09</t>
  </si>
  <si>
    <t>Saint-Sosime Road, Harcourt Parish, Comté de Kent, New Brunswick, Canada</t>
  </si>
  <si>
    <t>47.2511000000001</t>
  </si>
  <si>
    <t>-65.3824999999999</t>
  </si>
  <si>
    <t>47 - 15 - 3.96</t>
  </si>
  <si>
    <t>65 - 22 - 57.0</t>
  </si>
  <si>
    <t>Route 450, Paroisse d'Alnwick, Northumberland County, New Brunswick, Canada</t>
  </si>
  <si>
    <t>47.7444888890001</t>
  </si>
  <si>
    <t>-65.074438889</t>
  </si>
  <si>
    <t>47 - 44 - 40.16</t>
  </si>
  <si>
    <t>65 - 4 - 27.98</t>
  </si>
  <si>
    <t>Rue du Centre, Paroisse de Caraquet, Comté de Gloucester, New Brunswick, E1W 0E1, Canada</t>
  </si>
  <si>
    <t>46.230772222</t>
  </si>
  <si>
    <t>-64.296802778</t>
  </si>
  <si>
    <t>46 - 13 - 50.78</t>
  </si>
  <si>
    <t>64 - 17 - 48.49</t>
  </si>
  <si>
    <t>Les Pecheries Aboiteau, 77, Chemin du Quai, Paroisse de Shediac, Westmorland County, New Brunswick, E4N 1C6, Canada</t>
  </si>
  <si>
    <t>45.309030556</t>
  </si>
  <si>
    <t>-66.012308333</t>
  </si>
  <si>
    <t>45 - 18 - 32.51</t>
  </si>
  <si>
    <t>66 - 0 - 44.31</t>
  </si>
  <si>
    <t>329, McAllister Drive, City of Saint John, Saint John County, New Brunswick, E2J 2S6, Canada</t>
  </si>
  <si>
    <t>45.957219444</t>
  </si>
  <si>
    <t>-66.560908333</t>
  </si>
  <si>
    <t>45 - 57 - 25.99</t>
  </si>
  <si>
    <t>66 - 33 - 39.27</t>
  </si>
  <si>
    <t>Richibucto Road, Grapevine Estates, Saint Marys Parish, Capital Region Rural District, York County, New Brunswick, E3A 6W1, Canada</t>
  </si>
  <si>
    <t>46.0722000000001</t>
  </si>
  <si>
    <t>-64.8361</t>
  </si>
  <si>
    <t>46 - 4 - 19.92</t>
  </si>
  <si>
    <t>64 - 50 - 9.96</t>
  </si>
  <si>
    <t>Bentley Avenue, Moncton Parish, Moncton, Westmorland County, New Brunswick, E1C 1C2, Canada</t>
  </si>
  <si>
    <t>46.177958333</t>
  </si>
  <si>
    <t>-67.549741667</t>
  </si>
  <si>
    <t>46 - 10 - 40.65</t>
  </si>
  <si>
    <t>67 - 32 - 59.07</t>
  </si>
  <si>
    <t>46.0959444440001</t>
  </si>
  <si>
    <t>-64.823591667</t>
  </si>
  <si>
    <t>46 - 5 - 45.4</t>
  </si>
  <si>
    <t>64 - 49 - 24.93</t>
  </si>
  <si>
    <t>Killam Drive, Victory Industrial Park, Moncton Parish, Moncton, Westmorland County, New Brunswick, E1C 3T1, Canada</t>
  </si>
  <si>
    <t>45.9846388890001</t>
  </si>
  <si>
    <t>-66.7624777779999</t>
  </si>
  <si>
    <t>45 - 59 - 4.7</t>
  </si>
  <si>
    <t>66 - 45 - 44.92</t>
  </si>
  <si>
    <t>McBrine Road, Douglas Parish, Central York Rural Community, York County, New Brunswick, Canada</t>
  </si>
  <si>
    <t>47.3700305560001</t>
  </si>
  <si>
    <t>-68.3136083329999</t>
  </si>
  <si>
    <t>47 - 22 - 12.11</t>
  </si>
  <si>
    <t>68 - 18 - 48.99</t>
  </si>
  <si>
    <t>Complexe sportif régional, 165, Boulevard Hébert, Paroisse de Madawaska, Ville d'Edmundston, Comté de Madawaska, New Brunswick, E3V 3L1, Canada</t>
  </si>
  <si>
    <t>47.6381555560001</t>
  </si>
  <si>
    <t>-65.760483333</t>
  </si>
  <si>
    <t>47 - 38 - 17.36</t>
  </si>
  <si>
    <t>65 - 45 - 37.74</t>
  </si>
  <si>
    <t>Aspen Street, Bathurst Parish, Comté de Gloucester, New Brunswick, E2A 7C2, Canada</t>
  </si>
  <si>
    <t>47.789397222</t>
  </si>
  <si>
    <t>-64.9658138889999</t>
  </si>
  <si>
    <t>47 - 47 - 21.83</t>
  </si>
  <si>
    <t>64 - 57 - 56.93</t>
  </si>
  <si>
    <t>Centre culturel de Caraquet, 220, Boulevard Saint-Pierre Ouest, Pointe-Rocheuse, Caraquet, Comté de Gloucester, New Brunswick, E1W 1A5, Canada</t>
  </si>
  <si>
    <t>46.0933444440001</t>
  </si>
  <si>
    <t>-64.7594055559999</t>
  </si>
  <si>
    <t>46 - 5 - 36.04</t>
  </si>
  <si>
    <t>64 - 45 - 33.86</t>
  </si>
  <si>
    <t>Rue Champlain, Moncton Parish, Dieppe, Westmorland County, New Brunswick, E1A 1N4, Canada</t>
  </si>
  <si>
    <t>46.0987277780001</t>
  </si>
  <si>
    <t>-64.736766667</t>
  </si>
  <si>
    <t>46 - 5 - 55.42</t>
  </si>
  <si>
    <t>64 - 44 - 12.36</t>
  </si>
  <si>
    <t>46.1311833330001</t>
  </si>
  <si>
    <t>-64.758088889</t>
  </si>
  <si>
    <t>46 - 7 - 52.26</t>
  </si>
  <si>
    <t>64 - 45 - 29.12</t>
  </si>
  <si>
    <t>46.0482277780001</t>
  </si>
  <si>
    <t>-64.788108333</t>
  </si>
  <si>
    <t>46 - 2 - 53.62</t>
  </si>
  <si>
    <t>64 - 47 - 17.19</t>
  </si>
  <si>
    <t>Pine Glen Road, Coverdale Parish, Albert County, New Brunswick, E1B 5R6, Canada</t>
  </si>
  <si>
    <t>47.637616667</t>
  </si>
  <si>
    <t>-65.743752778</t>
  </si>
  <si>
    <t>47 - 38 - 15.42</t>
  </si>
  <si>
    <t>65 - 44 - 37.51</t>
  </si>
  <si>
    <t>Jason Avenue, Bathurst Parish, Comté de Gloucester, New Brunswick, E2A 7C2, Canada</t>
  </si>
  <si>
    <t>46.1114694440001</t>
  </si>
  <si>
    <t>-64.777388889</t>
  </si>
  <si>
    <t>46 - 6 - 41.29</t>
  </si>
  <si>
    <t>64 - 46 - 38.6</t>
  </si>
  <si>
    <t>McLaughlin Drive, McLaughlin Place, Moncton Parish, Moncton, Westmorland County, New Brunswick, E1A 3X9, Canada</t>
  </si>
  <si>
    <t>46.003077778</t>
  </si>
  <si>
    <t>-66.6837277779999</t>
  </si>
  <si>
    <t>46 - 0 - 11.08</t>
  </si>
  <si>
    <t>66 - 41 - 1.42</t>
  </si>
  <si>
    <t>600, Royal Road, City of Fredericton, Central York Rural Community, York County, New Brunswick, E3G 7J1, Canada</t>
  </si>
  <si>
    <t>47.2682</t>
  </si>
  <si>
    <t>-65.1089388889999</t>
  </si>
  <si>
    <t>47 - 16 - 5.52</t>
  </si>
  <si>
    <t>65 - 6 - 32.18</t>
  </si>
  <si>
    <t>Paroisse d'Alnwick, Northumberland County, New Brunswick, E9G 1M8, Canada</t>
  </si>
  <si>
    <t>47.010741667</t>
  </si>
  <si>
    <t>-65.482611111</t>
  </si>
  <si>
    <t>47 - 0 - 38.67</t>
  </si>
  <si>
    <t>65 - 28 - 57.4</t>
  </si>
  <si>
    <t>Gordon Road, Chatham, Paroisse de Chatham, City of Miramichi, Northumberland County, New Brunswick, E1N 1H3, Canada</t>
  </si>
  <si>
    <t>45.1281000000001</t>
  </si>
  <si>
    <t>-66.802197222</t>
  </si>
  <si>
    <t>45 - 7 - 41.16</t>
  </si>
  <si>
    <t>66 - 48 - 7.91</t>
  </si>
  <si>
    <t>Mount Pleasant Road, Saint George, Saint George Parish, Municipality of Eastern Charlotte, Charlotte County, New Brunswick, E5C 3K4, Canada</t>
  </si>
  <si>
    <t>45.9604305560001</t>
  </si>
  <si>
    <t>-66.660222222</t>
  </si>
  <si>
    <t>45 - 57 - 37.55</t>
  </si>
  <si>
    <t>66 - 39 - 36.8</t>
  </si>
  <si>
    <t>46.1279027780001</t>
  </si>
  <si>
    <t>-64.879705556</t>
  </si>
  <si>
    <t>46 - 7 - 40.45</t>
  </si>
  <si>
    <t>64 - 52 - 46.94</t>
  </si>
  <si>
    <t>Casino New Brunswick, 21, Casino Drive, Moncton Parish, Moncton, Westmorland County, New Brunswick, E1G 0R7, Canada</t>
  </si>
  <si>
    <t>45.3672194440001</t>
  </si>
  <si>
    <t>-65.952772222</t>
  </si>
  <si>
    <t>45 - 22 - 1.99</t>
  </si>
  <si>
    <t>65 - 57 - 9.98</t>
  </si>
  <si>
    <t>220, McGill Road, Rothesay Parish, Town of Rothesay, Kings County, New Brunswick, E2E 6H1, Canada</t>
  </si>
  <si>
    <t>46.2384888890001</t>
  </si>
  <si>
    <t>-64.505627778</t>
  </si>
  <si>
    <t>46 - 14 - 18.56</t>
  </si>
  <si>
    <t>64 - 30 - 20.26</t>
  </si>
  <si>
    <t>Redwood Avenue, East Shediac, Paroisse de Shediac, Westmorland County, New Brunswick, E4P 2H3, Canada</t>
  </si>
  <si>
    <t>46.065816667</t>
  </si>
  <si>
    <t>-64.798775</t>
  </si>
  <si>
    <t>46 - 3 - 56.94</t>
  </si>
  <si>
    <t>64 - 47 - 55.59</t>
  </si>
  <si>
    <t>Montgomery Avenue, Coverdale Parish, Albert County, New Brunswick, E1B 3J7, Canada</t>
  </si>
  <si>
    <t>45.99125</t>
  </si>
  <si>
    <t>-66.665</t>
  </si>
  <si>
    <t>45 - 59 - 28.5</t>
  </si>
  <si>
    <t>66 - 39 - 54.0</t>
  </si>
  <si>
    <t>Windsor Court, 20, Barton Crescent, Royal Road, Barton, City of Fredericton, York County, New Brunswick, E3A 1B8, Canada</t>
  </si>
  <si>
    <t>47.0352</t>
  </si>
  <si>
    <t>-67.759397222</t>
  </si>
  <si>
    <t>47 - 2 - 6.72</t>
  </si>
  <si>
    <t>67 - 45 - 33.83</t>
  </si>
  <si>
    <t>Rue Harley Hill, Municipalité régionale de Grand-Sault, Victoria County, New Brunswick, E3Z 1A6, Canada</t>
  </si>
  <si>
    <t>46.1080000000001</t>
  </si>
  <si>
    <t>-64.829097222</t>
  </si>
  <si>
    <t>46 - 6 - 28.8</t>
  </si>
  <si>
    <t>64 - 49 - 44.75</t>
  </si>
  <si>
    <t>46.208888889</t>
  </si>
  <si>
    <t>-64.4271388889999</t>
  </si>
  <si>
    <t>46 - 12 - 32.0</t>
  </si>
  <si>
    <t>64 - 25 - 37.7</t>
  </si>
  <si>
    <t>45.957630556</t>
  </si>
  <si>
    <t>-66.648347222</t>
  </si>
  <si>
    <t>45 - 57 - 27.47</t>
  </si>
  <si>
    <t>66 - 38 - 54.05</t>
  </si>
  <si>
    <t>Cafe Loka, 347, Rue York Street, Carleton, Downtown, City of Fredericton, York County, New Brunswick, E3B 3L7, Canada</t>
  </si>
  <si>
    <t>45.8728</t>
  </si>
  <si>
    <t>-67.0131</t>
  </si>
  <si>
    <t>45 - 52 - 22.08</t>
  </si>
  <si>
    <t>67 - 0 - 47.16</t>
  </si>
  <si>
    <t>Route 635, Prince William Parish, Harvey Rural Community, York County, New Brunswick, E6K 3P9, Canada</t>
  </si>
  <si>
    <t>45.294169444</t>
  </si>
  <si>
    <t>-66.118327778</t>
  </si>
  <si>
    <t>45 - 17 - 39.01</t>
  </si>
  <si>
    <t>66 - 7 - 5.98</t>
  </si>
  <si>
    <t>Centre Scolaire Samuel-de-Champlain, 67, Ragged Point Road, City of Saint John, Saint John County, New Brunswick, E2K 5C3, Canada</t>
  </si>
  <si>
    <t>46.2844000000001</t>
  </si>
  <si>
    <t>-67.5343999999999</t>
  </si>
  <si>
    <t>46 - 17 - 3.84</t>
  </si>
  <si>
    <t>67 - 32 - 3.84</t>
  </si>
  <si>
    <t>Route 103, Wakefield Parish, Town of Hartland, Carleton County, New Brunswick, E7P 2N2, Canada</t>
  </si>
  <si>
    <t>46.3489000000001</t>
  </si>
  <si>
    <t>-64.631397222</t>
  </si>
  <si>
    <t>46 - 20 - 56.04</t>
  </si>
  <si>
    <t>64 - 37 - 53.03</t>
  </si>
  <si>
    <t>Rue Rosaire, Paroisse de Dundas, Comté de Kent, New Brunswick, E4R 1K0, Canada</t>
  </si>
  <si>
    <t>46.0869083330001</t>
  </si>
  <si>
    <t>-64.788508333</t>
  </si>
  <si>
    <t>46 - 5 - 12.87</t>
  </si>
  <si>
    <t>64 - 47 - 18.63</t>
  </si>
  <si>
    <t>Cameron Street, Moncton Parish, Moncton, Westmorland County, New Brunswick, E1C 5V9, Canada</t>
  </si>
  <si>
    <t>47.029222222</t>
  </si>
  <si>
    <t>-65.4692388889999</t>
  </si>
  <si>
    <t>47 - 1 - 45.2</t>
  </si>
  <si>
    <t>65 - 28 - 9.26</t>
  </si>
  <si>
    <t>Duke Street, Chatham, Paroisse de Chatham, City of Miramichi, Northumberland County, New Brunswick, E1N 2T4, Canada</t>
  </si>
  <si>
    <t>47.8064000000001</t>
  </si>
  <si>
    <t>-65.7497</t>
  </si>
  <si>
    <t>47 - 48 - 23.04</t>
  </si>
  <si>
    <t>65 - 44 - 58.92</t>
  </si>
  <si>
    <t>Chemin Johnny, Paroisse de Beresford, Comté de Gloucester, New Brunswick, E8J 1S5, Canada</t>
  </si>
  <si>
    <t>47.9847583330001</t>
  </si>
  <si>
    <t>-66.694436111</t>
  </si>
  <si>
    <t>47 - 59 - 5.13</t>
  </si>
  <si>
    <t>66 - 41 - 39.97</t>
  </si>
  <si>
    <t>Campbellton Street, Addington Parish, New Brunswick, E3N 4E2, Canada</t>
  </si>
  <si>
    <t>45.2742000000001</t>
  </si>
  <si>
    <t>-66.0611083329999</t>
  </si>
  <si>
    <t>45 - 16 - 27.12</t>
  </si>
  <si>
    <t>66 - 3 - 39.99</t>
  </si>
  <si>
    <t>45.279194444</t>
  </si>
  <si>
    <t>-66.076658333</t>
  </si>
  <si>
    <t>45 - 16 - 45.1</t>
  </si>
  <si>
    <t>66 - 4 - 35.97</t>
  </si>
  <si>
    <t>Lansdowne Avenue, Indiantown, City of Saint John, Saint John County, New Brunswick, E2K 2V1, Canada</t>
  </si>
  <si>
    <t>46.0071083330001</t>
  </si>
  <si>
    <t>-67.5575499999999</t>
  </si>
  <si>
    <t>46 - 0 - 25.59</t>
  </si>
  <si>
    <t>67 - 33 - 27.18</t>
  </si>
  <si>
    <t>Benton Road, Woodstock Parish, Municipality of Lakeland Ridges, Carleton County, New Brunswick, Canada</t>
  </si>
  <si>
    <t>45.8903</t>
  </si>
  <si>
    <t>-66.642497222</t>
  </si>
  <si>
    <t>45 - 53 - 25.08</t>
  </si>
  <si>
    <t>66 - 38 - 32.99</t>
  </si>
  <si>
    <t>Route 2, City of Fredericton, York County, New Brunswick, E3B 4X2, Canada</t>
  </si>
  <si>
    <t>45.990772222</t>
  </si>
  <si>
    <t>-66.745958333</t>
  </si>
  <si>
    <t>45 - 59 - 26.78</t>
  </si>
  <si>
    <t>66 - 44 - 45.45</t>
  </si>
  <si>
    <t>Kathleen Crescent, Douglas, Douglas Parish, York County, New Brunswick, E3C 0H7, Canada</t>
  </si>
  <si>
    <t>46.0388861110001</t>
  </si>
  <si>
    <t>-64.986388889</t>
  </si>
  <si>
    <t>46 - 2 - 19.99</t>
  </si>
  <si>
    <t>64 - 59 - 11.0</t>
  </si>
  <si>
    <t>Coverdale Road, Coverdale Parish, Albert County, New Brunswick, E1G 4A1, Canada</t>
  </si>
  <si>
    <t>47.1803</t>
  </si>
  <si>
    <t>-67.9027972219999</t>
  </si>
  <si>
    <t>47 - 10 - 49.08</t>
  </si>
  <si>
    <t>67 - 54 - 10.07</t>
  </si>
  <si>
    <t>31, Chemin André Soucy, Paroisse de Saint-Léonard, Ville de Vallée-des-Rivières, Comté de Madawaska, New Brunswick, E7E 2V3, Canada</t>
  </si>
  <si>
    <t>46.758055556</t>
  </si>
  <si>
    <t>-67.692219444</t>
  </si>
  <si>
    <t>46 - 45 - 29.0</t>
  </si>
  <si>
    <t>67 - 41 - 31.99</t>
  </si>
  <si>
    <t>Route 105, Perth-Andover, Perth Parish, Village of Southern Victoria, Victoria County, New Brunswick, E7H 2B9, Canada</t>
  </si>
  <si>
    <t>45.8527750000001</t>
  </si>
  <si>
    <t>-66.4457</t>
  </si>
  <si>
    <t>45 - 51 - 9.99</t>
  </si>
  <si>
    <t>66 - 26 - 44.52</t>
  </si>
  <si>
    <t>45.303330556</t>
  </si>
  <si>
    <t>-66.07305</t>
  </si>
  <si>
    <t>45 - 18 - 11.99</t>
  </si>
  <si>
    <t>66 - 4 - 22.98</t>
  </si>
  <si>
    <t>Dark Lake Road, City of Saint John, Saint John County, New Brunswick, E2K 3S2, Canada</t>
  </si>
  <si>
    <t>45.5921500000001</t>
  </si>
  <si>
    <t>-64.9943749999999</t>
  </si>
  <si>
    <t>45 - 35 - 31.74</t>
  </si>
  <si>
    <t>64 - 59 - 39.75</t>
  </si>
  <si>
    <t>Maple Grove, Alma Parish, Albert County, New Brunswick, E4H 4V5, Canada</t>
  </si>
  <si>
    <t>46.1811000000001</t>
  </si>
  <si>
    <t>-64.2293972219999</t>
  </si>
  <si>
    <t>46 - 10 - 51.96</t>
  </si>
  <si>
    <t>64 - 13 - 45.83</t>
  </si>
  <si>
    <t>W.E. Acres Road, Botsford Parish, Westmorland County, New Brunswick, Canada</t>
  </si>
  <si>
    <t>45.0749500000001</t>
  </si>
  <si>
    <t>-66.7549472219999</t>
  </si>
  <si>
    <t>45 - 4 - 29.82</t>
  </si>
  <si>
    <t>66 - 45 - 17.81</t>
  </si>
  <si>
    <t>Mountain Road, Pennfield Parish, Municipality of Eastern Charlotte, Charlotte County, New Brunswick, E5H 1E6, Canada</t>
  </si>
  <si>
    <t>47.6154000000001</t>
  </si>
  <si>
    <t>-65.612988889</t>
  </si>
  <si>
    <t>47 - 36 - 55.44</t>
  </si>
  <si>
    <t>65 - 36 - 46.76</t>
  </si>
  <si>
    <t>Atlantic Avenue, Bathurst Parish, Comté de Gloucester, New Brunswick, E2A 5X5, Canada</t>
  </si>
  <si>
    <t>45.957858333</t>
  </si>
  <si>
    <t>-67.1668722219999</t>
  </si>
  <si>
    <t>45 - 57 - 28.29</t>
  </si>
  <si>
    <t>67 - 10 - 0.74</t>
  </si>
  <si>
    <t>Dumfries Parish, Nackawic-Millville Rural Community, York County, New Brunswick, E6G 1R1, Canada</t>
  </si>
  <si>
    <t>45.9771777780001</t>
  </si>
  <si>
    <t>-66.640819444</t>
  </si>
  <si>
    <t>45 - 58 - 37.84</t>
  </si>
  <si>
    <t>66 - 38 - 26.95</t>
  </si>
  <si>
    <t>119, Promenade Preston Drive, North Devon, Nashwaaksis, City of Fredericton, York County, New Brunswick, E3A 1E1, Canada</t>
  </si>
  <si>
    <t>45.9645722220001</t>
  </si>
  <si>
    <t>-66.863022222</t>
  </si>
  <si>
    <t>45 - 57 - 52.46</t>
  </si>
  <si>
    <t>66 - 51 - 46.88</t>
  </si>
  <si>
    <t>Route 105, McKeens Corner, Bright Parish, Central York Rural Community, York County, New Brunswick, E3E 1K3, Canada</t>
  </si>
  <si>
    <t>46.081588889</t>
  </si>
  <si>
    <t>-64.831641667</t>
  </si>
  <si>
    <t>46 - 4 - 53.72</t>
  </si>
  <si>
    <t>64 - 49 - 53.91</t>
  </si>
  <si>
    <t>PropertyGuys.com Greater Moncton, 1133, St. George Boulevard, Moncton Parish, Moncton, Westmorland County, New Brunswick, E1E 4N4, Canada</t>
  </si>
  <si>
    <t>46.0965861110001</t>
  </si>
  <si>
    <t>-64.7928416669999</t>
  </si>
  <si>
    <t>46 - 5 - 47.71</t>
  </si>
  <si>
    <t>64 - 47 - 34.23</t>
  </si>
  <si>
    <t>Maple Street, Moncton Parish, Moncton, Westmorland County, New Brunswick, E1C 3B8, Canada</t>
  </si>
  <si>
    <t>45.9283</t>
  </si>
  <si>
    <t>-65.2152972219999</t>
  </si>
  <si>
    <t>45 - 55 - 41.88</t>
  </si>
  <si>
    <t>65 - 12 - 55.07</t>
  </si>
  <si>
    <t>Hillgrove Road, Salisbury Parish, Westmorland County, New Brunswick, E4Z 4L2, Canada</t>
  </si>
  <si>
    <t>45.940988889</t>
  </si>
  <si>
    <t>-66.701347222</t>
  </si>
  <si>
    <t>45 - 56 - 27.56</t>
  </si>
  <si>
    <t>66 - 42 - 4.85</t>
  </si>
  <si>
    <t>Hanwell Road, Hanwell Park, City of Fredericton, York County, New Brunswick, E3C 1A7, Canada</t>
  </si>
  <si>
    <t>45.3264972220001</t>
  </si>
  <si>
    <t>-65.578822222</t>
  </si>
  <si>
    <t>45 - 19 - 35.39</t>
  </si>
  <si>
    <t>65 - 34 - 43.76</t>
  </si>
  <si>
    <t>New Line Road, Saint Martins Parish, Village of Fundy-St. Martins, Saint John County, New Brunswick, E5R 1Z9, Canada</t>
  </si>
  <si>
    <t>46.3798444440001</t>
  </si>
  <si>
    <t>-67.645058333</t>
  </si>
  <si>
    <t>46 - 22 - 47.44</t>
  </si>
  <si>
    <t>67 - 38 - 42.21</t>
  </si>
  <si>
    <t>Mount Delight Road, Simonds Parish, District of Carleton North, Carleton County, New Brunswick, Canada</t>
  </si>
  <si>
    <t>47.7748500000001</t>
  </si>
  <si>
    <t>-64.9381888889999</t>
  </si>
  <si>
    <t>47 - 46 - 29.46</t>
  </si>
  <si>
    <t>64 - 56 - 17.48</t>
  </si>
  <si>
    <t>Pointe-Rocheuse, Paroisse de Caraquet, Comté de Gloucester, New Brunswick, E2K 4E6, Canada</t>
  </si>
  <si>
    <t>46.103047222</t>
  </si>
  <si>
    <t>-66.0486</t>
  </si>
  <si>
    <t>46 - 6 - 10.97</t>
  </si>
  <si>
    <t>66 - 2 - 54.96</t>
  </si>
  <si>
    <t>Pleasant Drive, Minto, Northfield Parish, Municipality of Grand Lake, Sunbury County, New Brunswick, E4B 2V6, Canada</t>
  </si>
  <si>
    <t>47.7984000000001</t>
  </si>
  <si>
    <t>-65.1349</t>
  </si>
  <si>
    <t>47 - 47 - 54.24</t>
  </si>
  <si>
    <t>65 - 8 - 5.64</t>
  </si>
  <si>
    <t>Chemin Dugas, Paroisse de New Bandon, Comté de Gloucester, New Brunswick, E1W 0E1, Canada</t>
  </si>
  <si>
    <t>45.4157777780001</t>
  </si>
  <si>
    <t>-65.721138889</t>
  </si>
  <si>
    <t>45 - 24 - 56.8</t>
  </si>
  <si>
    <t>65 - 43 - 16.1</t>
  </si>
  <si>
    <t>VE9STM 145.330-, Grassy Road, Saint Martins Parish, Village of Fundy-St. Martins, Saint John County, New Brunswick, Canada</t>
  </si>
  <si>
    <t>45.134508333</t>
  </si>
  <si>
    <t>-66.5504583329999</t>
  </si>
  <si>
    <t>45 - 8 - 4.23</t>
  </si>
  <si>
    <t>66 - 33 - 1.65</t>
  </si>
  <si>
    <t>Route 175, Lepreau Parish, Rural Community of Fundy Shores, Charlotte County, New Brunswick, Canada</t>
  </si>
  <si>
    <t>45.1976861110001</t>
  </si>
  <si>
    <t>-67.128616667</t>
  </si>
  <si>
    <t>45 - 11 - 51.67</t>
  </si>
  <si>
    <t>67 - 7 - 43.02</t>
  </si>
  <si>
    <t>Bartletts Mills, Saint Croix Parish, Town of Saint Andrews, Charlotte County, New Brunswick, E5B 2Y2, Canada</t>
  </si>
  <si>
    <t>45.1253</t>
  </si>
  <si>
    <t>-67.0930999999999</t>
  </si>
  <si>
    <t>45 - 7 - 31.08</t>
  </si>
  <si>
    <t>67 - 5 - 35.16</t>
  </si>
  <si>
    <t>Route 127, Wileys Corner, Saint Croix Parish, Town of Saint Andrews, Charlotte County, New Brunswick, E5B 3A1, Canada</t>
  </si>
  <si>
    <t>45.3161527780001</t>
  </si>
  <si>
    <t>-66.213980556</t>
  </si>
  <si>
    <t>45 - 18 - 58.15</t>
  </si>
  <si>
    <t>66 - 12 - 50.33</t>
  </si>
  <si>
    <t>Ridge Way, Westfield Parish, Town of Grand Bay-Westfield, Kings County, New Brunswick, E5K 1S8, Canada</t>
  </si>
  <si>
    <t>46.9596083330001</t>
  </si>
  <si>
    <t>-65.794169444</t>
  </si>
  <si>
    <t>46 - 57 - 34.59</t>
  </si>
  <si>
    <t>65 - 47 - 39.01</t>
  </si>
  <si>
    <t>46.323052778</t>
  </si>
  <si>
    <t>-64.525830556</t>
  </si>
  <si>
    <t>46 - 19 - 22.99</t>
  </si>
  <si>
    <t>64 - 31 - 32.99</t>
  </si>
  <si>
    <t>Route 530, Cap-des-Caissie, Paroisse de Dundas, Comté de Kent, New Brunswick, E4R 4G1, Canada</t>
  </si>
  <si>
    <t>47.0977777780001</t>
  </si>
  <si>
    <t>-65.7349972219999</t>
  </si>
  <si>
    <t>47 - 5 - 52.0</t>
  </si>
  <si>
    <t>65 - 44 - 5.99</t>
  </si>
  <si>
    <t>Route 430, Northesk Parish, Rural Community of Miramichi River Valley, Northumberland County, New Brunswick, Canada</t>
  </si>
  <si>
    <t>46.091538889</t>
  </si>
  <si>
    <t>-64.7817277779999</t>
  </si>
  <si>
    <t>46 - 5 - 29.54</t>
  </si>
  <si>
    <t>64 - 46 - 54.22</t>
  </si>
  <si>
    <t>Lutz Street, Moncton Parish, Moncton, Westmorland County, New Brunswick, E1C 9J7, Canada</t>
  </si>
  <si>
    <t>45.9187138890001</t>
  </si>
  <si>
    <t>-66.631341667</t>
  </si>
  <si>
    <t>45 - 55 - 7.37</t>
  </si>
  <si>
    <t>66 - 37 - 52.83</t>
  </si>
  <si>
    <t>45.182930556</t>
  </si>
  <si>
    <t>-67.233230556</t>
  </si>
  <si>
    <t>45 - 10 - 58.55</t>
  </si>
  <si>
    <t>67 - 13 - 59.63</t>
  </si>
  <si>
    <t>Dufferin Parish, Municipal District of St. Stephen, Charlotte County, New Brunswick, E3L 3W8, Canada</t>
  </si>
  <si>
    <t>45.8297916670001</t>
  </si>
  <si>
    <t>-66.230044444</t>
  </si>
  <si>
    <t>45 - 49 - 47.25</t>
  </si>
  <si>
    <t>66 - 13 - 48.16</t>
  </si>
  <si>
    <t>47.5103472220001</t>
  </si>
  <si>
    <t>-64.9247999999999</t>
  </si>
  <si>
    <t>47 - 30 - 37.25</t>
  </si>
  <si>
    <t>64 - 55 - 29.28</t>
  </si>
  <si>
    <t>Rue de l'Église, Tracadie, Paroisse de Saumarez, Comté de Gloucester, New Brunswick, E1X 1B1, Canada</t>
  </si>
  <si>
    <t>45.6833333330001</t>
  </si>
  <si>
    <t>-66.647222222</t>
  </si>
  <si>
    <t>45 - 40 - 60.0</t>
  </si>
  <si>
    <t>66 - 38 - 50.0</t>
  </si>
  <si>
    <t>Boone Road, Gladstone Parish, Capital Region Rural District, Sunbury County, New Brunswick, E5L 1B5, Canada</t>
  </si>
  <si>
    <t>44.710213889</t>
  </si>
  <si>
    <t>-66.746619444</t>
  </si>
  <si>
    <t>44 - 42 - 36.77</t>
  </si>
  <si>
    <t>66 - 44 - 47.83</t>
  </si>
  <si>
    <t>800, Route 776, Woodwards Cove, Grand Manan Parish, Village of Grand Manan, Charlotte County, New Brunswick, E5G 4M1, Canada</t>
  </si>
  <si>
    <t>45.887219444</t>
  </si>
  <si>
    <t>-65.316663889</t>
  </si>
  <si>
    <t>45 - 53 - 13.99</t>
  </si>
  <si>
    <t>65 - 18 - 59.99</t>
  </si>
  <si>
    <t>Knightville Road, Havelock Parish, Butternut Valley Rural Community, Kings County, New Brunswick, E4Z 1M2, Canada</t>
  </si>
  <si>
    <t>45.4141666670001</t>
  </si>
  <si>
    <t>-66.310830556</t>
  </si>
  <si>
    <t>45 - 24 - 51.0</t>
  </si>
  <si>
    <t>66 - 18 - 38.99</t>
  </si>
  <si>
    <t>Eagle Rock Road, Bayard, Westfield Parish, Petersville Parish, Fundy Rural District, Kings County, New Brunswick, E5K 3Y7, Canada</t>
  </si>
  <si>
    <t>47.4652972220001</t>
  </si>
  <si>
    <t>-67.3905999999999</t>
  </si>
  <si>
    <t>47 - 27 - 55.07</t>
  </si>
  <si>
    <t>67 - 23 - 26.16</t>
  </si>
  <si>
    <t>Paroisse de Drummond, District rural du Nord-Ouest, Victoria County, New Brunswick, Canada</t>
  </si>
  <si>
    <t>47.7422</t>
  </si>
  <si>
    <t>-64.7205999999999</t>
  </si>
  <si>
    <t>47 - 44 - 31.92</t>
  </si>
  <si>
    <t>64 - 43 - 14.16</t>
  </si>
  <si>
    <t>160, Avenue Hôtel de Ville, Paroisse de Shippagan, Comté de Gloucester, New Brunswick, E8S 1L1, Canada</t>
  </si>
  <si>
    <t>46.0658333330001</t>
  </si>
  <si>
    <t>-64.711386111</t>
  </si>
  <si>
    <t>46 - 3 - 57.0</t>
  </si>
  <si>
    <t>64 - 42 - 40.99</t>
  </si>
  <si>
    <t>46.113377778</t>
  </si>
  <si>
    <t>-64.829369444</t>
  </si>
  <si>
    <t>46 - 6 - 48.16</t>
  </si>
  <si>
    <t>64 - 49 - 45.73</t>
  </si>
  <si>
    <t>Walmart, 25, boulevard Plaza Boulevard, Moncton Parish, Moncton, Westmorland County, New Brunswick, E1C 0G3, Canada</t>
  </si>
  <si>
    <t>46.224869444</t>
  </si>
  <si>
    <t>-64.423377778</t>
  </si>
  <si>
    <t>46 - 13 - 29.53</t>
  </si>
  <si>
    <t>64 - 25 - 24.16</t>
  </si>
  <si>
    <t>Chemin Saint-Henri, Beaubassin Est, Westmorland County, New Brunswick, E4P 8C7, Canada</t>
  </si>
  <si>
    <t>47.0271638890001</t>
  </si>
  <si>
    <t>-65.461475</t>
  </si>
  <si>
    <t>47 - 1 - 37.79</t>
  </si>
  <si>
    <t>65 - 27 - 41.31</t>
  </si>
  <si>
    <t>Henderson Street, Chatham, Paroisse de Chatham, City of Miramichi, Northumberland County, New Brunswick, E1N 2T4, Canada</t>
  </si>
  <si>
    <t>45.949769444</t>
  </si>
  <si>
    <t>-66.694980556</t>
  </si>
  <si>
    <t>45 - 56 - 59.17</t>
  </si>
  <si>
    <t>66 - 41 - 41.93</t>
  </si>
  <si>
    <t>Fredericton West High Speed Connector, Morning Gate, City of Fredericton, York County, New Brunswick, E3C 2R9, Canada</t>
  </si>
  <si>
    <t>46.1042833330001</t>
  </si>
  <si>
    <t>-64.9011027779999</t>
  </si>
  <si>
    <t>46 - 6 - 15.42</t>
  </si>
  <si>
    <t>64 - 54 - 3.97</t>
  </si>
  <si>
    <t>Zack Road, Moncton Parish, Westmorland County, New Brunswick, E1G 2V1, Canada</t>
  </si>
  <si>
    <t>46.1302805560001</t>
  </si>
  <si>
    <t>-64.834088889</t>
  </si>
  <si>
    <t>46 - 7 - 49.01</t>
  </si>
  <si>
    <t>64 - 50 - 2.72</t>
  </si>
  <si>
    <t>Hampton Inn &amp; Suites by Hilton Moncton, 700, Mapleton Road, Moncton Parish, Moncton, Westmorland County, New Brunswick, E1G 0L7, Canada</t>
  </si>
  <si>
    <t>45.169066667</t>
  </si>
  <si>
    <t>-67.317455556</t>
  </si>
  <si>
    <t>45 - 10 - 8.64</t>
  </si>
  <si>
    <t>67 - 19 - 2.84</t>
  </si>
  <si>
    <t>Saint Stephen Drive, Todds Mountain, Saint Stephen Parish, Municipal District of St. Stephen, Charlotte County, New Brunswick, E3L 1G9, Canada</t>
  </si>
  <si>
    <t>45.4428</t>
  </si>
  <si>
    <t>-65.9553</t>
  </si>
  <si>
    <t>45 - 26 - 34.08</t>
  </si>
  <si>
    <t>65 - 57 - 19.08</t>
  </si>
  <si>
    <t>Flagstone Drive, Otty Glen, Rothesay Parish, Town of Quispamsis, Kings County, New Brunswick, E2G 1C1, Canada</t>
  </si>
  <si>
    <t>45.4468972220001</t>
  </si>
  <si>
    <t>-66.008897222</t>
  </si>
  <si>
    <t>45 - 26 - 48.83</t>
  </si>
  <si>
    <t>66 - 0 - 32.03</t>
  </si>
  <si>
    <t>Route 845, Summerville, Westfield Parish, Kingston Parish, Fundy Rural District, Kings County, New Brunswick, E5S 2H7, Canada</t>
  </si>
  <si>
    <t>46.063858333</t>
  </si>
  <si>
    <t>-66.5817888889999</t>
  </si>
  <si>
    <t>46 - 3 - 49.89</t>
  </si>
  <si>
    <t>66 - 34 - 54.44</t>
  </si>
  <si>
    <t>45.946055556</t>
  </si>
  <si>
    <t>-66.643027778</t>
  </si>
  <si>
    <t>45 - 56 - 45.8</t>
  </si>
  <si>
    <t>66 - 38 - 34.9</t>
  </si>
  <si>
    <t>Harriet Irving Library, 5, Poet's Corner, College Hill, Forest Hills, City of Fredericton, York County, New Brunswick, E3B 5A3, Canada</t>
  </si>
  <si>
    <t>45.8371916670001</t>
  </si>
  <si>
    <t>-66.4928305559999</t>
  </si>
  <si>
    <t>45 - 50 - 13.89</t>
  </si>
  <si>
    <t>66 - 29 - 34.19</t>
  </si>
  <si>
    <t>Gateway Drive, Oromocto West, Town of Oromocto, Sunbury County, New Brunswick, E2V 4R3, Canada</t>
  </si>
  <si>
    <t>45.930969444</t>
  </si>
  <si>
    <t>-66.6505</t>
  </si>
  <si>
    <t>45 - 55 - 51.49</t>
  </si>
  <si>
    <t>66 - 39 - 1.8</t>
  </si>
  <si>
    <t>VE1BM 147.120+, Vanier Highway, Skyline Acres, City of Fredericton, York County, New Brunswick, E3B 4V4, Canada</t>
  </si>
  <si>
    <t>45.466244444</t>
  </si>
  <si>
    <t>-66.078458333</t>
  </si>
  <si>
    <t>45 - 27 - 58.48</t>
  </si>
  <si>
    <t>66 - 4 - 42.45</t>
  </si>
  <si>
    <t>Williams Road, Kingston Parish, Fundy Rural District, Kings County, New Brunswick, Canada</t>
  </si>
  <si>
    <t>45.9220222220001</t>
  </si>
  <si>
    <t>-65.874675</t>
  </si>
  <si>
    <t>45 - 55 - 19.28</t>
  </si>
  <si>
    <t>65 - 52 - 28.83</t>
  </si>
  <si>
    <t>Lower Bagdad Road, Johnston Parish, Butternut Valley Rural Community, Queens County, New Brunswick, E4C 1S0, Canada</t>
  </si>
  <si>
    <t>45.2503</t>
  </si>
  <si>
    <t>-66.072933333</t>
  </si>
  <si>
    <t>45 - 15 - 1.08</t>
  </si>
  <si>
    <t>66 - 4 - 22.56</t>
  </si>
  <si>
    <t>721, Beaconsfield Avenue, Fundy Heights, Hodges Point, City of Saint John, Saint John County, New Brunswick, E2M 2A9, Canada</t>
  </si>
  <si>
    <t>46.294208333</t>
  </si>
  <si>
    <t>-64.61875</t>
  </si>
  <si>
    <t>46 - 17 - 39.15</t>
  </si>
  <si>
    <t>64 - 37 - 7.5</t>
  </si>
  <si>
    <t>Chemin Babineau, Paroisse de Dundas, Comté de Kent, New Brunswick, E4R 1Z7, Canada</t>
  </si>
  <si>
    <t>45.0808555560001</t>
  </si>
  <si>
    <t>-67.056066667</t>
  </si>
  <si>
    <t>45 - 4 - 51.08</t>
  </si>
  <si>
    <t>67 - 3 - 21.84</t>
  </si>
  <si>
    <t>The Algonquin Resort, 184, Adolphus Street, Champlain Heights, Town of Saint Andrews, Charlotte County, New Brunswick, E5B 1S2, Canada</t>
  </si>
  <si>
    <t>47.3686000000001</t>
  </si>
  <si>
    <t>-68.3563972219999</t>
  </si>
  <si>
    <t>47 - 22 - 6.96</t>
  </si>
  <si>
    <t>68 - 21 - 23.03</t>
  </si>
  <si>
    <t>46.4530722220001</t>
  </si>
  <si>
    <t>-66.520563889</t>
  </si>
  <si>
    <t>46 - 27 - 11.06</t>
  </si>
  <si>
    <t>66 - 31 - 14.03</t>
  </si>
  <si>
    <t>Route 625, Stanley Parish, Rural Community of Upper Miramichi, York County, New Brunswick, Canada</t>
  </si>
  <si>
    <t>45.1124722220001</t>
  </si>
  <si>
    <t>-66.744777778</t>
  </si>
  <si>
    <t>45 - 6 - 44.9</t>
  </si>
  <si>
    <t>66 - 44 - 41.2</t>
  </si>
  <si>
    <t>Route 1, Pennfield Corner, Pennfield Parish, Municipality of Eastern Charlotte, Charlotte County, New Brunswick, E5H 1Z4, Canada</t>
  </si>
  <si>
    <t>45.9285833330001</t>
  </si>
  <si>
    <t>-65.215444444</t>
  </si>
  <si>
    <t>45 - 55 - 42.9</t>
  </si>
  <si>
    <t>65 - 12 - 55.6</t>
  </si>
  <si>
    <t>45.920838889</t>
  </si>
  <si>
    <t>-65.645061111</t>
  </si>
  <si>
    <t>45 - 55 - 15.02</t>
  </si>
  <si>
    <t>65 - 38 - 42.22</t>
  </si>
  <si>
    <t>Brunswick Parish, Butternut Valley Rural Community, Queens County, New Brunswick, Canada</t>
  </si>
  <si>
    <t>47.415147222</t>
  </si>
  <si>
    <t>-68.264277778</t>
  </si>
  <si>
    <t>47 - 24 - 54.53</t>
  </si>
  <si>
    <t>68 - 15 - 51.4</t>
  </si>
  <si>
    <t>Chemin Marceline, Paroisse de Saint-Basile, District rural du Nord-Ouest, Comté de Madawaska, New Brunswick, Canada</t>
  </si>
  <si>
    <t>45.365997222</t>
  </si>
  <si>
    <t>-65.9532972219999</t>
  </si>
  <si>
    <t>45 - 21 - 57.59</t>
  </si>
  <si>
    <t>65 - 57 - 11.87</t>
  </si>
  <si>
    <t>210, McGill Road, Rothesay Parish, Town of Rothesay, Kings County, New Brunswick, E2E 6H1, Canada</t>
  </si>
  <si>
    <t>46.1113888890001</t>
  </si>
  <si>
    <t>-64.718055556</t>
  </si>
  <si>
    <t>46 - 6 - 41.0</t>
  </si>
  <si>
    <t>64 - 43 - 5.0</t>
  </si>
  <si>
    <t>46.111422222</t>
  </si>
  <si>
    <t>-64.777</t>
  </si>
  <si>
    <t>46 - 6 - 41.12</t>
  </si>
  <si>
    <t>64 - 46 - 37.2</t>
  </si>
  <si>
    <t>45.8391194440001</t>
  </si>
  <si>
    <t>-66.4969694439999</t>
  </si>
  <si>
    <t>45 - 50 - 20.83</t>
  </si>
  <si>
    <t>66 - 29 - 49.09</t>
  </si>
  <si>
    <t>D'Amours Street, Oromocto West, Town of Oromocto, Sunbury County, New Brunswick, E2V 2H1, Canada</t>
  </si>
  <si>
    <t>46.107661111</t>
  </si>
  <si>
    <t>-64.8317499999999</t>
  </si>
  <si>
    <t>46 - 6 - 27.58</t>
  </si>
  <si>
    <t>64 - 49 - 54.3</t>
  </si>
  <si>
    <t>45.3125000000001</t>
  </si>
  <si>
    <t>-65.9655611109999</t>
  </si>
  <si>
    <t>45 - 18 - 45.0</t>
  </si>
  <si>
    <t>65 - 57 - 56.02</t>
  </si>
  <si>
    <t>Loch Lomond Road, Greenwood, City of Saint John, Saint John County, New Brunswick, E2N 1E6, Canada</t>
  </si>
  <si>
    <t>46.059094444</t>
  </si>
  <si>
    <t>-64.815797222</t>
  </si>
  <si>
    <t>46 - 3 - 32.74</t>
  </si>
  <si>
    <t>64 - 48 - 56.87</t>
  </si>
  <si>
    <t>Coverdale Road, Coverdale Parish, Albert County, New Brunswick, E1B 2T4, Canada</t>
  </si>
  <si>
    <t>46.1046027780001</t>
  </si>
  <si>
    <t>-64.805205556</t>
  </si>
  <si>
    <t>46 - 6 - 16.57</t>
  </si>
  <si>
    <t>64 - 48 - 18.74</t>
  </si>
  <si>
    <t>45.9696555560001</t>
  </si>
  <si>
    <t>-66.5810222219999</t>
  </si>
  <si>
    <t>45 - 58 - 10.76</t>
  </si>
  <si>
    <t>66 - 34 - 51.68</t>
  </si>
  <si>
    <t>Thompson Drive, Marysville, City of Fredericton, York County, New Brunswick, E3A 4A0, Canada</t>
  </si>
  <si>
    <t>46.2207083330001</t>
  </si>
  <si>
    <t>-64.541130556</t>
  </si>
  <si>
    <t>46 - 13 - 14.55</t>
  </si>
  <si>
    <t>64 - 32 - 28.07</t>
  </si>
  <si>
    <t>St. James' Gate, 222, Belliveau Avenue, Shediac, Westmorland County, New Brunswick, E4P 0M2, Canada</t>
  </si>
  <si>
    <t>45.898969444</t>
  </si>
  <si>
    <t>-64.372030556</t>
  </si>
  <si>
    <t>45 - 53 - 56.29</t>
  </si>
  <si>
    <t>64 - 22 - 19.31</t>
  </si>
  <si>
    <t>Mount Allison University, Rectory Lane, Sackville, Westmorland County, New Brunswick, E4L 1G6, Canada</t>
  </si>
  <si>
    <t>45.289619444</t>
  </si>
  <si>
    <t>-66.08885</t>
  </si>
  <si>
    <t>45 - 17 - 22.63</t>
  </si>
  <si>
    <t>66 - 5 - 19.86</t>
  </si>
  <si>
    <t>1020, Magee Place, City of Saint John, Saint John County, New Brunswick, E2K 5B4, Canada</t>
  </si>
  <si>
    <t>45.9357694440001</t>
  </si>
  <si>
    <t>-66.661519444</t>
  </si>
  <si>
    <t>45 - 56 - 8.77</t>
  </si>
  <si>
    <t>66 - 39 - 41.47</t>
  </si>
  <si>
    <t>Fredericton Inn, 1315, Rue Regent Street, Uptown, City of Fredericton, York County, New Brunswick, E3C 2G6, Canada</t>
  </si>
  <si>
    <t>45.2330000000001</t>
  </si>
  <si>
    <t>-65.984</t>
  </si>
  <si>
    <t>45 - 13 - 58.8</t>
  </si>
  <si>
    <t>65 - 59 - 2.4</t>
  </si>
  <si>
    <t>45.3008333330001</t>
  </si>
  <si>
    <t>-66.0294388889999</t>
  </si>
  <si>
    <t>45 - 18 - 3.0</t>
  </si>
  <si>
    <t>66 - 1 - 45.98</t>
  </si>
  <si>
    <t>302, Westmorland Road, Silver Falls Park, City of Saint John, Saint John County, New Brunswick, E2J 0A7, Canada</t>
  </si>
  <si>
    <t>46.1189000000001</t>
  </si>
  <si>
    <t>-64.8420055559999</t>
  </si>
  <si>
    <t>46 - 7 - 8.04</t>
  </si>
  <si>
    <t>64 - 50 - 31.22</t>
  </si>
  <si>
    <t>1663, Mountain Road, Hildegarde, Moncton Parish, Moncton, Westmorland County, New Brunswick, E1G 1A7, Canada</t>
  </si>
  <si>
    <t>45.134166667</t>
  </si>
  <si>
    <t>-66.5505555559999</t>
  </si>
  <si>
    <t>45 - 8 - 3.0</t>
  </si>
  <si>
    <t>66 - 33 - 2.0</t>
  </si>
  <si>
    <t>47.6872000000001</t>
  </si>
  <si>
    <t>-65.4308</t>
  </si>
  <si>
    <t>47 - 41 - 13.92</t>
  </si>
  <si>
    <t>65 - 25 - 50.88</t>
  </si>
  <si>
    <t>47.048222222</t>
  </si>
  <si>
    <t>-65.324611111</t>
  </si>
  <si>
    <t>47 - 2 - 53.6</t>
  </si>
  <si>
    <t>65 - 19 - 28.6</t>
  </si>
  <si>
    <t>Point aux Carr Road, Napan Bay, Paroisse de Glenelg, Northumberland County, New Brunswick, Canada</t>
  </si>
  <si>
    <t>47.799861111</t>
  </si>
  <si>
    <t>-65.134916667</t>
  </si>
  <si>
    <t>47 - 47 - 59.5</t>
  </si>
  <si>
    <t>65 - 8 - 5.7</t>
  </si>
  <si>
    <t>47.7986000000001</t>
  </si>
  <si>
    <t>-65.1342</t>
  </si>
  <si>
    <t>47 - 47 - 54.96</t>
  </si>
  <si>
    <t>65 - 8 - 3.12</t>
  </si>
  <si>
    <t>45.8873611110001</t>
  </si>
  <si>
    <t>-65.31675</t>
  </si>
  <si>
    <t>45 - 53 - 14.5</t>
  </si>
  <si>
    <t>65 - 19 - 0.3</t>
  </si>
  <si>
    <t>Country View Road, Havelock Parish, Butternut Valley Rural Community, Kings County, New Brunswick, E4Z 1M2, Canada</t>
  </si>
  <si>
    <t>45.327116667</t>
  </si>
  <si>
    <t>-65.903461111</t>
  </si>
  <si>
    <t>45 - 19 - 37.62</t>
  </si>
  <si>
    <t>65 - 54 - 12.46</t>
  </si>
  <si>
    <t>31, Saddlebrook Court, City of Saint John, Saint John County, New Brunswick, E2N 1R5, Canada</t>
  </si>
  <si>
    <t>45.9060416670001</t>
  </si>
  <si>
    <t>-66.7020277779999</t>
  </si>
  <si>
    <t>45 - 54 - 21.75</t>
  </si>
  <si>
    <t>66 - 42 - 7.3</t>
  </si>
  <si>
    <t>Melba Street, Applewood Acres, New Maryland Parish, York County, New Brunswick, E3C 2H1, Canada</t>
  </si>
  <si>
    <t>47.318055556</t>
  </si>
  <si>
    <t>-68.091930556</t>
  </si>
  <si>
    <t>47 - 19 - 5.0</t>
  </si>
  <si>
    <t>68 - 5 - 30.95</t>
  </si>
  <si>
    <t>Paroisse de Rivière-Verte, District rural du Nord-Ouest, Comté de Madawaska, New Brunswick, Canada</t>
  </si>
  <si>
    <t>47.7085000000001</t>
  </si>
  <si>
    <t>-65.7211694439999</t>
  </si>
  <si>
    <t>47 - 42 - 30.6</t>
  </si>
  <si>
    <t>65 - 43 - 16.21</t>
  </si>
  <si>
    <t>Rue de l'Usine, Paroisse de Beresford, Comté de Gloucester, New Brunswick, E8K 2B7, Canada</t>
  </si>
  <si>
    <t>46.1425166670001</t>
  </si>
  <si>
    <t>-64.837502778</t>
  </si>
  <si>
    <t>46 - 8 - 33.06</t>
  </si>
  <si>
    <t>64 - 50 - 15.01</t>
  </si>
  <si>
    <t>Mapleton Road, Moncton Parish, Moncton, Westmorland County, New Brunswick, E1G 2K7, Canada</t>
  </si>
  <si>
    <t>47.0555694440001</t>
  </si>
  <si>
    <t>-65.4886361109999</t>
  </si>
  <si>
    <t>47 - 3 - 20.05</t>
  </si>
  <si>
    <t>65 - 29 - 19.09</t>
  </si>
  <si>
    <t>45.9477444440001</t>
  </si>
  <si>
    <t>-66.6424916669999</t>
  </si>
  <si>
    <t>45 - 56 - 51.88</t>
  </si>
  <si>
    <t>66 - 38 - 32.97</t>
  </si>
  <si>
    <t>University of New Brunswick, Rue Grey Street, Town Plat, Downtown, City of Fredericton, York County, New Brunswick, E3B 5H5, Canada</t>
  </si>
  <si>
    <t>45.3001611110001</t>
  </si>
  <si>
    <t>-66.029958333</t>
  </si>
  <si>
    <t>45 - 18 - 0.58</t>
  </si>
  <si>
    <t>66 - 1 - 47.85</t>
  </si>
  <si>
    <t>288, Westmorland Road, Westmorland Heights, City of Saint John, Saint John County, New Brunswick, E2J 2E7, Canada</t>
  </si>
  <si>
    <t>46.0972166670001</t>
  </si>
  <si>
    <t>-64.8373972219999</t>
  </si>
  <si>
    <t>46 - 5 - 49.98</t>
  </si>
  <si>
    <t>64 - 50 - 14.63</t>
  </si>
  <si>
    <t>Worthington Avenue, Moncton Parish, Moncton, Westmorland County, New Brunswick, E1C 3T1, Canada</t>
  </si>
  <si>
    <t>46.109</t>
  </si>
  <si>
    <t>-64.7427638889999</t>
  </si>
  <si>
    <t>46 - 6 - 32.4</t>
  </si>
  <si>
    <t>64 - 44 - 33.95</t>
  </si>
  <si>
    <t>McAuley Drive, Moncton Parish, Moncton, Westmorland County, New Brunswick, E1A 5R8, Canada</t>
  </si>
  <si>
    <t>47.4496972220001</t>
  </si>
  <si>
    <t>-65.5071972219999</t>
  </si>
  <si>
    <t>47 - 26 - 58.91</t>
  </si>
  <si>
    <t>65 - 30 - 25.91</t>
  </si>
  <si>
    <t>VE1BRD 147.315+, Chemin F.X.-Daigle, Paroisse d'Allardville, Comté de Gloucester, New Brunswick, E8L 1E4, Canada</t>
  </si>
  <si>
    <t>45.3330583330001</t>
  </si>
  <si>
    <t>-66.016938889</t>
  </si>
  <si>
    <t>45 - 19 - 59.01</t>
  </si>
  <si>
    <t>66 - 1 - 0.98</t>
  </si>
  <si>
    <t>Mackay Highway, Rothesay Parish, City of Saint John, Saint John County, New Brunswick, E2H 2J4, Canada</t>
  </si>
  <si>
    <t>45.2912833330001</t>
  </si>
  <si>
    <t>-66.0325444439999</t>
  </si>
  <si>
    <t>45 - 17 - 28.62</t>
  </si>
  <si>
    <t>66 - 1 - 57.16</t>
  </si>
  <si>
    <t>Loch Lomond Villa - The Village, Valley Street, Saint John East, City of Saint John, Saint John County, New Brunswick, E2J 2E7, Canada</t>
  </si>
  <si>
    <t>46.2054444440001</t>
  </si>
  <si>
    <t>-64.530408333</t>
  </si>
  <si>
    <t>46 - 12 - 19.6</t>
  </si>
  <si>
    <t>64 - 31 - 49.47</t>
  </si>
  <si>
    <t>Sackville Street, Paroisse de Shediac, Westmorland County, New Brunswick, E4P 2C4, Canada</t>
  </si>
  <si>
    <t>46.09</t>
  </si>
  <si>
    <t>-64.7764</t>
  </si>
  <si>
    <t>46 - 5 - 24.0</t>
  </si>
  <si>
    <t>64 - 46 - 35.04</t>
  </si>
  <si>
    <t>Rue de la Reine, Moncton Parish, Moncton, Westmorland County, New Brunswick, E1C 1E8, Canada</t>
  </si>
  <si>
    <t>45.2349972220001</t>
  </si>
  <si>
    <t>-66.1364</t>
  </si>
  <si>
    <t>45 - 14 - 5.99</t>
  </si>
  <si>
    <t>66 - 8 - 11.04</t>
  </si>
  <si>
    <t>1870, Manawagonish Road, Churchill Heights, Purdys Corner, City of Saint John, Saint John County, New Brunswick, E2M 4A1, Canada</t>
  </si>
  <si>
    <t>46.0878250000001</t>
  </si>
  <si>
    <t>-64.776813889</t>
  </si>
  <si>
    <t>46 - 5 - 16.17</t>
  </si>
  <si>
    <t>64 - 46 - 36.53</t>
  </si>
  <si>
    <t>Place L'Assomption, 770, Main Street, Moncton Parish, Moncton, Westmorland County, New Brunswick, E1C 1E9, Canada</t>
  </si>
  <si>
    <t>46.107252778</t>
  </si>
  <si>
    <t>-64.7424999999999</t>
  </si>
  <si>
    <t>46 - 6 - 26.11</t>
  </si>
  <si>
    <t>64 - 44 - 33.0</t>
  </si>
  <si>
    <t>Lewisville Middle School, Skyway Lane, Moncton Parish, Moncton, Westmorland County, New Brunswick, E1A 5R8, Canada</t>
  </si>
  <si>
    <t>46.104527778</t>
  </si>
  <si>
    <t>-64.821822222</t>
  </si>
  <si>
    <t>46 - 6 - 16.3</t>
  </si>
  <si>
    <t>64 - 49 - 18.56</t>
  </si>
  <si>
    <t>Crandall Street, Moncton Parish, Moncton, Westmorland County, New Brunswick, E1C 2T3, Canada</t>
  </si>
  <si>
    <t>46.216736111</t>
  </si>
  <si>
    <t>-64.5040749999999</t>
  </si>
  <si>
    <t>46 - 13 - 0.25</t>
  </si>
  <si>
    <t>64 - 30 - 14.67</t>
  </si>
  <si>
    <t>Camping Oceanic, 221, Chemin Ohio, East Shediac, Shediac, Westmorland County, New Brunswick, E4P 2J8, Canada</t>
  </si>
  <si>
    <t>47.6642000000001</t>
  </si>
  <si>
    <t>-65.1492</t>
  </si>
  <si>
    <t>47 - 39 - 51.12</t>
  </si>
  <si>
    <t>65 - 8 - 57.12</t>
  </si>
  <si>
    <t>NB 340, Notre-Dame-des-Érables, Paroisse de Paquetville, Comté de Gloucester, New Brunswick, Canada</t>
  </si>
  <si>
    <t>45.9074694440001</t>
  </si>
  <si>
    <t>-66.5862</t>
  </si>
  <si>
    <t>45 - 54 - 26.89</t>
  </si>
  <si>
    <t>66 - 35 - 10.32</t>
  </si>
  <si>
    <t>54, Promenade Vanier Industrial Drive, Lincoln Heights, Lincoln, City of Fredericton, Sunbury County, New Brunswick, E3B 8M7, Canada</t>
  </si>
  <si>
    <t>45.305269444</t>
  </si>
  <si>
    <t>-66.0212888889999</t>
  </si>
  <si>
    <t>45 - 18 - 18.97</t>
  </si>
  <si>
    <t>66 - 1 - 16.64</t>
  </si>
  <si>
    <t>East Side Mario's, Consumers Drive, SmartCentres Saint John, City of Saint John, Saint John County, New Brunswick, E2J 4Z2, Canada</t>
  </si>
  <si>
    <t>45.960883333</t>
  </si>
  <si>
    <t>-64.193058333</t>
  </si>
  <si>
    <t>45 - 57 - 39.18</t>
  </si>
  <si>
    <t>64 - 11 - 35.01</t>
  </si>
  <si>
    <t>Jolicure Road, Jolicure, Westmorland Parish, Westmorland County, New Brunswick, Canada</t>
  </si>
  <si>
    <t>45.8099861110001</t>
  </si>
  <si>
    <t>-67.769586111</t>
  </si>
  <si>
    <t>45 - 48 - 35.95</t>
  </si>
  <si>
    <t>67 - 46 - 10.51</t>
  </si>
  <si>
    <t>Route 122, Fosterville, North Lake Parish, Municipality of Lakeland Ridges, York County, New Brunswick, E6H 1E1, Canada</t>
  </si>
  <si>
    <t>45.809177778</t>
  </si>
  <si>
    <t>-64.748722222</t>
  </si>
  <si>
    <t>45 - 48 - 33.04</t>
  </si>
  <si>
    <t>64 - 44 - 55.4</t>
  </si>
  <si>
    <t>Caledonia Mountain Road, Hopewell Parish, Albert County, New Brunswick, E4H 3K5, Canada</t>
  </si>
  <si>
    <t>46.9742722220001</t>
  </si>
  <si>
    <t>-67.500722222</t>
  </si>
  <si>
    <t>46 - 58 - 27.38</t>
  </si>
  <si>
    <t>67 - 30 - 2.6</t>
  </si>
  <si>
    <t>Geneau Road, Lorne Parish, Western Valley Rural District, Victoria County, New Brunswick, Canada</t>
  </si>
  <si>
    <t>45.8423388890001</t>
  </si>
  <si>
    <t>-66.051655556</t>
  </si>
  <si>
    <t>45 - 50 - 32.42</t>
  </si>
  <si>
    <t>66 - 3 - 5.96</t>
  </si>
  <si>
    <t>Cambridge Parish, Village of Arcadia, Queens County, New Brunswick, Canada</t>
  </si>
  <si>
    <t>46.6098277780001</t>
  </si>
  <si>
    <t>-64.785608333</t>
  </si>
  <si>
    <t>46 - 36 - 35.38</t>
  </si>
  <si>
    <t>64 - 47 - 8.19</t>
  </si>
  <si>
    <t>Chemin Richard, Paroisse de Richibouctou, Comté de Kent, New Brunswick, Canada</t>
  </si>
  <si>
    <t>47.643952778</t>
  </si>
  <si>
    <t>-65.142033333</t>
  </si>
  <si>
    <t>47 - 38 - 38.23</t>
  </si>
  <si>
    <t>65 - 8 - 31.32</t>
  </si>
  <si>
    <t>Chemin Rang-Saint-Georges, Paroisse de Paquetville, Comté de Gloucester, New Brunswick, E8R 1J6, Canada</t>
  </si>
  <si>
    <t>46.0697638890001</t>
  </si>
  <si>
    <t>-64.0885</t>
  </si>
  <si>
    <t>46 - 4 - 11.15</t>
  </si>
  <si>
    <t>64 - 5 - 18.6</t>
  </si>
  <si>
    <t>Burnside Road, Botsford Parish, Westmorland County, New Brunswick, E4M 1C2, Canada</t>
  </si>
  <si>
    <t>45.540680556</t>
  </si>
  <si>
    <t>-66.030372222</t>
  </si>
  <si>
    <t>45 - 32 - 26.45</t>
  </si>
  <si>
    <t>66 - 1 - 49.34</t>
  </si>
  <si>
    <t>Gorhams Bluff Road, Kingston Parish, Fundy Rural District, Kings County, New Brunswick, Canada</t>
  </si>
  <si>
    <t>45.7735250000001</t>
  </si>
  <si>
    <t>-66.898558333</t>
  </si>
  <si>
    <t>45 - 46 - 24.69</t>
  </si>
  <si>
    <t>66 - 53 - 54.81</t>
  </si>
  <si>
    <t>Route 640, Kingsclear Parish, Hanwell Rural Community, York County, New Brunswick, Canada</t>
  </si>
  <si>
    <t>46.1174888890001</t>
  </si>
  <si>
    <t>-66.768558333</t>
  </si>
  <si>
    <t>46 - 7 - 2.96</t>
  </si>
  <si>
    <t>66 - 46 - 6.81</t>
  </si>
  <si>
    <t>Royal Road, Estey's Bridge, Douglas Parish, Nashwaak Rural Community, York County, New Brunswick, Canada</t>
  </si>
  <si>
    <t>46.2030972220001</t>
  </si>
  <si>
    <t>-64.3753</t>
  </si>
  <si>
    <t>46 - 12 - 11.15</t>
  </si>
  <si>
    <t>64 - 22 - 31.08</t>
  </si>
  <si>
    <t>Route 15, Paroisse de Shediac, Westmorland County, New Brunswick, E4N 1C6, Canada</t>
  </si>
  <si>
    <t>46.4450305560001</t>
  </si>
  <si>
    <t>-67.576288889</t>
  </si>
  <si>
    <t>46 - 26 - 42.11</t>
  </si>
  <si>
    <t>67 - 34 - 34.64</t>
  </si>
  <si>
    <t>45.927402778</t>
  </si>
  <si>
    <t>-66.115358333</t>
  </si>
  <si>
    <t>45 - 55 - 38.65</t>
  </si>
  <si>
    <t>66 - 6 - 55.29</t>
  </si>
  <si>
    <t>Back Road, Canning Parish, Capital Region Rural District, Queens County, New Brunswick, E4B 1V9, Canada</t>
  </si>
  <si>
    <t>45.232347222</t>
  </si>
  <si>
    <t>-67.338883333</t>
  </si>
  <si>
    <t>45 - 13 - 56.45</t>
  </si>
  <si>
    <t>67 - 20 - 19.98</t>
  </si>
  <si>
    <t>Route 735, Saint Stephen Parish, Municipal District of St. Stephen, Charlotte County, New Brunswick, Canada</t>
  </si>
  <si>
    <t>45.8200305560001</t>
  </si>
  <si>
    <t>-64.5996888889999</t>
  </si>
  <si>
    <t>45 - 49 - 12.11</t>
  </si>
  <si>
    <t>64 - 35 - 58.88</t>
  </si>
  <si>
    <t>Main Street, Hopewell Parish, Albert County, New Brunswick, E4H 3P2, Canada</t>
  </si>
  <si>
    <t>45.2916666670001</t>
  </si>
  <si>
    <t>-67.273055556</t>
  </si>
  <si>
    <t>45 - 17 - 30.0</t>
  </si>
  <si>
    <t>67 - 16 - 23.0</t>
  </si>
  <si>
    <t>Route 750, Moores Mills, Saint Stephen Parish, Saint James Parish, Southwest Rural District, Charlotte County, New Brunswick, Canada</t>
  </si>
  <si>
    <t>45.724738889</t>
  </si>
  <si>
    <t>-65.502175</t>
  </si>
  <si>
    <t>45 - 43 - 29.06</t>
  </si>
  <si>
    <t>65 - 30 - 7.83</t>
  </si>
  <si>
    <t>Perry Street, Downtown, Sussex Parish, Kings County, New Brunswick, E4E 7H6, Canada</t>
  </si>
  <si>
    <t>45.716905556</t>
  </si>
  <si>
    <t>-64.7346666669999</t>
  </si>
  <si>
    <t>45 - 43 - 0.86</t>
  </si>
  <si>
    <t>64 - 44 - 4.8</t>
  </si>
  <si>
    <t>Derrys Corner, Harvey Parish, Albert County, New Brunswick, E4H 4C1, Canada</t>
  </si>
  <si>
    <t>46.0463583330001</t>
  </si>
  <si>
    <t>-65.08435</t>
  </si>
  <si>
    <t>46 - 2 - 46.89</t>
  </si>
  <si>
    <t>65 - 5 - 3.66</t>
  </si>
  <si>
    <t>47.9946194440001</t>
  </si>
  <si>
    <t>-66.705577778</t>
  </si>
  <si>
    <t>47 - 59 - 40.63</t>
  </si>
  <si>
    <t>66 - 42 - 20.08</t>
  </si>
  <si>
    <t>Jagoe Street, Addington Parish, New Brunswick, E3N 4E2, Canada</t>
  </si>
  <si>
    <t>46.1741666670001</t>
  </si>
  <si>
    <t>-64.900555556</t>
  </si>
  <si>
    <t>46 - 10 - 27.0</t>
  </si>
  <si>
    <t>64 - 54 - 2.0</t>
  </si>
  <si>
    <t>Indian Mountain Road, Moncton Parish, Westmorland County, New Brunswick, E1G 3H3, Canada</t>
  </si>
  <si>
    <t>46.1133055560001</t>
  </si>
  <si>
    <t>-64.7146472219999</t>
  </si>
  <si>
    <t>46 - 6 - 47.9</t>
  </si>
  <si>
    <t>64 - 42 - 52.73</t>
  </si>
  <si>
    <t>Fairfield Inn &amp; Suites, 26, Marriott Drive, Moncton Parish, Moncton, Westmorland County, New Brunswick, E1A 9P4, Canada</t>
  </si>
  <si>
    <t>45.771188889</t>
  </si>
  <si>
    <t>-65.1091472219999</t>
  </si>
  <si>
    <t>45 - 46 - 16.28</t>
  </si>
  <si>
    <t>65 - 6 - 32.93</t>
  </si>
  <si>
    <t>Boyd Mountain Road, Elgin Parish, Albert County, New Brunswick, Canada</t>
  </si>
  <si>
    <t>46.195222222</t>
  </si>
  <si>
    <t>-64.8042027779999</t>
  </si>
  <si>
    <t>46 - 11 - 42.8</t>
  </si>
  <si>
    <t>64 - 48 - 15.13</t>
  </si>
  <si>
    <t>Irishview Street, Moncton Parish, Westmorland County, New Brunswick, E1H 2M4, Canada</t>
  </si>
  <si>
    <t>46.4965916670001</t>
  </si>
  <si>
    <t>-67.6965888889999</t>
  </si>
  <si>
    <t>46 - 29 - 47.73</t>
  </si>
  <si>
    <t>67 - 41 - 47.72</t>
  </si>
  <si>
    <t>Back Greenfield Road, Wicklow Parish, District of Carleton North, Carleton County, New Brunswick, Canada</t>
  </si>
  <si>
    <t>46.901441667</t>
  </si>
  <si>
    <t>-67.399630556</t>
  </si>
  <si>
    <t>46 - 54 - 5.19</t>
  </si>
  <si>
    <t>67 - 23 - 58.67</t>
  </si>
  <si>
    <t>49, Daye Street, Plaster Rock, Gordon Parish, District Of Tobique Valley, Victoria County, New Brunswick, E7G 2E4, Canada</t>
  </si>
  <si>
    <t>46.922797222</t>
  </si>
  <si>
    <t>-67.4552944439999</t>
  </si>
  <si>
    <t>46 - 55 - 22.07</t>
  </si>
  <si>
    <t>67 - 27 - 19.06</t>
  </si>
  <si>
    <t>Route 109, Gordon Parish, District Of Tobique Valley, Victoria County, New Brunswick, Canada</t>
  </si>
  <si>
    <t>46.0972</t>
  </si>
  <si>
    <t>-64.8371999999999</t>
  </si>
  <si>
    <t>46 - 5 - 49.92</t>
  </si>
  <si>
    <t>64 - 50 - 13.92</t>
  </si>
  <si>
    <t>45.2944555560001</t>
  </si>
  <si>
    <t>-66.1184749999999</t>
  </si>
  <si>
    <t>45 - 17 - 40.04</t>
  </si>
  <si>
    <t>66 - 7 - 6.51</t>
  </si>
  <si>
    <t>46.1777777780001</t>
  </si>
  <si>
    <t>-67.5497</t>
  </si>
  <si>
    <t>46 - 10 - 40.0</t>
  </si>
  <si>
    <t>67 - 32 - 58.92</t>
  </si>
  <si>
    <t>-65.612977778</t>
  </si>
  <si>
    <t>65 - 36 - 46.72</t>
  </si>
  <si>
    <t>46.2052944440001</t>
  </si>
  <si>
    <t>-64.530291667</t>
  </si>
  <si>
    <t>46 - 12 - 19.06</t>
  </si>
  <si>
    <t>64 - 31 - 49.05</t>
  </si>
  <si>
    <t>46.6018722220001</t>
  </si>
  <si>
    <t>-65.941844444</t>
  </si>
  <si>
    <t>46 - 36 - 6.74</t>
  </si>
  <si>
    <t>65 - 56 - 30.64</t>
  </si>
  <si>
    <t>Route 8, Blissfield Parish, Village of Doaktown, Northumberland County, New Brunswick, Canada</t>
  </si>
  <si>
    <t>46.9227777780001</t>
  </si>
  <si>
    <t>-65.226958333</t>
  </si>
  <si>
    <t>46 - 55 - 22.0</t>
  </si>
  <si>
    <t>65 - 13 - 37.05</t>
  </si>
  <si>
    <t>Route 11, Paroisse de Glenelg, Northumberland County, New Brunswick, Canada</t>
  </si>
  <si>
    <t>47.5522361110001</t>
  </si>
  <si>
    <t>-65.0972416669999</t>
  </si>
  <si>
    <t>47 - 33 - 8.05</t>
  </si>
  <si>
    <t>65 - 5 - 50.07</t>
  </si>
  <si>
    <t>Eustache Cross Road, Saint-Isidore, Comté de Gloucester, New Brunswick, Canada</t>
  </si>
  <si>
    <t>46.603336111</t>
  </si>
  <si>
    <t>-64.8200027779999</t>
  </si>
  <si>
    <t>46 - 36 - 12.01</t>
  </si>
  <si>
    <t>64 - 49 - 12.01</t>
  </si>
  <si>
    <t>Gilman Road, Paroisse de Richibouctou, Comté de Kent, New Brunswick, Canada</t>
  </si>
  <si>
    <t>47.6699944440001</t>
  </si>
  <si>
    <t>-65.697219444</t>
  </si>
  <si>
    <t>47 - 40 - 11.98</t>
  </si>
  <si>
    <t>65 - 41 - 49.99</t>
  </si>
  <si>
    <t>Chemin Frigault, Bathurst Parish, Comté de Gloucester, New Brunswick, E8K 1A1, Canada</t>
  </si>
  <si>
    <t>47.992983333</t>
  </si>
  <si>
    <t>-66.666816667</t>
  </si>
  <si>
    <t>47 - 59 - 34.74</t>
  </si>
  <si>
    <t>66 - 40 - 0.54</t>
  </si>
  <si>
    <t>Campbellton Regional Hospital, 189, Lily Lake Road, Campbellton, New Brunswick, E3N 3H3, Canada</t>
  </si>
  <si>
    <t>45.960344444</t>
  </si>
  <si>
    <t>-66.637536111</t>
  </si>
  <si>
    <t>45 - 57 - 37.24</t>
  </si>
  <si>
    <t>66 - 38 - 15.13</t>
  </si>
  <si>
    <t>Fredericton Convention Centre, 670, Rue Queen Street, Capital, Downtown, City of Fredericton, York County, New Brunswick, E3B 1C2, Canada</t>
  </si>
  <si>
    <t>46.137988889</t>
  </si>
  <si>
    <t>-67.777602778</t>
  </si>
  <si>
    <t>46 - 8 - 16.76</t>
  </si>
  <si>
    <t>67 - 46 - 39.37</t>
  </si>
  <si>
    <t>Route 95, Town of Woodstock, Carleton County, New Brunswick, Canada</t>
  </si>
  <si>
    <t>46.0119722220001</t>
  </si>
  <si>
    <t>-67.225105556</t>
  </si>
  <si>
    <t>46 - 0 - 43.1</t>
  </si>
  <si>
    <t>67 - 13 - 30.38</t>
  </si>
  <si>
    <t>Nackawic, Southampton Parish, Nackawic-Millville Rural Community, York County, New Brunswick, E6G 1W2, Canada</t>
  </si>
  <si>
    <t>47.382391667</t>
  </si>
  <si>
    <t>-64.967672222</t>
  </si>
  <si>
    <t>47 - 22 - 56.61</t>
  </si>
  <si>
    <t>64 - 58 - 3.62</t>
  </si>
  <si>
    <t>Rue Leclair, Paroisse d'Alnwick, Northumberland County, New Brunswick, Canada</t>
  </si>
  <si>
    <t>47.2628</t>
  </si>
  <si>
    <t>-68.013597222</t>
  </si>
  <si>
    <t>47 - 15 - 46.08</t>
  </si>
  <si>
    <t>68 - 0 - 48.95</t>
  </si>
  <si>
    <t>Chemin Jacques Martin, Paroisse de Sainte-Anne, Ville de Vallée-des-Rivières, Comté de Madawaska, New Brunswick, Canada</t>
  </si>
  <si>
    <t>47.8700555560001</t>
  </si>
  <si>
    <t>-65.867027778</t>
  </si>
  <si>
    <t>47 - 52 - 12.2</t>
  </si>
  <si>
    <t>65 - 52 - 1.3</t>
  </si>
  <si>
    <t>Mystique Sea Road, Paroisse de Beresford, Comté de Gloucester, New Brunswick, E8G 2M3, Canada</t>
  </si>
  <si>
    <t>47.511027778</t>
  </si>
  <si>
    <t>-67.383038889</t>
  </si>
  <si>
    <t>47 - 30 - 39.7</t>
  </si>
  <si>
    <t>67 - 22 - 58.94</t>
  </si>
  <si>
    <t>Paroisse de Saint Quentin, New Brunswick, E8A 1H5, Canada</t>
  </si>
  <si>
    <t>46.1958361110001</t>
  </si>
  <si>
    <t>-64.804741667</t>
  </si>
  <si>
    <t>46 - 11 - 45.01</t>
  </si>
  <si>
    <t>64 - 48 - 17.07</t>
  </si>
  <si>
    <t>45.920797222</t>
  </si>
  <si>
    <t>-65.6446999999999</t>
  </si>
  <si>
    <t>45 - 55 - 14.87</t>
  </si>
  <si>
    <t>65 - 38 - 40.92</t>
  </si>
  <si>
    <t>Irving-Cherryvale Road, Brunswick Parish, Butternut Valley Rural Community, Queens County, New Brunswick, Canada</t>
  </si>
  <si>
    <t>45.9807166670001</t>
  </si>
  <si>
    <t>-66.6593722219999</t>
  </si>
  <si>
    <t>45 - 58 - 50.58</t>
  </si>
  <si>
    <t>66 - 39 - 33.74</t>
  </si>
  <si>
    <t>Nashwaaksis Memorial School, Cour Terra Nova Court, Nashwaaksis, City of Fredericton, York County, New Brunswick, E3A 1B8, Canada</t>
  </si>
  <si>
    <t>46.1057805560001</t>
  </si>
  <si>
    <t>-64.7503</t>
  </si>
  <si>
    <t>46 - 6 - 20.81</t>
  </si>
  <si>
    <t>64 - 45 - 1.08</t>
  </si>
  <si>
    <t>Castle Drive, Moncton Parish, Moncton, Westmorland County, New Brunswick, E1A 5Z3, Canada</t>
  </si>
  <si>
    <t>45.8699111110001</t>
  </si>
  <si>
    <t>-64.279994444</t>
  </si>
  <si>
    <t>45 - 52 - 11.68</t>
  </si>
  <si>
    <t>64 - 16 - 47.98</t>
  </si>
  <si>
    <t>Aulac Road, Sackville Parish, Westmorland County, New Brunswick, E4L 2X2, Canada</t>
  </si>
  <si>
    <t>45.2715138890001</t>
  </si>
  <si>
    <t>-66.061244444</t>
  </si>
  <si>
    <t>45 - 16 - 17.45</t>
  </si>
  <si>
    <t>66 - 3 - 40.48</t>
  </si>
  <si>
    <t>Big Tide Brewing Co., Princess Street, Parker's Corner, Indiantown, City of Saint John, Saint John County, New Brunswick, E2L 4S4, Canada</t>
  </si>
  <si>
    <t>45.657941667</t>
  </si>
  <si>
    <t>-64.879216667</t>
  </si>
  <si>
    <t>45 - 39 - 28.59</t>
  </si>
  <si>
    <t>64 - 52 - 45.18</t>
  </si>
  <si>
    <t>Main Street, Harvey Parish, Albert County, New Brunswick, Canada</t>
  </si>
  <si>
    <t>46.1197000000001</t>
  </si>
  <si>
    <t>-67.1075</t>
  </si>
  <si>
    <t>46 - 7 - 10.92</t>
  </si>
  <si>
    <t>67 - 6 - 27.0</t>
  </si>
  <si>
    <t>Crabbe Mountain Ski Resort, Crabbe Mountain Road, Central Hainesville, Bright Parish, Central York Rural Community, York County, New Brunswick, Canada</t>
  </si>
  <si>
    <t>47.186397222</t>
  </si>
  <si>
    <t>-65.2222</t>
  </si>
  <si>
    <t>47 - 11 - 11.03</t>
  </si>
  <si>
    <t>65 - 13 - 19.92</t>
  </si>
  <si>
    <t>45.393052778</t>
  </si>
  <si>
    <t>-65.965833333</t>
  </si>
  <si>
    <t>45 - 23 - 34.99</t>
  </si>
  <si>
    <t>65 - 57 - 57.0</t>
  </si>
  <si>
    <t>47.6658</t>
  </si>
  <si>
    <t>-67.3622</t>
  </si>
  <si>
    <t>47 - 39 - 56.88</t>
  </si>
  <si>
    <t>67 - 21 - 43.92</t>
  </si>
  <si>
    <t>Kedgwick, Paroisse de Grimmer, New Brunswick, E8B 1A0, Canada</t>
  </si>
  <si>
    <t>46.4429805560001</t>
  </si>
  <si>
    <t>-67.643766667</t>
  </si>
  <si>
    <t>46 - 26 - 34.73</t>
  </si>
  <si>
    <t>67 - 38 - 37.56</t>
  </si>
  <si>
    <t>Centreville Road, West Florenceville, Simonds Parish, District of Carleton North, Carleton County, New Brunswick, E7L 3K5, Canada</t>
  </si>
  <si>
    <t>45.3176361110001</t>
  </si>
  <si>
    <t>-65.8870249999999</t>
  </si>
  <si>
    <t>45 - 19 - 3.49</t>
  </si>
  <si>
    <t>65 - 53 - 13.29</t>
  </si>
  <si>
    <t>NavCanada, 130, Airport Service Road, City of Saint John, Saint John County, New Brunswick, E2N 1C5, Canada</t>
  </si>
  <si>
    <t>45.3588333330001</t>
  </si>
  <si>
    <t>-65.526558333</t>
  </si>
  <si>
    <t>45 - 21 - 31.8</t>
  </si>
  <si>
    <t>65 - 31 - 35.61</t>
  </si>
  <si>
    <t>81, Big Salmon River Road, Saint Martins Parish, Village of Fundy-St. Martins, Saint John County, New Brunswick, E5R 1C3, Canada</t>
  </si>
  <si>
    <t>46.099369444</t>
  </si>
  <si>
    <t>-64.742305556</t>
  </si>
  <si>
    <t>46 - 5 - 57.73</t>
  </si>
  <si>
    <t>64 - 44 - 32.3</t>
  </si>
  <si>
    <t>Rue du Collège, Moncton Parish, Dieppe, Westmorland County, New Brunswick, E1A 1P2, Canada</t>
  </si>
  <si>
    <t>45.946913889</t>
  </si>
  <si>
    <t>-66.634569444</t>
  </si>
  <si>
    <t>45 - 56 - 48.89</t>
  </si>
  <si>
    <t>66 - 38 - 4.45</t>
  </si>
  <si>
    <t>1, Elmcroft Place, Salamanca, Forest Hills, City of Fredericton, York County, New Brunswick, E3B 5A3, Canada</t>
  </si>
  <si>
    <t>47.5642777780001</t>
  </si>
  <si>
    <t>-66.290358333</t>
  </si>
  <si>
    <t>47 - 33 - 51.4</t>
  </si>
  <si>
    <t>66 - 17 - 25.29</t>
  </si>
  <si>
    <t>Colborne Parish, New Brunswick, Canada</t>
  </si>
  <si>
    <t>45.9231638890001</t>
  </si>
  <si>
    <t>-66.607675</t>
  </si>
  <si>
    <t>45 - 55 - 23.39</t>
  </si>
  <si>
    <t>66 - 36 - 27.63</t>
  </si>
  <si>
    <t>Lincoln Place, 850, Lincoln Road, Upper Lincoln, Southwood Park, City of Fredericton, York County, New Brunswick, E3B 4T5, Canada</t>
  </si>
  <si>
    <t>46.0910805560001</t>
  </si>
  <si>
    <t>-64.770419444</t>
  </si>
  <si>
    <t>46 - 5 - 27.89</t>
  </si>
  <si>
    <t>64 - 46 - 13.51</t>
  </si>
  <si>
    <t>Rue King, Moncton Parish, Moncton, Westmorland County, New Brunswick, E1C 1C5, Canada</t>
  </si>
  <si>
    <t>45.8530916670001</t>
  </si>
  <si>
    <t>-66.472958333</t>
  </si>
  <si>
    <t>45 - 51 - 11.13</t>
  </si>
  <si>
    <t>66 - 28 - 22.65</t>
  </si>
  <si>
    <t>Atlantic Superstore, 1150, Onondaga Street, Burton Parish, Sunbury County, New Brunswick, E2V 4M4, Canada</t>
  </si>
  <si>
    <t>45.9582</t>
  </si>
  <si>
    <t>-66.6351583329999</t>
  </si>
  <si>
    <t>45 - 57 - 29.52</t>
  </si>
  <si>
    <t>66 - 38 - 6.57</t>
  </si>
  <si>
    <t>103, Church Street, Capital, Downtown, City of Fredericton, York County, New Brunswick, E3B 4C9, Canada</t>
  </si>
  <si>
    <t>45.9234916670001</t>
  </si>
  <si>
    <t>-64.578869444</t>
  </si>
  <si>
    <t>45 - 55 - 24.57</t>
  </si>
  <si>
    <t>64 - 34 - 43.93</t>
  </si>
  <si>
    <t>Memramcook, Westmorland County, New Brunswick, Canada</t>
  </si>
  <si>
    <t>45.248869444</t>
  </si>
  <si>
    <t>-66.126938889</t>
  </si>
  <si>
    <t>45 - 14 - 55.93</t>
  </si>
  <si>
    <t>66 - 7 - 36.98</t>
  </si>
  <si>
    <t>44, Burnside Crescent, Quinton Heights, City of Saint John, Saint John County, New Brunswick, E2M 3Y4, Canada</t>
  </si>
  <si>
    <t>46.9784916670001</t>
  </si>
  <si>
    <t>-67.5126749999999</t>
  </si>
  <si>
    <t>46 - 58 - 42.57</t>
  </si>
  <si>
    <t>67 - 30 - 45.63</t>
  </si>
  <si>
    <t>Geneau Road, Paroisse de Denmark, Western Valley Rural District, Victoria County, New Brunswick, Canada</t>
  </si>
  <si>
    <t>45.321319444</t>
  </si>
  <si>
    <t>-66.077508333</t>
  </si>
  <si>
    <t>45 - 19 - 16.75</t>
  </si>
  <si>
    <t>66 - 4 - 39.03</t>
  </si>
  <si>
    <t>1004, Kennebecasis Drive, Millidgeville, City of Saint John, Saint John County, New Brunswick, E2K 2H9, Canada</t>
  </si>
  <si>
    <t>47.9581000000001</t>
  </si>
  <si>
    <t>-66.2413972219999</t>
  </si>
  <si>
    <t>47 - 57 - 29.16</t>
  </si>
  <si>
    <t>66 - 14 - 29.03</t>
  </si>
  <si>
    <t>chemin Blackland-Portage, Colborne Parish, New Brunswick, Canada</t>
  </si>
  <si>
    <t>46.085516667</t>
  </si>
  <si>
    <t>-64.7845444439999</t>
  </si>
  <si>
    <t>46 - 5 - 7.86</t>
  </si>
  <si>
    <t>64 - 47 - 4.36</t>
  </si>
  <si>
    <t>Avenir Centre, 150, Canada Street, Moncton Parish, Moncton, Westmorland County, New Brunswick, E1C 0V2, Canada</t>
  </si>
  <si>
    <t>45.9923000000001</t>
  </si>
  <si>
    <t>-66.629308333</t>
  </si>
  <si>
    <t>45 - 59 - 32.28</t>
  </si>
  <si>
    <t>66 - 37 - 45.51</t>
  </si>
  <si>
    <t>Targett's Windows and Doors, St. Mary's Street, Upper St. Mary's Plaza, West Hills, City of Fredericton, York County, New Brunswick, E3G 8S7, Canada</t>
  </si>
  <si>
    <t>46.0682055560001</t>
  </si>
  <si>
    <t>-65.250319444</t>
  </si>
  <si>
    <t>46 - 4 - 5.54</t>
  </si>
  <si>
    <t>65 - 15 - 1.15</t>
  </si>
  <si>
    <t>Route 112, Salisbury Parish, Westmorland County, New Brunswick, Canada</t>
  </si>
  <si>
    <t>46.0861055560001</t>
  </si>
  <si>
    <t>-64.7343999999999</t>
  </si>
  <si>
    <t>46 - 5 - 9.98</t>
  </si>
  <si>
    <t>64 - 44 - 3.84</t>
  </si>
  <si>
    <t>Rue Amirault, Moncton Parish, Dieppe, Westmorland County, New Brunswick, E1A 1G2, Canada</t>
  </si>
  <si>
    <t>46.763330556</t>
  </si>
  <si>
    <t>-65.026027778</t>
  </si>
  <si>
    <t>46 - 45 - 47.99</t>
  </si>
  <si>
    <t>65 - 1 - 33.7</t>
  </si>
  <si>
    <t>Paroisse de Saint-Louis, Comté de Kent, New Brunswick, Canada</t>
  </si>
  <si>
    <t>45.941319444</t>
  </si>
  <si>
    <t>-66.653977778</t>
  </si>
  <si>
    <t>45 - 56 - 28.75</t>
  </si>
  <si>
    <t>66 - 39 - 14.32</t>
  </si>
  <si>
    <t>Priestman Street, Uptown, City of Fredericton, York County, New Brunswick, E3B 5W7, Canada</t>
  </si>
  <si>
    <t>45.288616667</t>
  </si>
  <si>
    <t>-66.047055556</t>
  </si>
  <si>
    <t>45 - 17 - 19.02</t>
  </si>
  <si>
    <t>66 - 2 - 49.4</t>
  </si>
  <si>
    <t>Marsh Street, Westmorland Heights, City of Saint John, Saint John County, New Brunswick, E2J 1W9, Canada</t>
  </si>
  <si>
    <t>46.572777778</t>
  </si>
  <si>
    <t>-64.7871916669999</t>
  </si>
  <si>
    <t>46 - 34 - 22.0</t>
  </si>
  <si>
    <t>64 - 47 - 13.89</t>
  </si>
  <si>
    <t>Route 134, Paroisse de Richibouctou, Comté de Kent, New Brunswick, Canada</t>
  </si>
  <si>
    <t>47.2642000000001</t>
  </si>
  <si>
    <t>-68.6478</t>
  </si>
  <si>
    <t>47 - 15 - 51.12</t>
  </si>
  <si>
    <t>68 - 38 - 52.08</t>
  </si>
  <si>
    <t>Paroisse de Clair, Haut-Madawaska, Comté de Madawaska, New Brunswick, Canada</t>
  </si>
  <si>
    <t>45.1564000000001</t>
  </si>
  <si>
    <t>-66.2057972219999</t>
  </si>
  <si>
    <t>45 - 9 - 23.04</t>
  </si>
  <si>
    <t>66 - 12 - 20.87</t>
  </si>
  <si>
    <t>Black Beach Road, City of Saint John, Saint John County, New Brunswick, Canada</t>
  </si>
  <si>
    <t>45.9669666670001</t>
  </si>
  <si>
    <t>-66.7159444439999</t>
  </si>
  <si>
    <t>45 - 58 - 1.08</t>
  </si>
  <si>
    <t>66 - 42 - 57.4</t>
  </si>
  <si>
    <t>Esso, 1715, Woodstock Road, Regiment Creek, Douglas, City of Fredericton, York County, New Brunswick, E3G 7J1, Canada</t>
  </si>
  <si>
    <t>45.8200194440001</t>
  </si>
  <si>
    <t>-64.5996777779999</t>
  </si>
  <si>
    <t>45 - 49 - 12.07</t>
  </si>
  <si>
    <t>64 - 35 - 58.84</t>
  </si>
  <si>
    <t>46.0266861110001</t>
  </si>
  <si>
    <t>-66.685216667</t>
  </si>
  <si>
    <t>46 - 1 - 36.07</t>
  </si>
  <si>
    <t>66 - 41 - 6.78</t>
  </si>
  <si>
    <t>McLeod Hill Road, Estey's Bridge, City of Fredericton, Central York Rural Community, York County, New Brunswick, E3A 6M9, Canada</t>
  </si>
  <si>
    <t>47.7306</t>
  </si>
  <si>
    <t>-65.7631</t>
  </si>
  <si>
    <t>47 - 43 - 50.16</t>
  </si>
  <si>
    <t>65 - 45 - 47.16</t>
  </si>
  <si>
    <t>NB 322, Nigadoo, Comté de Gloucester, New Brunswick, E8K 3M2, Canada</t>
  </si>
  <si>
    <t>45.714088889</t>
  </si>
  <si>
    <t>-65.5128444439999</t>
  </si>
  <si>
    <t>45 - 42 - 50.72</t>
  </si>
  <si>
    <t>65 - 30 - 46.24</t>
  </si>
  <si>
    <t>45.5333305560001</t>
  </si>
  <si>
    <t>-65.833055556</t>
  </si>
  <si>
    <t>45 - 31 - 59.99</t>
  </si>
  <si>
    <t>65 - 49 - 59.0</t>
  </si>
  <si>
    <t>Hampton Fire &amp; Rescue, Main Street, Hampton Parish, Town of Hampton, Kings County, New Brunswick, E5N 6G5, Canada</t>
  </si>
  <si>
    <t>47.389166667</t>
  </si>
  <si>
    <t>-68.3163888889999</t>
  </si>
  <si>
    <t>47 - 23 - 21.0</t>
  </si>
  <si>
    <t>68 - 18 - 59.0</t>
  </si>
  <si>
    <t>45.4689416670001</t>
  </si>
  <si>
    <t>-65.846772222</t>
  </si>
  <si>
    <t>45 - 28 - 8.19</t>
  </si>
  <si>
    <t>65 - 50 - 48.38</t>
  </si>
  <si>
    <t>46.104897222</t>
  </si>
  <si>
    <t>-64.805808333</t>
  </si>
  <si>
    <t>46 - 6 - 17.63</t>
  </si>
  <si>
    <t>64 - 48 - 20.91</t>
  </si>
  <si>
    <t>46.0814833330001</t>
  </si>
  <si>
    <t>-64.831533333</t>
  </si>
  <si>
    <t>46 - 4 - 53.34</t>
  </si>
  <si>
    <t>64 - 49 - 53.52</t>
  </si>
  <si>
    <t>46.0983583330001</t>
  </si>
  <si>
    <t>-64.7053083329999</t>
  </si>
  <si>
    <t>46 - 5 - 54.09</t>
  </si>
  <si>
    <t>64 - 42 - 19.11</t>
  </si>
  <si>
    <t>Boulevard Dieppe, Moncton Parish, Dieppe, Westmorland County, New Brunswick, E1A 7Y7, Canada</t>
  </si>
  <si>
    <t>45.908347222</t>
  </si>
  <si>
    <t>-64.385572222</t>
  </si>
  <si>
    <t>45 - 54 - 30.05</t>
  </si>
  <si>
    <t>64 - 23 - 8.06</t>
  </si>
  <si>
    <t>46.6649972220001</t>
  </si>
  <si>
    <t>-64.8427972219999</t>
  </si>
  <si>
    <t>46 - 39 - 53.99</t>
  </si>
  <si>
    <t>64 - 50 - 34.07</t>
  </si>
  <si>
    <t>Route 505, Paroisse de Richibouctou, Comté de Kent, New Brunswick, E4W 4C9, Canada</t>
  </si>
  <si>
    <t>46.162030556</t>
  </si>
  <si>
    <t>-64.661988889</t>
  </si>
  <si>
    <t>46 - 9 - 43.31</t>
  </si>
  <si>
    <t>64 - 39 - 43.16</t>
  </si>
  <si>
    <t>Route 134, Moncton Parish, Paroisse de Shediac, Westmorland County, New Brunswick, E1H 1N8, Canada</t>
  </si>
  <si>
    <t>45.269719444</t>
  </si>
  <si>
    <t>-66.102155556</t>
  </si>
  <si>
    <t>45 - 16 - 10.99</t>
  </si>
  <si>
    <t>66 - 6 - 7.76</t>
  </si>
  <si>
    <t>Austin Lane, City of Saint John, Saint John County, New Brunswick, E2M 4W3, Canada</t>
  </si>
  <si>
    <t>47.795797222</t>
  </si>
  <si>
    <t>-64.6453</t>
  </si>
  <si>
    <t>47 - 47 - 44.87</t>
  </si>
  <si>
    <t>64 - 38 - 43.08</t>
  </si>
  <si>
    <t>53, Rue des Trembles, Paroisse de Shippagan, Comté de Gloucester, New Brunswick, E8T 1M6, Canada</t>
  </si>
  <si>
    <t>46.2071527780001</t>
  </si>
  <si>
    <t>-64.499844444</t>
  </si>
  <si>
    <t>46 - 12 - 25.75</t>
  </si>
  <si>
    <t>64 - 29 - 59.44</t>
  </si>
  <si>
    <t>Camping Beauséjour, 747, Chemin Lino, Shediac, Westmorland County, New Brunswick, E4P 1Z5, Canada</t>
  </si>
  <si>
    <t>46.099036111</t>
  </si>
  <si>
    <t>-64.7597499999999</t>
  </si>
  <si>
    <t>46 - 5 - 56.53</t>
  </si>
  <si>
    <t>64 - 45 - 35.1</t>
  </si>
  <si>
    <t>St. Louis Bar &amp; Grill, 500, Rue Kennedy, Moncton Parish, Dieppe, Westmorland County, New Brunswick, E1A 5Y7, Canada</t>
  </si>
  <si>
    <t>45.951758333</t>
  </si>
  <si>
    <t>-67.355677778</t>
  </si>
  <si>
    <t>45 - 57 - 6.33</t>
  </si>
  <si>
    <t>67 - 21 - 20.44</t>
  </si>
  <si>
    <t>Route 2, Canterbury Parish, Municipality of Lakeland Ridges, York County, New Brunswick, Canada</t>
  </si>
  <si>
    <t>47.9334777780001</t>
  </si>
  <si>
    <t>-64.570577778</t>
  </si>
  <si>
    <t>47 - 56 - 0.52</t>
  </si>
  <si>
    <t>64 - 34 - 14.08</t>
  </si>
  <si>
    <t>Chemin de la Tour, Paroisse de Shippagan, Comté de Gloucester, New Brunswick, Canada</t>
  </si>
  <si>
    <t>46.096830556</t>
  </si>
  <si>
    <t>-64.8208083329999</t>
  </si>
  <si>
    <t>46 - 5 - 48.59</t>
  </si>
  <si>
    <t>64 - 49 - 14.91</t>
  </si>
  <si>
    <t>Killam Drive, Victory Industrial Park, Moncton Parish, Moncton, Westmorland County, New Brunswick, E1C 3R7, Canada</t>
  </si>
  <si>
    <t>46.156033333</t>
  </si>
  <si>
    <t>-66.580391667</t>
  </si>
  <si>
    <t>46 - 9 - 21.72</t>
  </si>
  <si>
    <t>66 - 34 - 49.41</t>
  </si>
  <si>
    <t>-65.4196111109999</t>
  </si>
  <si>
    <t>65 - 25 - 10.6</t>
  </si>
  <si>
    <t>Havelock Parish, Butternut Valley Rural Community, Kings County, New Brunswick, Canada</t>
  </si>
  <si>
    <t>45.4283888890001</t>
  </si>
  <si>
    <t>-66.3239444439999</t>
  </si>
  <si>
    <t>45 - 25 - 42.2</t>
  </si>
  <si>
    <t>66 - 19 - 26.2</t>
  </si>
  <si>
    <t>Bayard, Petersville Parish, Fundy Rural District, Queens County, New Brunswick, E5K 3Y7, Canada</t>
  </si>
  <si>
    <t>45.316136111</t>
  </si>
  <si>
    <t>-66.213966667</t>
  </si>
  <si>
    <t>45 - 18 - 58.09</t>
  </si>
  <si>
    <t>66 - 12 - 50.28</t>
  </si>
  <si>
    <t>45.1972416670001</t>
  </si>
  <si>
    <t>-67.010555556</t>
  </si>
  <si>
    <t>45 - 11 - 50.07</t>
  </si>
  <si>
    <t>67 - 0 - 38.0</t>
  </si>
  <si>
    <t>Route 1, Saint Patrick Parish, Southwest Rural District, Charlotte County, New Brunswick, Canada</t>
  </si>
  <si>
    <t>45.9466694440001</t>
  </si>
  <si>
    <t>-66.595280556</t>
  </si>
  <si>
    <t>45 - 56 - 48.01</t>
  </si>
  <si>
    <t>66 - 35 - 43.01</t>
  </si>
  <si>
    <t>Fernwood Drive, Lower St. Mary's, Rice Hill, Richibucto Road, City of Fredericton, York County, New Brunswick, E3A 6W1, Canada</t>
  </si>
  <si>
    <t>45.981130556</t>
  </si>
  <si>
    <t>-66.706738889</t>
  </si>
  <si>
    <t>45 - 58 - 52.07</t>
  </si>
  <si>
    <t>66 - 42 - 24.26</t>
  </si>
  <si>
    <t>409, Promenade Clements Drive, Regiment Creek, City of Fredericton, York County, New Brunswick, E3G 7J1, Canada</t>
  </si>
  <si>
    <t>46.1399916670001</t>
  </si>
  <si>
    <t>-64.665863889</t>
  </si>
  <si>
    <t>46 - 8 - 23.97</t>
  </si>
  <si>
    <t>64 - 39 - 57.11</t>
  </si>
  <si>
    <t>Veterans Memorial Highway, Moncton Parish, Paroisse de Shediac, Westmorland County, New Brunswick, E1H 1N8, Canada</t>
  </si>
  <si>
    <t>45.6733222220001</t>
  </si>
  <si>
    <t>-65.609425</t>
  </si>
  <si>
    <t>45 - 40 - 23.96</t>
  </si>
  <si>
    <t>65 - 36 - 33.93</t>
  </si>
  <si>
    <t>Route 1, Sussex Parish, Kings Rural District, Kings County, New Brunswick, Canada</t>
  </si>
  <si>
    <t>46.0318222220001</t>
  </si>
  <si>
    <t>-64.7436749999999</t>
  </si>
  <si>
    <t>46 - 1 - 54.56</t>
  </si>
  <si>
    <t>64 - 44 - 37.23</t>
  </si>
  <si>
    <t>Niagara Road, Lower Coverdale, Coverdale Parish, Albert County, New Brunswick, E1J 1G9, Canada</t>
  </si>
  <si>
    <t>45.8422194440001</t>
  </si>
  <si>
    <t>-66.051388889</t>
  </si>
  <si>
    <t>45 - 50 - 31.99</t>
  </si>
  <si>
    <t>66 - 3 - 5.0</t>
  </si>
  <si>
    <t>46.6016638890001</t>
  </si>
  <si>
    <t>-65.941663889</t>
  </si>
  <si>
    <t>46 - 36 - 5.99</t>
  </si>
  <si>
    <t>65 - 56 - 29.99</t>
  </si>
  <si>
    <t>46.294222222</t>
  </si>
  <si>
    <t>46 - 17 - 39.2</t>
  </si>
  <si>
    <t>47.51</t>
  </si>
  <si>
    <t>-64.925</t>
  </si>
  <si>
    <t>47 - 30 - 36.0</t>
  </si>
  <si>
    <t>64 - 55 - 30.0</t>
  </si>
  <si>
    <t>45.8438</t>
  </si>
  <si>
    <t>-66.873072222</t>
  </si>
  <si>
    <t>45 - 50 - 37.68</t>
  </si>
  <si>
    <t>66 - 52 - 23.06</t>
  </si>
  <si>
    <t>Kingsclear Parish, Harvey Rural Community, York County, New Brunswick, Canada</t>
  </si>
  <si>
    <t>46.1465388890001</t>
  </si>
  <si>
    <t>-67.638591667</t>
  </si>
  <si>
    <t>46 - 8 - 47.54</t>
  </si>
  <si>
    <t>67 - 38 - 18.93</t>
  </si>
  <si>
    <t>Keenan Drive, Woodstock Parish, Town of Woodstock, Carleton County, New Brunswick, E7M 0G9, Canada</t>
  </si>
  <si>
    <t>46.665152778</t>
  </si>
  <si>
    <t>-64.840208333</t>
  </si>
  <si>
    <t>46 - 39 - 54.55</t>
  </si>
  <si>
    <t>64 - 50 - 24.75</t>
  </si>
  <si>
    <t>47.3636333330001</t>
  </si>
  <si>
    <t>-68.327797222</t>
  </si>
  <si>
    <t>47 - 21 - 49.08</t>
  </si>
  <si>
    <t>68 - 19 - 40.07</t>
  </si>
  <si>
    <t>Escompte en Folie, 49, Chemin Canada, Paroisse de Madawaska, Ville d'Edmundston, Comté de Madawaska, New Brunswick, E3V 1H7, Canada</t>
  </si>
  <si>
    <t>45.251227778</t>
  </si>
  <si>
    <t>-66.0716166669999</t>
  </si>
  <si>
    <t>45 - 15 - 4.42</t>
  </si>
  <si>
    <t>66 - 4 - 17.82</t>
  </si>
  <si>
    <t>726, Chapel Street, Fundy Heights, Saint John West, City of Saint John, Saint John County, New Brunswick, E2M 2A9, Canada</t>
  </si>
  <si>
    <t>45.673341667</t>
  </si>
  <si>
    <t>-65.6644638889999</t>
  </si>
  <si>
    <t>45 - 40 - 24.03</t>
  </si>
  <si>
    <t>65 - 39 - 52.07</t>
  </si>
  <si>
    <t>Riverbank, Studholm Parish, Butternut Valley Rural Community, Kings County, New Brunswick, Canada</t>
  </si>
  <si>
    <t>45.8996916670001</t>
  </si>
  <si>
    <t>-64.644933333</t>
  </si>
  <si>
    <t>45 - 53 - 58.89</t>
  </si>
  <si>
    <t>64 - 38 - 41.76</t>
  </si>
  <si>
    <t>Nicholas Drive, Hillsborough Parish, Albert County, New Brunswick, E4H 2X9, Canada</t>
  </si>
  <si>
    <t>45.928908333</t>
  </si>
  <si>
    <t>-64.460288889</t>
  </si>
  <si>
    <t>45 - 55 - 44.07</t>
  </si>
  <si>
    <t>64 - 27 - 37.04</t>
  </si>
  <si>
    <t>Buck Road, Sackville Parish, Westmorland County, New Brunswick, Canada</t>
  </si>
  <si>
    <t>46.0482361110001</t>
  </si>
  <si>
    <t>-64.7881166669999</t>
  </si>
  <si>
    <t>46 - 2 - 53.65</t>
  </si>
  <si>
    <t>64 - 47 - 17.22</t>
  </si>
  <si>
    <t>47.268197222</t>
  </si>
  <si>
    <t>-65.106419444</t>
  </si>
  <si>
    <t>47 - 16 - 5.51</t>
  </si>
  <si>
    <t>65 - 6 - 23.11</t>
  </si>
  <si>
    <t>47.7663250000001</t>
  </si>
  <si>
    <t>-64.978927778</t>
  </si>
  <si>
    <t>47 - 45 - 58.77</t>
  </si>
  <si>
    <t>64 - 58 - 44.14</t>
  </si>
  <si>
    <t>Chemin Alexis, Paroisse de Caraquet, Comté de Gloucester, New Brunswick, E1W 1A3, Canada</t>
  </si>
  <si>
    <t>45.5661111110001</t>
  </si>
  <si>
    <t>-66.3847222219999</t>
  </si>
  <si>
    <t>45 - 33 - 58.0</t>
  </si>
  <si>
    <t>66 - 23 - 5.0</t>
  </si>
  <si>
    <t>45.9597277780001</t>
  </si>
  <si>
    <t>-67.4634972219999</t>
  </si>
  <si>
    <t>45 - 57 - 35.02</t>
  </si>
  <si>
    <t>67 - 27 - 48.59</t>
  </si>
  <si>
    <t>Johnson Settlement Road, Johnson Settlement, Canterbury Parish, Municipality of Lakeland Ridges, York County, New Brunswick, C1B 1M2, Canada</t>
  </si>
  <si>
    <t>47.0878000000001</t>
  </si>
  <si>
    <t>-67.7585999999999</t>
  </si>
  <si>
    <t>47 - 5 - 16.08</t>
  </si>
  <si>
    <t>67 - 45 - 30.96</t>
  </si>
  <si>
    <t>Rue Janick, Paroisse de Saint-André, Municipalité régionale de Grand-Sault, Comté de Madawaska, New Brunswick, E3Y 3N5, Canada</t>
  </si>
  <si>
    <t>45.9466972220001</t>
  </si>
  <si>
    <t>-66.5953</t>
  </si>
  <si>
    <t>45 - 56 - 48.11</t>
  </si>
  <si>
    <t>66 - 35 - 43.08</t>
  </si>
  <si>
    <t>45.27</t>
  </si>
  <si>
    <t>-66.102</t>
  </si>
  <si>
    <t>45 - 16 - 12.0</t>
  </si>
  <si>
    <t>66 - 6 - 7.2</t>
  </si>
  <si>
    <t>244, Milford Road, Milford, City of Saint John, Saint John County, New Brunswick, E2M 4R5, Canada</t>
  </si>
  <si>
    <t>45.95</t>
  </si>
  <si>
    <t>-66.6949999999999</t>
  </si>
  <si>
    <t>45 - 57 - 0.0</t>
  </si>
  <si>
    <t>66 - 41 - 42.0</t>
  </si>
  <si>
    <t>45.6724972220001</t>
  </si>
  <si>
    <t>-65.610277778</t>
  </si>
  <si>
    <t>45 - 40 - 20.99</t>
  </si>
  <si>
    <t>65 - 36 - 37.0</t>
  </si>
  <si>
    <t>46.151944444</t>
  </si>
  <si>
    <t>-66.036666667</t>
  </si>
  <si>
    <t>46 - 9 - 7.0</t>
  </si>
  <si>
    <t>66 - 2 - 12.0</t>
  </si>
  <si>
    <t>Route 10, Northfield Parish, Municipality of Grand Lake, Sunbury County, New Brunswick, E4B 2V6, Canada</t>
  </si>
  <si>
    <t>45.9818194440001</t>
  </si>
  <si>
    <t>-66.639127778</t>
  </si>
  <si>
    <t>45 - 58 - 54.55</t>
  </si>
  <si>
    <t>66 - 38 - 20.86</t>
  </si>
  <si>
    <t>24, Promenade Wiggins Drive, Fulton Heights, St. Mary's First Nation / Sitansisk Wolastoqiyik, City of Fredericton, York County, New Brunswick, E3A 2S4, Canada</t>
  </si>
  <si>
    <t>46.2075</t>
  </si>
  <si>
    <t>-64.5336</t>
  </si>
  <si>
    <t>46 - 12 - 27.0</t>
  </si>
  <si>
    <t>64 - 32 - 0.96</t>
  </si>
  <si>
    <t>Chemin des Pellerins, Paroisse de Shediac, Westmorland County, New Brunswick, E4P 2B9, Canada</t>
  </si>
  <si>
    <t>46.1018583330001</t>
  </si>
  <si>
    <t>-63.915330556</t>
  </si>
  <si>
    <t>46 - 6 - 6.69</t>
  </si>
  <si>
    <t>63 - 54 - 55.19</t>
  </si>
  <si>
    <t>45.369108333</t>
  </si>
  <si>
    <t>-65.996469444</t>
  </si>
  <si>
    <t>45 - 22 - 8.79</t>
  </si>
  <si>
    <t>65 - 59 - 47.29</t>
  </si>
  <si>
    <t>47.6286916670001</t>
  </si>
  <si>
    <t>-65.681038889</t>
  </si>
  <si>
    <t>47 - 37 - 43.29</t>
  </si>
  <si>
    <t>65 - 40 - 51.74</t>
  </si>
  <si>
    <t>Eddy Rink, 14, Sean Couturier Avenue, City of Bathurst, Comté de Gloucester, New Brunswick, E2A 6X2, Canada</t>
  </si>
  <si>
    <t>46.0981833330001</t>
  </si>
  <si>
    <t>-64.8172111109999</t>
  </si>
  <si>
    <t>46 - 5 - 53.46</t>
  </si>
  <si>
    <t>64 - 49 - 1.96</t>
  </si>
  <si>
    <t>Greco Pizza/Capt Sub, 120, Killam Drive, Moncton Parish, Moncton, Westmorland County, New Brunswick, E1C 3R7, Canada</t>
  </si>
  <si>
    <t>45.9776277780001</t>
  </si>
  <si>
    <t>-66.686475</t>
  </si>
  <si>
    <t>45 - 58 - 39.46</t>
  </si>
  <si>
    <t>66 - 41 - 11.31</t>
  </si>
  <si>
    <t>York Manor, Rue Ferris, Sunset Acres, City of Fredericton, York County, New Brunswick, E3B 5Z1, Canada</t>
  </si>
  <si>
    <t>46.098775</t>
  </si>
  <si>
    <t>-64.802558333</t>
  </si>
  <si>
    <t>46 - 5 - 55.59</t>
  </si>
  <si>
    <t>64 - 48 - 9.21</t>
  </si>
  <si>
    <t>Belmont Street, Moncton Parish, Moncton, Westmorland County, New Brunswick, E1C 2P6, Canada</t>
  </si>
  <si>
    <t>46.632497222</t>
  </si>
  <si>
    <t>-65.362777778</t>
  </si>
  <si>
    <t>46 - 37 - 56.99</t>
  </si>
  <si>
    <t>65 - 21 - 46.0</t>
  </si>
  <si>
    <t>Route 126, Paroisse d'Acadieville, Comté de Kent, New Brunswick, Canada</t>
  </si>
  <si>
    <t>45.1766166670001</t>
  </si>
  <si>
    <t>-67.1942749999999</t>
  </si>
  <si>
    <t>45 - 10 - 35.82</t>
  </si>
  <si>
    <t>67 - 11 - 39.39</t>
  </si>
  <si>
    <t>Hannah Road, The Ledge, Dufferin Parish, Municipal District of St. Stephen, Charlotte County, New Brunswick, Canada</t>
  </si>
  <si>
    <t>46.8421388890001</t>
  </si>
  <si>
    <t>-65.7846638889999</t>
  </si>
  <si>
    <t>46 - 50 - 31.7</t>
  </si>
  <si>
    <t>65 - 47 - 4.79</t>
  </si>
  <si>
    <t>Warwick Road, Derby Parish, Rural Community of Miramichi River Valley, Northumberland County, New Brunswick, E9E 2H9, Canada</t>
  </si>
  <si>
    <t>-65.4193999999999</t>
  </si>
  <si>
    <t>65 - 25 - 9.84</t>
  </si>
  <si>
    <t>46.2728472220001</t>
  </si>
  <si>
    <t>-66.6028638889999</t>
  </si>
  <si>
    <t>46 - 16 - 22.25</t>
  </si>
  <si>
    <t>66 - 36 - 10.31</t>
  </si>
  <si>
    <t>Armstrong Road, Stanley Parish, Nashwaak Rural Community, York County, New Brunswick, Canada</t>
  </si>
  <si>
    <t>45.761755556</t>
  </si>
  <si>
    <t>-65.7916861109999</t>
  </si>
  <si>
    <t>45 - 45 - 42.32</t>
  </si>
  <si>
    <t>65 - 47 - 30.07</t>
  </si>
  <si>
    <t>Tower Road, Springfield Parish, Village of Valley Waters, Kings County, New Brunswick, Canada</t>
  </si>
  <si>
    <t>47.513330556</t>
  </si>
  <si>
    <t>-67.2836</t>
  </si>
  <si>
    <t>47 - 30 - 47.99</t>
  </si>
  <si>
    <t>67 - 17 - 0.96</t>
  </si>
  <si>
    <t>VE9SQN 145.230-, Rang 18, Paroisse de Saint Quentin, New Brunswick, Canada</t>
  </si>
  <si>
    <t>46.3163111110001</t>
  </si>
  <si>
    <t>-65.029269444</t>
  </si>
  <si>
    <t>46 - 18 - 58.72</t>
  </si>
  <si>
    <t>65 - 1 - 45.37</t>
  </si>
  <si>
    <t>Route 515, Saint-Paul, Paroisse de Saint-Paul, Comté de Kent, New Brunswick, Canada</t>
  </si>
  <si>
    <t>46.336086111</t>
  </si>
  <si>
    <t>-64.821963889</t>
  </si>
  <si>
    <t>46 - 20 - 9.91</t>
  </si>
  <si>
    <t>64 - 49 - 19.07</t>
  </si>
  <si>
    <t>Robichaud Cross Road, Paroisse de Sainte-Marie, Comté de Kent, New Brunswick, Canada</t>
  </si>
  <si>
    <t>45.9641888890001</t>
  </si>
  <si>
    <t>-66.6229999999999</t>
  </si>
  <si>
    <t>45 - 57 - 51.08</t>
  </si>
  <si>
    <t>66 - 37 - 22.8</t>
  </si>
  <si>
    <t>Northside Trail, South Devon, Devon, City of Fredericton, York County, New Brunswick, E3A 2W7, Canada</t>
  </si>
  <si>
    <t>46.1812583330001</t>
  </si>
  <si>
    <t>-64.229802778</t>
  </si>
  <si>
    <t>46 - 10 - 52.53</t>
  </si>
  <si>
    <t>64 - 13 - 47.29</t>
  </si>
  <si>
    <t>46.009602778</t>
  </si>
  <si>
    <t>-67.544316667</t>
  </si>
  <si>
    <t>46 - 0 - 34.57</t>
  </si>
  <si>
    <t>67 - 32 - 39.54</t>
  </si>
  <si>
    <t>46.196558333</t>
  </si>
  <si>
    <t>-65.994094444</t>
  </si>
  <si>
    <t>46 - 11 - 47.61</t>
  </si>
  <si>
    <t>65 - 59 - 38.74</t>
  </si>
  <si>
    <t>Thompson Cross Road, Northfield Parish, Municipality of Grand Lake, Sunbury County, New Brunswick, Canada</t>
  </si>
  <si>
    <t>45.8717611110001</t>
  </si>
  <si>
    <t>-67.010719444</t>
  </si>
  <si>
    <t>45 - 52 - 18.34</t>
  </si>
  <si>
    <t>67 - 0 - 38.59</t>
  </si>
  <si>
    <t>46.5475000000001</t>
  </si>
  <si>
    <t>-67.1777777779999</t>
  </si>
  <si>
    <t>46 - 32 - 51.0</t>
  </si>
  <si>
    <t>67 - 10 - 40.0</t>
  </si>
  <si>
    <t>Juniper Cross Road, Aberdeen Parish, District of Carleton North, Carleton County, New Brunswick, E7L 1E9, Canada</t>
  </si>
  <si>
    <t>46.083055556</t>
  </si>
  <si>
    <t>-64.785555556</t>
  </si>
  <si>
    <t>46 - 4 - 59.0</t>
  </si>
  <si>
    <t>64 - 47 - 8.0</t>
  </si>
  <si>
    <t>Euston Street, Moncton Parish, Moncton, Westmorland County, New Brunswick, E1B 4C2, Canada</t>
  </si>
  <si>
    <t>45.0748972220001</t>
  </si>
  <si>
    <t>-66.754938889</t>
  </si>
  <si>
    <t>45 - 4 - 29.63</t>
  </si>
  <si>
    <t>66 - 45 - 17.78</t>
  </si>
  <si>
    <t>45.2590222220001</t>
  </si>
  <si>
    <t>-65.744161111</t>
  </si>
  <si>
    <t>45 - 15 - 32.48</t>
  </si>
  <si>
    <t>65 - 44 - 38.98</t>
  </si>
  <si>
    <t>Route 825, Simonds Parish, Village of Fundy-St. Martins, Saint John County, New Brunswick, Canada</t>
  </si>
  <si>
    <t>45.893</t>
  </si>
  <si>
    <t>-64.353083333</t>
  </si>
  <si>
    <t>45 - 53 - 34.8</t>
  </si>
  <si>
    <t>64 - 21 - 11.1</t>
  </si>
  <si>
    <t>142, Crescent Street, Sackville Industrial Park, Sackville, Westmorland County, New Brunswick, E4L 3S1, Canada</t>
  </si>
  <si>
    <t>47.0480527780001</t>
  </si>
  <si>
    <t>-65.324441667</t>
  </si>
  <si>
    <t>47 - 2 - 52.99</t>
  </si>
  <si>
    <t>65 - 19 - 27.99</t>
  </si>
  <si>
    <t>46.0986194440001</t>
  </si>
  <si>
    <t>-64.704772222</t>
  </si>
  <si>
    <t>46 - 5 - 55.03</t>
  </si>
  <si>
    <t>64 - 42 - 17.18</t>
  </si>
  <si>
    <t>47.0563500000001</t>
  </si>
  <si>
    <t>-64.908480556</t>
  </si>
  <si>
    <t>47 - 3 - 22.86</t>
  </si>
  <si>
    <t>64 - 54 - 30.53</t>
  </si>
  <si>
    <t>Chemin Sargent, Paroisse d'Hardwicke, Northumberland County, New Brunswick, Canada</t>
  </si>
  <si>
    <t>45.213944444</t>
  </si>
  <si>
    <t>-66.170783333</t>
  </si>
  <si>
    <t>45 - 12 - 50.2</t>
  </si>
  <si>
    <t>66 - 10 - 14.82</t>
  </si>
  <si>
    <t>320, King William Road, Lorneville, City of Saint John, Saint John County, New Brunswick, E2M 7L1, Canada</t>
  </si>
  <si>
    <t>46.0872000000001</t>
  </si>
  <si>
    <t>-64.783858333</t>
  </si>
  <si>
    <t>46 - 5 - 13.92</t>
  </si>
  <si>
    <t>64 - 47 - 1.89</t>
  </si>
  <si>
    <t>Drinks, 1005, Main Street, Moncton Parish, Moncton, Westmorland County, New Brunswick, E1C 1G9, Canada</t>
  </si>
  <si>
    <t>45.9309361110001</t>
  </si>
  <si>
    <t>-66.650619444</t>
  </si>
  <si>
    <t>45 - 55 - 51.37</t>
  </si>
  <si>
    <t>66 - 39 - 2.23</t>
  </si>
  <si>
    <t>46.070277778</t>
  </si>
  <si>
    <t>-64.7644444439999</t>
  </si>
  <si>
    <t>46 - 4 - 13.0</t>
  </si>
  <si>
    <t>64 - 45 - 52.0</t>
  </si>
  <si>
    <t>45.5683000000001</t>
  </si>
  <si>
    <t>-67.4277</t>
  </si>
  <si>
    <t>45 - 34 - 5.88</t>
  </si>
  <si>
    <t>67 - 25 - 39.72</t>
  </si>
  <si>
    <t>Route 4, St. Croix, McAdam Parish, Southwest Rural District, York County, New Brunswick, Canada</t>
  </si>
  <si>
    <t>45.2041611110001</t>
  </si>
  <si>
    <t>-67.2751777779999</t>
  </si>
  <si>
    <t>45 - 12 - 14.98</t>
  </si>
  <si>
    <t>67 - 16 - 30.64</t>
  </si>
  <si>
    <t>CIBC, Groom Street, Saint Stephen Parish, Municipal District of St. Stephen, Charlotte County, New Brunswick, E3L 2K2, Canada</t>
  </si>
  <si>
    <t>47.3566000000001</t>
  </si>
  <si>
    <t>-68.228497222</t>
  </si>
  <si>
    <t>47 - 21 - 23.76</t>
  </si>
  <si>
    <t>68 - 13 - 42.59</t>
  </si>
  <si>
    <t>Rue Principale, Ville d'Edmundston, Comté de Madawaska, New Brunswick, E7C 1E4, Canada</t>
  </si>
  <si>
    <t>-64.4994</t>
  </si>
  <si>
    <t>64 - 29 - 57.84</t>
  </si>
  <si>
    <t>46.111219444</t>
  </si>
  <si>
    <t>-64.825986111</t>
  </si>
  <si>
    <t>46 - 6 - 40.39</t>
  </si>
  <si>
    <t>64 - 49 - 33.55</t>
  </si>
  <si>
    <t>Mapleton Road, Moncton Parish, Moncton, Westmorland County, New Brunswick, E1C 2T4, Canada</t>
  </si>
  <si>
    <t>45.3059666670001</t>
  </si>
  <si>
    <t>-66.0159694439999</t>
  </si>
  <si>
    <t>45 - 18 - 21.48</t>
  </si>
  <si>
    <t>66 - 0 - 57.49</t>
  </si>
  <si>
    <t>McAllister Place Mall, 519, Westmorland Road, City of Saint John, Saint John County, New Brunswick, E2J 4Z2, Canada</t>
  </si>
  <si>
    <t>45.3755055560001</t>
  </si>
  <si>
    <t>-65.980575</t>
  </si>
  <si>
    <t>45 - 22 - 31.82</t>
  </si>
  <si>
    <t>65 - 58 - 50.07</t>
  </si>
  <si>
    <t>Mackay Highway, Renforth, Rothesay Parish, Town of Rothesay, Kings County, New Brunswick, E2E 5E9, Canada</t>
  </si>
  <si>
    <t>46.2296250000001</t>
  </si>
  <si>
    <t>-64.310822222</t>
  </si>
  <si>
    <t>46 - 13 - 46.65</t>
  </si>
  <si>
    <t>64 - 18 - 38.96</t>
  </si>
  <si>
    <t>Allée du Parc, Paroisse de Shediac, Westmorland County, New Brunswick, E4N 1C6, Canada</t>
  </si>
  <si>
    <t>45.9859666670001</t>
  </si>
  <si>
    <t>-66.637605556</t>
  </si>
  <si>
    <t>45 - 59 - 9.48</t>
  </si>
  <si>
    <t>66 - 38 - 15.38</t>
  </si>
  <si>
    <t>535, Avenue Douglas Avenue, Fulton Heights, West Hills, City of Fredericton, York County, New Brunswick, E3G 8S7, Canada</t>
  </si>
  <si>
    <t>45.876622222</t>
  </si>
  <si>
    <t>-66.583766667</t>
  </si>
  <si>
    <t>45 - 52 - 35.84</t>
  </si>
  <si>
    <t>66 - 35 - 1.56</t>
  </si>
  <si>
    <t>Susan Drive, Town of Oromocto, Sunbury County, New Brunswick, E3B 8N1, Canada</t>
  </si>
  <si>
    <t>45.952019444</t>
  </si>
  <si>
    <t>-66.661877778</t>
  </si>
  <si>
    <t>45 - 57 - 7.27</t>
  </si>
  <si>
    <t>66 - 39 - 42.76</t>
  </si>
  <si>
    <t>767, Rue Smythe Street, Sainte-Anne, Uptown, City of Fredericton, York County, New Brunswick, E3B 3H2, Canada</t>
  </si>
  <si>
    <t>46.4150638890001</t>
  </si>
  <si>
    <t>-64.8278972219999</t>
  </si>
  <si>
    <t>46 - 24 - 54.23</t>
  </si>
  <si>
    <t>64 - 49 - 40.43</t>
  </si>
  <si>
    <t>Route 515, Sainte-Marie-de-Kent, Paroisse de Sainte-Marie, Comté de Kent, New Brunswick, E4S 2E6, Canada</t>
  </si>
  <si>
    <t>46.0929583330001</t>
  </si>
  <si>
    <t>-64.7616</t>
  </si>
  <si>
    <t>46 - 5 - 34.65</t>
  </si>
  <si>
    <t>64 - 45 - 41.76</t>
  </si>
  <si>
    <t>Sentier transcanadien, Saint-Anselme, Moncton Parish, Dieppe, Westmorland County, New Brunswick, E1A 1G2, Canada</t>
  </si>
  <si>
    <t>46.1664027780001</t>
  </si>
  <si>
    <t>-64.586094444</t>
  </si>
  <si>
    <t>46 - 9 - 59.05</t>
  </si>
  <si>
    <t>64 - 35 - 9.94</t>
  </si>
  <si>
    <t>Parker Road, Scoudouc Industrial Park, Paroisse de Shediac, Westmorland County, New Brunswick, Canada</t>
  </si>
  <si>
    <t>45.2738000000001</t>
  </si>
  <si>
    <t>-66.0613999999999</t>
  </si>
  <si>
    <t>45 - 16 - 25.68</t>
  </si>
  <si>
    <t>66 - 3 - 41.04</t>
  </si>
  <si>
    <t>Delta Hotels by Marriott Saint John, 39, King Street, Parker's Corner, Indiantown, City of Saint John, Saint John County, New Brunswick, E2L 4W3, Canada</t>
  </si>
  <si>
    <t>46.0025833330001</t>
  </si>
  <si>
    <t>-66.758886111</t>
  </si>
  <si>
    <t>46 - 0 - 9.3</t>
  </si>
  <si>
    <t>66 - 45 - 31.99</t>
  </si>
  <si>
    <t>Highfield Road, Douglas, City of Fredericton, York County, New Brunswick, Canada</t>
  </si>
  <si>
    <t>47.362202778</t>
  </si>
  <si>
    <t>-68.326883333</t>
  </si>
  <si>
    <t>47 - 21 - 43.93</t>
  </si>
  <si>
    <t>68 - 19 - 36.78</t>
  </si>
  <si>
    <t>Bell Aliant Edmundston, 32, Rue Saint-François, Paroisse de Madawaska, Ville d'Edmundston, Comté de Madawaska, New Brunswick, E3V 1H7, Canada</t>
  </si>
  <si>
    <t>46.2941666670001</t>
  </si>
  <si>
    <t>-64.6188888889999</t>
  </si>
  <si>
    <t>46 - 17 - 39.0</t>
  </si>
  <si>
    <t>64 - 37 - 8.0</t>
  </si>
  <si>
    <t>47.8263388890001</t>
  </si>
  <si>
    <t>-64.600027778</t>
  </si>
  <si>
    <t>47 - 49 - 34.82</t>
  </si>
  <si>
    <t>64 - 36 - 0.1</t>
  </si>
  <si>
    <t>Chemin des Sarres, Lamèque, Comté de Gloucester, New Brunswick, Canada</t>
  </si>
  <si>
    <t>45.2896166670001</t>
  </si>
  <si>
    <t>-66.0889972219999</t>
  </si>
  <si>
    <t>45 - 17 - 22.62</t>
  </si>
  <si>
    <t>66 - 5 - 20.39</t>
  </si>
  <si>
    <t>45.2731666670001</t>
  </si>
  <si>
    <t>-66.0617999999999</t>
  </si>
  <si>
    <t>45 - 16 - 23.4</t>
  </si>
  <si>
    <t>66 - 3 - 42.48</t>
  </si>
  <si>
    <t>45.3498638890001</t>
  </si>
  <si>
    <t>-65.542577778</t>
  </si>
  <si>
    <t>45 - 20 - 59.51</t>
  </si>
  <si>
    <t>65 - 32 - 33.28</t>
  </si>
  <si>
    <t>Century Farm Family Camp Ground, Ocean Wave Drive, St. Martins, Saint Martins Parish, Village of Fundy-St. Martins, Saint John County, New Brunswick, E5R 1B8, Canada</t>
  </si>
  <si>
    <t>46.3974416670001</t>
  </si>
  <si>
    <t>-65.180558333</t>
  </si>
  <si>
    <t>46 - 23 - 50.79</t>
  </si>
  <si>
    <t>65 - 10 - 50.01</t>
  </si>
  <si>
    <t>Saint-Augustin Road, Harcourt Parish, Comté de Kent, New Brunswick, Canada</t>
  </si>
  <si>
    <t>46.0990472220001</t>
  </si>
  <si>
    <t>-64.730322222</t>
  </si>
  <si>
    <t>46 - 5 - 56.57</t>
  </si>
  <si>
    <t>64 - 43 - 49.16</t>
  </si>
  <si>
    <t>Rue Champlain, Moncton Parish, Dieppe, Westmorland County, New Brunswick, E1C 1P6, Canada</t>
  </si>
  <si>
    <t>46.5891638890001</t>
  </si>
  <si>
    <t>-64.991383333</t>
  </si>
  <si>
    <t>46 - 35 - 20.99</t>
  </si>
  <si>
    <t>64 - 59 - 28.98</t>
  </si>
  <si>
    <t>Big Cove Road, Elsipogtog, Weldford Parish, Comté de Kent, New Brunswick, E4W 0B9, Canada</t>
  </si>
  <si>
    <t>45.2508</t>
  </si>
  <si>
    <t>-66.099719444</t>
  </si>
  <si>
    <t>45 - 15 - 2.88</t>
  </si>
  <si>
    <t>66 - 5 - 58.99</t>
  </si>
  <si>
    <t>843, Fairville Boulevard, Greendale, Purdys Corner, City of Saint John, Saint John County, New Brunswick, E5K 1Z1, Canada</t>
  </si>
  <si>
    <t>46.2372083330001</t>
  </si>
  <si>
    <t>-64.5097</t>
  </si>
  <si>
    <t>46 - 14 - 13.95</t>
  </si>
  <si>
    <t>64 - 30 - 34.92</t>
  </si>
  <si>
    <t>Gould Beach Road, East Shediac, Paroisse de Shediac, Westmorland County, New Brunswick, E4P 2H3, Canada</t>
  </si>
  <si>
    <t>46.219291667</t>
  </si>
  <si>
    <t>-64.5462527779999</t>
  </si>
  <si>
    <t>46 - 13 - 9.45</t>
  </si>
  <si>
    <t>64 - 32 - 46.51</t>
  </si>
  <si>
    <t>Club Boishébert, 322, Rue Main, Paroisse de Shediac, Westmorland County, New Brunswick, E4P 2E3, Canada</t>
  </si>
  <si>
    <t>45.968808333</t>
  </si>
  <si>
    <t>-66.631080556</t>
  </si>
  <si>
    <t>45 - 58 - 7.71</t>
  </si>
  <si>
    <t>66 - 37 - 51.89</t>
  </si>
  <si>
    <t>St. Anthony's Parish Annex, 579, Rue Union Street, Devon Park Plaza, Devon, City of Fredericton, York County, New Brunswick, E3A 2W7, Canada</t>
  </si>
  <si>
    <t>45.1744</t>
  </si>
  <si>
    <t>-66.387797222</t>
  </si>
  <si>
    <t>45 - 10 - 27.84</t>
  </si>
  <si>
    <t>66 - 23 - 16.07</t>
  </si>
  <si>
    <t>Wetmore Creek Road, Musquash Parish, Rural Community of Fundy Shores, Saint John County, New Brunswick, E5J 2L8, Canada</t>
  </si>
  <si>
    <t>-67.333330556</t>
  </si>
  <si>
    <t>67 - 19 - 59.99</t>
  </si>
  <si>
    <t>45.1942000000001</t>
  </si>
  <si>
    <t>-67.302608333</t>
  </si>
  <si>
    <t>45 - 11 - 39.12</t>
  </si>
  <si>
    <t>67 - 18 - 9.39</t>
  </si>
  <si>
    <t>Boundary Street, Union Mills, Five Corners, Saint Stephen Parish, Municipal District of St. Stephen, Charlotte County, New Brunswick, E3L 1G9, Canada</t>
  </si>
  <si>
    <t>45.6834000000001</t>
  </si>
  <si>
    <t>-66.6473999999999</t>
  </si>
  <si>
    <t>45 - 41 - 0.24</t>
  </si>
  <si>
    <t>66 - 38 - 50.64</t>
  </si>
  <si>
    <t>-68.3564</t>
  </si>
  <si>
    <t>68 - 21 - 23.04</t>
  </si>
  <si>
    <t>44.651497222</t>
  </si>
  <si>
    <t>-66.8472</t>
  </si>
  <si>
    <t>44 - 39 - 5.39</t>
  </si>
  <si>
    <t>66 - 50 - 49.92</t>
  </si>
  <si>
    <t>Cordelia Lane, Seal Cove, Grand Manan Parish, Village of Grand Manan, Charlotte County, New Brunswick, E5G 3H2, Canada</t>
  </si>
  <si>
    <t>45.1656</t>
  </si>
  <si>
    <t>-66.9055999999999</t>
  </si>
  <si>
    <t>45 - 9 - 56.16</t>
  </si>
  <si>
    <t>66 - 54 - 20.16</t>
  </si>
  <si>
    <t>Route 1, Saint George Parish, Municipality of Eastern Charlotte, Charlotte County, New Brunswick, Canada</t>
  </si>
  <si>
    <t>-64.831744444</t>
  </si>
  <si>
    <t>64 - 49 - 54.28</t>
  </si>
  <si>
    <t>47.8822916670001</t>
  </si>
  <si>
    <t>-66.886038889</t>
  </si>
  <si>
    <t>47 - 52 - 56.25</t>
  </si>
  <si>
    <t>66 - 53 - 9.74</t>
  </si>
  <si>
    <t>Stewart Highway, Paroisse d'Eldon, New Brunswick, Canada</t>
  </si>
  <si>
    <t>47.725691667</t>
  </si>
  <si>
    <t>-64.730330556</t>
  </si>
  <si>
    <t>47 - 43 - 32.49</t>
  </si>
  <si>
    <t>64 - 43 - 49.19</t>
  </si>
  <si>
    <t>Rue À Tom, Paroisse de Shippagan, Comté de Gloucester, New Brunswick, E8S 1T3, Canada</t>
  </si>
  <si>
    <t>45.7056000000001</t>
  </si>
  <si>
    <t>-65.5210999999999</t>
  </si>
  <si>
    <t>45 - 42 - 20.16</t>
  </si>
  <si>
    <t>65 - 31 - 15.96</t>
  </si>
  <si>
    <t>Hazel Hill Road, Downtown, Sussex Parish, Kings Rural District, Kings County, New Brunswick, E0E 1P0, Canada</t>
  </si>
  <si>
    <t>46.117941667</t>
  </si>
  <si>
    <t>-64.827472222</t>
  </si>
  <si>
    <t>46 - 7 - 4.59</t>
  </si>
  <si>
    <t>64 - 49 - 38.9</t>
  </si>
  <si>
    <t>Mapleton Road, Moncton Parish, Moncton, Westmorland County, New Brunswick, E1G 0Z5, Canada</t>
  </si>
  <si>
    <t>46.117641667</t>
  </si>
  <si>
    <t>-64.772102778</t>
  </si>
  <si>
    <t>46 - 7 - 3.51</t>
  </si>
  <si>
    <t>64 - 46 - 19.57</t>
  </si>
  <si>
    <t>Elmwood Drive, Moncton Parish, Moncton, Westmorland County, New Brunswick, E1A 9G6, Canada</t>
  </si>
  <si>
    <t>45.2372472220001</t>
  </si>
  <si>
    <t>-67.234158333</t>
  </si>
  <si>
    <t>45 - 14 - 14.09</t>
  </si>
  <si>
    <t>67 - 14 - 2.97</t>
  </si>
  <si>
    <t>Saint David Ridge Road, Saint David Parish, Municipal District of St. Stephen, Charlotte County, New Brunswick, E3L 3W7, Canada</t>
  </si>
  <si>
    <t>46.0943055560001</t>
  </si>
  <si>
    <t>-64.7780333329999</t>
  </si>
  <si>
    <t>46 - 5 - 39.5</t>
  </si>
  <si>
    <t>64 - 46 - 40.92</t>
  </si>
  <si>
    <t>Botsford Street, Moncton Parish, Moncton, Westmorland County, New Brunswick, E1C 4X6, Canada</t>
  </si>
  <si>
    <t>45.9219000000001</t>
  </si>
  <si>
    <t>-65.8744</t>
  </si>
  <si>
    <t>45 - 55 - 18.84</t>
  </si>
  <si>
    <t>65 - 52 - 27.84</t>
  </si>
  <si>
    <t>46.8275027780001</t>
  </si>
  <si>
    <t>-67.723755556</t>
  </si>
  <si>
    <t>46 - 49 - 39.01</t>
  </si>
  <si>
    <t>67 - 43 - 25.52</t>
  </si>
  <si>
    <t>Route 2, Paroisse de Grand-Sault, Municipalité régionale de Grand-Sault, Victoria County, New Brunswick, Canada</t>
  </si>
  <si>
    <t>46.1206583330001</t>
  </si>
  <si>
    <t>-64.829575</t>
  </si>
  <si>
    <t>46 - 7 - 14.37</t>
  </si>
  <si>
    <t>64 - 49 - 46.47</t>
  </si>
  <si>
    <t>Guardian, Frampton Lane, Moncton Parish, Moncton, Westmorland County, New Brunswick, E1G 0N3, Canada</t>
  </si>
  <si>
    <t>46.1252500000001</t>
  </si>
  <si>
    <t>-64.7640888889999</t>
  </si>
  <si>
    <t>46 - 7 - 30.9</t>
  </si>
  <si>
    <t>64 - 45 - 50.72</t>
  </si>
  <si>
    <t>47.796113889</t>
  </si>
  <si>
    <t>-64.645283333</t>
  </si>
  <si>
    <t>47 - 47 - 46.01</t>
  </si>
  <si>
    <t>64 - 38 - 43.02</t>
  </si>
  <si>
    <t>Bell Aliant Lamèque, 59, Rue du Pêcheur Nord, Lamèque, Comté de Gloucester, New Brunswick, E8T 1M6, Canada</t>
  </si>
  <si>
    <t>45.2488388890001</t>
  </si>
  <si>
    <t>-66.126941667</t>
  </si>
  <si>
    <t>45 - 14 - 55.82</t>
  </si>
  <si>
    <t>66 - 7 - 36.99</t>
  </si>
  <si>
    <t>46.0498416670001</t>
  </si>
  <si>
    <t>-64.7888</t>
  </si>
  <si>
    <t>46 - 2 - 59.43</t>
  </si>
  <si>
    <t>64 - 47 - 19.68</t>
  </si>
  <si>
    <t>46.1288000000001</t>
  </si>
  <si>
    <t>-63.827472222</t>
  </si>
  <si>
    <t>46 - 7 - 43.68</t>
  </si>
  <si>
    <t>63 - 49 - 38.9</t>
  </si>
  <si>
    <t>Bayfield Road, Botsford Parish, Westmorland County, New Brunswick, E4M 2A8, Canada</t>
  </si>
  <si>
    <t>46.5891</t>
  </si>
  <si>
    <t>-64.9913861109999</t>
  </si>
  <si>
    <t>46 - 35 - 20.76</t>
  </si>
  <si>
    <t>64 - 59 - 28.99</t>
  </si>
  <si>
    <t>46.4974444440001</t>
  </si>
  <si>
    <t>-64.7806666669999</t>
  </si>
  <si>
    <t>46 - 29 - 50.8</t>
  </si>
  <si>
    <t>64 - 46 - 50.4</t>
  </si>
  <si>
    <t>Chemin Saint-Maurice, Paroisse de Wellington, Comté de Kent, New Brunswick, E4S 4G4, Canada</t>
  </si>
  <si>
    <t>46.6650000000001</t>
  </si>
  <si>
    <t>-64.8428</t>
  </si>
  <si>
    <t>46 - 39 - 54.0</t>
  </si>
  <si>
    <t>64 - 50 - 34.08</t>
  </si>
  <si>
    <t>46.022286111</t>
  </si>
  <si>
    <t>-66.6298305559999</t>
  </si>
  <si>
    <t>46 - 1 - 20.23</t>
  </si>
  <si>
    <t>66 - 37 - 47.39</t>
  </si>
  <si>
    <t>Killarney Road, Little America, Killarney Road, City of Fredericton, York County, New Brunswick, E3G 8T8, Canada</t>
  </si>
  <si>
    <t>46.652288889</t>
  </si>
  <si>
    <t>-67.700533333</t>
  </si>
  <si>
    <t>46 - 39 - 8.24</t>
  </si>
  <si>
    <t>67 - 42 - 1.92</t>
  </si>
  <si>
    <t>Kilburn, Perth Parish, Western Valley Rural District, Victoria County, New Brunswick, E7M 3W3, Canada</t>
  </si>
  <si>
    <t>47.0263416670001</t>
  </si>
  <si>
    <t>-65.4658249999999</t>
  </si>
  <si>
    <t>47 - 1 - 34.83</t>
  </si>
  <si>
    <t>65 - 27 - 56.97</t>
  </si>
  <si>
    <t>Saint Michael’s Basilica, Hospital Street, Chatham, Paroisse de Chatham, City of Miramichi, Northumberland County, New Brunswick, E1N 2T4, Canada</t>
  </si>
  <si>
    <t>45.905966667</t>
  </si>
  <si>
    <t>-66.701608333</t>
  </si>
  <si>
    <t>45 - 54 - 21.48</t>
  </si>
  <si>
    <t>66 - 42 - 5.79</t>
  </si>
  <si>
    <t>45.724158333</t>
  </si>
  <si>
    <t>-65.498063889</t>
  </si>
  <si>
    <t>45 - 43 - 26.97</t>
  </si>
  <si>
    <t>65 - 29 - 53.03</t>
  </si>
  <si>
    <t>Leonard Drive, Downtown, Sussex Corner, Sussex Parish, Kings County, New Brunswick, E4E 2H2, Canada</t>
  </si>
  <si>
    <t>-65.965555556</t>
  </si>
  <si>
    <t>65 - 57 - 56.0</t>
  </si>
  <si>
    <t>45.900211111</t>
  </si>
  <si>
    <t>-66.759030556</t>
  </si>
  <si>
    <t>45 - 54 - 0.76</t>
  </si>
  <si>
    <t>66 - 45 - 32.51</t>
  </si>
  <si>
    <t>Hanwell Road, Kingsclear Parish, Hanwell Rural Community, York County, New Brunswick, E3E 2C8, Canada</t>
  </si>
  <si>
    <t>45.721944444</t>
  </si>
  <si>
    <t>-65.5136111109999</t>
  </si>
  <si>
    <t>45 - 43 - 19.0</t>
  </si>
  <si>
    <t>65 - 30 - 49.0</t>
  </si>
  <si>
    <t>Broad Street, Downtown, Sussex Parish, Kings County, New Brunswick, E4E 2N5, Canada</t>
  </si>
  <si>
    <t>46.0989361110001</t>
  </si>
  <si>
    <t>-64.8181888889999</t>
  </si>
  <si>
    <t>46 - 5 - 56.17</t>
  </si>
  <si>
    <t>64 - 49 - 5.48</t>
  </si>
  <si>
    <t>Waverley Avenue, Moncton Parish, Moncton, Westmorland County, New Brunswick, E1C 7V2, Canada</t>
  </si>
  <si>
    <t>46.1088083330001</t>
  </si>
  <si>
    <t>-64.823119444</t>
  </si>
  <si>
    <t>46 - 6 - 31.71</t>
  </si>
  <si>
    <t>64 - 49 - 23.23</t>
  </si>
  <si>
    <t>81 Mapleton, Mapleton Road, Moncton Parish, Moncton, Westmorland County, New Brunswick, E1C 2T4, Canada</t>
  </si>
  <si>
    <t>47.687219444</t>
  </si>
  <si>
    <t>-65.4308305559999</t>
  </si>
  <si>
    <t>47 - 41 - 13.99</t>
  </si>
  <si>
    <t>65 - 25 - 50.99</t>
  </si>
  <si>
    <t>46.0022361110001</t>
  </si>
  <si>
    <t>-67.184963889</t>
  </si>
  <si>
    <t>46 - 0 - 8.05</t>
  </si>
  <si>
    <t>67 - 11 - 5.87</t>
  </si>
  <si>
    <t>Caverhill Road, Queensbury Parish, Nackawic-Millville Rural Community, York County, New Brunswick, E6G 1R1, Canada</t>
  </si>
  <si>
    <t>45.8474305560001</t>
  </si>
  <si>
    <t>-65.4762388889999</t>
  </si>
  <si>
    <t>45 - 50 - 50.75</t>
  </si>
  <si>
    <t>65 - 28 - 34.46</t>
  </si>
  <si>
    <t>Jordan Mountain Road, Studholm Parish, Butternut Valley Rural Community, Kings County, New Brunswick, Canada</t>
  </si>
  <si>
    <t>46.920797222</t>
  </si>
  <si>
    <t>-67.369397222</t>
  </si>
  <si>
    <t>46 - 55 - 14.87</t>
  </si>
  <si>
    <t>67 - 22 - 9.83</t>
  </si>
  <si>
    <t>45.841627778</t>
  </si>
  <si>
    <t>-66.4696777779999</t>
  </si>
  <si>
    <t>45 - 50 - 29.86</t>
  </si>
  <si>
    <t>66 - 28 - 10.84</t>
  </si>
  <si>
    <t>Broad Road, Burton Parish, Sunbury County, New Brunswick, E2V 1S1, Canada</t>
  </si>
  <si>
    <t>45.334416667</t>
  </si>
  <si>
    <t>-65.709552778</t>
  </si>
  <si>
    <t>45 - 20 - 3.9</t>
  </si>
  <si>
    <t>65 - 42 - 34.39</t>
  </si>
  <si>
    <t>Route 111, Simonds Parish, Village of Fundy-St. Martins, Saint John County, New Brunswick, Canada</t>
  </si>
  <si>
    <t>45.885</t>
  </si>
  <si>
    <t>-66.5771</t>
  </si>
  <si>
    <t>45 - 53 - 6.0</t>
  </si>
  <si>
    <t>66 - 34 - 37.56</t>
  </si>
  <si>
    <t>45.7903000000001</t>
  </si>
  <si>
    <t>-65.5492305559999</t>
  </si>
  <si>
    <t>45 - 47 - 25.08</t>
  </si>
  <si>
    <t>65 - 32 - 57.23</t>
  </si>
  <si>
    <t>Hornbrook Road, Studholm Parish, Butternut Valley Rural Community, Kings County, New Brunswick, E5P 3G8, Canada</t>
  </si>
  <si>
    <t>46.7280555560001</t>
  </si>
  <si>
    <t>-65.424444444</t>
  </si>
  <si>
    <t>46 - 43 - 41.0</t>
  </si>
  <si>
    <t>65 - 25 - 28.0</t>
  </si>
  <si>
    <t>Rue Carleton, Rogersville, Paroisse de Rogersville, Northumberland County, New Brunswick, E4Y 2L7, Canada</t>
  </si>
  <si>
    <t>46.159805556</t>
  </si>
  <si>
    <t>-66.072138889</t>
  </si>
  <si>
    <t>46 - 9 - 35.3</t>
  </si>
  <si>
    <t>66 - 4 - 19.7</t>
  </si>
  <si>
    <t>Northfield Parish, Municipality of Grand Lake, Sunbury County, New Brunswick, Canada</t>
  </si>
  <si>
    <t>45.258055556</t>
  </si>
  <si>
    <t>-66.098333333</t>
  </si>
  <si>
    <t>45 - 15 - 29.0</t>
  </si>
  <si>
    <t>66 - 5 - 54.0</t>
  </si>
  <si>
    <t>Moosehead Breweries, 89, Main Street West, Greendale, Purdys Corner, City of Saint John, Saint John County, New Brunswick, E2M 3N4, Canada</t>
  </si>
  <si>
    <t>46.6633194440001</t>
  </si>
  <si>
    <t>-64.8765194439999</t>
  </si>
  <si>
    <t>46 - 39 - 47.95</t>
  </si>
  <si>
    <t>64 - 52 - 35.47</t>
  </si>
  <si>
    <t>Rue Industrial Park, Paroisse de Richibouctou, Comté de Kent, New Brunswick, E4W 4A4, Canada</t>
  </si>
  <si>
    <t>47.5523027780001</t>
  </si>
  <si>
    <t>-65.097411111</t>
  </si>
  <si>
    <t>47 - 33 - 8.29</t>
  </si>
  <si>
    <t>65 - 5 - 50.68</t>
  </si>
  <si>
    <t>45.3330611110001</t>
  </si>
  <si>
    <t>45 - 19 - 59.02</t>
  </si>
  <si>
    <t>46.045083333</t>
  </si>
  <si>
    <t>-65.530805556</t>
  </si>
  <si>
    <t>46 - 2 - 42.3</t>
  </si>
  <si>
    <t>65 - 31 - 50.9</t>
  </si>
  <si>
    <t>45.8064527780001</t>
  </si>
  <si>
    <t>-65.3393</t>
  </si>
  <si>
    <t>45 - 48 - 23.23</t>
  </si>
  <si>
    <t>65 - 20 - 21.48</t>
  </si>
  <si>
    <t>46.0651222220001</t>
  </si>
  <si>
    <t>-64.0869499999999</t>
  </si>
  <si>
    <t>46 - 3 - 54.44</t>
  </si>
  <si>
    <t>64 - 5 - 13.02</t>
  </si>
  <si>
    <t>45.1745472220001</t>
  </si>
  <si>
    <t>-66.3876749999999</t>
  </si>
  <si>
    <t>45 - 10 - 28.37</t>
  </si>
  <si>
    <t>66 - 23 - 15.63</t>
  </si>
  <si>
    <t>46.284444444</t>
  </si>
  <si>
    <t>-67.534777778</t>
  </si>
  <si>
    <t>46 - 17 - 4.0</t>
  </si>
  <si>
    <t>67 - 32 - 5.2</t>
  </si>
  <si>
    <t>Somerville Road, Wakefield Parish, Town of Hartland, Carleton County, New Brunswick, E7P 2N2, Canada</t>
  </si>
  <si>
    <t>47.006186111</t>
  </si>
  <si>
    <t>-65.5867666669999</t>
  </si>
  <si>
    <t>47 - 0 - 22.27</t>
  </si>
  <si>
    <t>65 - 35 - 12.36</t>
  </si>
  <si>
    <t>46.0965055560001</t>
  </si>
  <si>
    <t>-64.793477778</t>
  </si>
  <si>
    <t>46 - 5 - 47.42</t>
  </si>
  <si>
    <t>64 - 47 - 36.52</t>
  </si>
  <si>
    <t>Route de la Montagne, Moncton Parish, Moncton, Westmorland County, New Brunswick, E1C 3B8, Canada</t>
  </si>
  <si>
    <t>45.9613000000001</t>
  </si>
  <si>
    <t>-66.641197222</t>
  </si>
  <si>
    <t>45 - 57 - 40.68</t>
  </si>
  <si>
    <t>66 - 38 - 28.31</t>
  </si>
  <si>
    <t>NB Power Building, 505-527, Rue King Street, Garrison District, Downtown, City of Fredericton, York County, New Brunswick, E3B 3T9, Canada</t>
  </si>
  <si>
    <t>47.631638889</t>
  </si>
  <si>
    <t>-65.668244444</t>
  </si>
  <si>
    <t>47 - 37 - 53.9</t>
  </si>
  <si>
    <t>65 - 40 - 5.68</t>
  </si>
  <si>
    <t>Mobil, 700, Saint Peter Avenue, City of Bathurst, Comté de Gloucester, New Brunswick, E2A 2Y7, Canada</t>
  </si>
  <si>
    <t>45.7850861110001</t>
  </si>
  <si>
    <t>-66.149591667</t>
  </si>
  <si>
    <t>45 - 47 - 6.31</t>
  </si>
  <si>
    <t>66 - 8 - 58.53</t>
  </si>
  <si>
    <t>16, Court House Road, Gagetown, Gagetown Parish, Village of Arcadia, Queens County, New Brunswick, E5M 1C1, Canada</t>
  </si>
  <si>
    <t>45.946611111</t>
  </si>
  <si>
    <t>-66.6382833329999</t>
  </si>
  <si>
    <t>45 - 56 - 47.8</t>
  </si>
  <si>
    <t>66 - 38 - 17.82</t>
  </si>
  <si>
    <t>Richard J Currie Centre, 15, Peter Kelly Drive, Salamanca, Forest Hills, City of Fredericton, York County, New Brunswick, E3B 5A3, Canada</t>
  </si>
  <si>
    <t>47.9697972220001</t>
  </si>
  <si>
    <t>-66.3402</t>
  </si>
  <si>
    <t>47 - 58 - 11.27</t>
  </si>
  <si>
    <t>66 - 20 - 24.72</t>
  </si>
  <si>
    <t>Biathlon shooting range, La 2003, Colborne Parish, New Brunswick, E8E 2N1, Canada</t>
  </si>
  <si>
    <t>45.884744444</t>
  </si>
  <si>
    <t>-66.571833333</t>
  </si>
  <si>
    <t>45 - 53 - 5.08</t>
  </si>
  <si>
    <t>66 - 34 - 18.6</t>
  </si>
  <si>
    <t>45.9605388890001</t>
  </si>
  <si>
    <t>-66.636783333</t>
  </si>
  <si>
    <t>45 - 57 - 37.94</t>
  </si>
  <si>
    <t>66 - 38 - 12.42</t>
  </si>
  <si>
    <t>Lord Beaverbrook Hotel, 669, Rue Queen Street, Capital, Downtown, City of Fredericton, York County, New Brunswick, E3B 1C2, Canada</t>
  </si>
  <si>
    <t>47.187680556</t>
  </si>
  <si>
    <t>-67.908027778</t>
  </si>
  <si>
    <t>47 - 11 - 15.65</t>
  </si>
  <si>
    <t>67 - 54 - 28.9</t>
  </si>
  <si>
    <t>Chemin de la Montagne, Saint-Léonard, Paroisse de Saint-Léonard, Ville de Vallée-des-Rivières, Comté de Madawaska, New Brunswick, E0L 1M0, Canada</t>
  </si>
  <si>
    <t>45.332105556</t>
  </si>
  <si>
    <t>-65.8879388889999</t>
  </si>
  <si>
    <t>45 - 19 - 55.58</t>
  </si>
  <si>
    <t>65 - 53 - 16.58</t>
  </si>
  <si>
    <t>4287, Loch Lomond Road, City of Saint John, Saint John County, New Brunswick, E2N 1L7, Canada</t>
  </si>
  <si>
    <t>46.0646166670001</t>
  </si>
  <si>
    <t>-64.800494444</t>
  </si>
  <si>
    <t>46 - 3 - 52.62</t>
  </si>
  <si>
    <t>64 - 48 - 1.78</t>
  </si>
  <si>
    <t>Coverdale Road, Coverdale Parish, Albert County, New Brunswick, E1B 3K3, Canada</t>
  </si>
  <si>
    <t>47.6399027780001</t>
  </si>
  <si>
    <t>-65.68155</t>
  </si>
  <si>
    <t>47 - 38 - 23.65</t>
  </si>
  <si>
    <t>65 - 40 - 53.58</t>
  </si>
  <si>
    <t>Speedy Glass, 1355, Saint Peter Avenue, City of Bathurst, Comté de Gloucester, New Brunswick, E2A 2Z7, Canada</t>
  </si>
  <si>
    <t>46.109025</t>
  </si>
  <si>
    <t>-64.7560694439999</t>
  </si>
  <si>
    <t>46 - 6 - 32.49</t>
  </si>
  <si>
    <t>64 - 45 - 21.85</t>
  </si>
  <si>
    <t>Storey Road East, Moncton Parish, Moncton, Westmorland County, New Brunswick, E1A 5Z3, Canada</t>
  </si>
  <si>
    <t>46.122788889</t>
  </si>
  <si>
    <t>-64.852844444</t>
  </si>
  <si>
    <t>46 - 7 - 22.04</t>
  </si>
  <si>
    <t>64 - 51 - 10.24</t>
  </si>
  <si>
    <t>Mountain Road, Hildegarde, Moncton Parish, Moncton, Westmorland County, New Brunswick, E1G 1N1, Canada</t>
  </si>
  <si>
    <t>45.959852778</t>
  </si>
  <si>
    <t>-66.669275</t>
  </si>
  <si>
    <t>45 - 57 - 35.47</t>
  </si>
  <si>
    <t>66 - 40 - 9.39</t>
  </si>
  <si>
    <t>Hanwell Road, Sunshine Gardens, City of Fredericton, York County, New Brunswick, E3B 2L4, Canada</t>
  </si>
  <si>
    <t>46.220308333</t>
  </si>
  <si>
    <t>-64.5414</t>
  </si>
  <si>
    <t>46 - 13 - 13.11</t>
  </si>
  <si>
    <t>64 - 32 - 29.04</t>
  </si>
  <si>
    <t>Rue Weldon, Paroisse de Shediac, Westmorland County, New Brunswick, E4P 2E9, Canada</t>
  </si>
  <si>
    <t>45.3082444440001</t>
  </si>
  <si>
    <t>-66.019666667</t>
  </si>
  <si>
    <t>45 - 18 - 29.68</t>
  </si>
  <si>
    <t>66 - 1 - 10.8</t>
  </si>
  <si>
    <t>Walmart, Westmorland Road, City of Saint John, Saint John County, New Brunswick, E2J 4Z2, Canada</t>
  </si>
  <si>
    <t>46.101963889</t>
  </si>
  <si>
    <t>-64.74495</t>
  </si>
  <si>
    <t>46 - 6 - 7.07</t>
  </si>
  <si>
    <t>64 - 44 - 41.82</t>
  </si>
  <si>
    <t>Rue Gaspé, Moncton Parish, Dieppe, Westmorland County, New Brunswick, E1A 5V4, Canada</t>
  </si>
  <si>
    <t>45.964775</t>
  </si>
  <si>
    <t>-66.6624277779999</t>
  </si>
  <si>
    <t>45 - 57 - 53.19</t>
  </si>
  <si>
    <t>66 - 39 - 44.74</t>
  </si>
  <si>
    <t>225, Chemin Woodstock Road, Jardins Sunshine Gardens, Sunshine Gardens, City of Fredericton, York County, New Brunswick, E3B 2L4, Canada</t>
  </si>
  <si>
    <t>45.961163889</t>
  </si>
  <si>
    <t>-66.6384944439999</t>
  </si>
  <si>
    <t>45 - 57 - 40.19</t>
  </si>
  <si>
    <t>66 - 38 - 18.58</t>
  </si>
  <si>
    <t>South Riverfront Connector, Capital, Downtown, City of Fredericton, York County, New Brunswick, E3B 4Y7, Canada</t>
  </si>
  <si>
    <t>45.9279472220001</t>
  </si>
  <si>
    <t>-66.622888889</t>
  </si>
  <si>
    <t>45 - 55 - 40.61</t>
  </si>
  <si>
    <t>66 - 37 - 22.4</t>
  </si>
  <si>
    <t>249, Promenade Kimble Drive, Dunn's Crossing, Southwood Park, City of Fredericton, York County, New Brunswick, E3B 6X5, Canada</t>
  </si>
  <si>
    <t>45.456097222</t>
  </si>
  <si>
    <t>-66.3430999999999</t>
  </si>
  <si>
    <t>45 - 27 - 21.95</t>
  </si>
  <si>
    <t>66 - 20 - 35.16</t>
  </si>
  <si>
    <t>Welsford Station Road, Welsford, Petersville Parish, Fundy Rural District, Queens County, New Brunswick, E5K 4A2, Canada</t>
  </si>
  <si>
    <t>45.9925388890001</t>
  </si>
  <si>
    <t>-66.649808333</t>
  </si>
  <si>
    <t>45 - 59 - 33.14</t>
  </si>
  <si>
    <t>66 - 38 - 59.31</t>
  </si>
  <si>
    <t>500, Brookside Drive, West Hills Plaza, Brookside West, City of Fredericton, York County, New Brunswick, E3G 8V1, Canada</t>
  </si>
  <si>
    <t>46.100716667</t>
  </si>
  <si>
    <t>-64.750233333</t>
  </si>
  <si>
    <t>46 - 6 - 2.58</t>
  </si>
  <si>
    <t>64 - 45 - 0.84</t>
  </si>
  <si>
    <t>Rue Peel, Moncton Parish, Dieppe, Westmorland County, New Brunswick, E1A 1P1, Canada</t>
  </si>
  <si>
    <t>46.3855694440001</t>
  </si>
  <si>
    <t>-64.6655888889999</t>
  </si>
  <si>
    <t>46 - 23 - 8.05</t>
  </si>
  <si>
    <t>64 - 39 - 56.12</t>
  </si>
  <si>
    <t>Chemin D. Babineau, Paroisse de Dundas, Comté de Kent, New Brunswick, E4R 3E3, Canada</t>
  </si>
  <si>
    <t>45.8111027780001</t>
  </si>
  <si>
    <t>-65.596438889</t>
  </si>
  <si>
    <t>45 - 48 - 39.97</t>
  </si>
  <si>
    <t>65 - 35 - 47.18</t>
  </si>
  <si>
    <t>Walsh Road, Studholm Parish, Butternut Valley Rural Community, Kings County, New Brunswick, E5P 3G8, Canada</t>
  </si>
  <si>
    <t>46.2219000000001</t>
  </si>
  <si>
    <t>-64.5377</t>
  </si>
  <si>
    <t>46 - 13 - 18.84</t>
  </si>
  <si>
    <t>64 - 32 - 15.72</t>
  </si>
  <si>
    <t>Clinique Dentaire Shediac, 51, Rue Sainte-Anne, East Shediac, Paroisse de Shediac, Westmorland County, New Brunswick, E4P 0M2, Canada</t>
  </si>
  <si>
    <t>47.315527778</t>
  </si>
  <si>
    <t>-67.6765</t>
  </si>
  <si>
    <t>47 - 18 - 55.9</t>
  </si>
  <si>
    <t>67 - 40 - 35.4</t>
  </si>
  <si>
    <t>J.D. Irving Veneer Sawmill, Paroisse de Drummond, Ville de Vallée-des-Rivières, Victoria County, New Brunswick, Canada</t>
  </si>
  <si>
    <t>45.9440777780001</t>
  </si>
  <si>
    <t>-66.668172222</t>
  </si>
  <si>
    <t>45 - 56 - 38.68</t>
  </si>
  <si>
    <t>66 - 40 - 5.42</t>
  </si>
  <si>
    <t>Rue Smythe Street, Uptown, City of Fredericton, York County, New Brunswick, E3B 3H5, Canada</t>
  </si>
  <si>
    <t>45.6285972220001</t>
  </si>
  <si>
    <t>-65.7428</t>
  </si>
  <si>
    <t>45 - 37 - 42.95</t>
  </si>
  <si>
    <t>65 - 44 - 34.08</t>
  </si>
  <si>
    <t>Dickie Mountain Road, Norton Parish, Village of Valley Waters, Kings County, New Brunswick, E5T 1Z8, Canada</t>
  </si>
  <si>
    <t>47.6172</t>
  </si>
  <si>
    <t>-65.674197222</t>
  </si>
  <si>
    <t>47 - 37 - 1.92</t>
  </si>
  <si>
    <t>65 - 40 - 27.11</t>
  </si>
  <si>
    <t>University Street, Bathurst Parish, Comté de Gloucester, New Brunswick, E2A 2V3, Canada</t>
  </si>
  <si>
    <t>47.799872222</t>
  </si>
  <si>
    <t>-65.134911111</t>
  </si>
  <si>
    <t>47 - 47 - 59.54</t>
  </si>
  <si>
    <t>65 - 8 - 5.68</t>
  </si>
  <si>
    <t>45.2488277780001</t>
  </si>
  <si>
    <t>-66.1268805559999</t>
  </si>
  <si>
    <t>45 - 14 - 55.78</t>
  </si>
  <si>
    <t>66 - 7 - 36.77</t>
  </si>
  <si>
    <t>47.7708555560001</t>
  </si>
  <si>
    <t>-65.7802944439999</t>
  </si>
  <si>
    <t>47 - 46 - 15.08</t>
  </si>
  <si>
    <t>65 - 46 - 49.06</t>
  </si>
  <si>
    <t>Chemin Laplante, Paroisse de Beresford, Comté de Gloucester, New Brunswick, Canada</t>
  </si>
  <si>
    <t>46.6042722220001</t>
  </si>
  <si>
    <t>-67.7353388889999</t>
  </si>
  <si>
    <t>46 - 36 - 15.38</t>
  </si>
  <si>
    <t>67 - 44 - 7.22</t>
  </si>
  <si>
    <t>Andover Parish, Western Valley Rural District, Victoria County, New Brunswick, Canada</t>
  </si>
  <si>
    <t>45.930377778</t>
  </si>
  <si>
    <t>-66.6296555559999</t>
  </si>
  <si>
    <t>45 - 55 - 49.36</t>
  </si>
  <si>
    <t>66 - 37 - 46.76</t>
  </si>
  <si>
    <t>440, Promenade Kimble Drive, Dunn's Crossing, Forest Hills, City of Fredericton, York County, New Brunswick, E3B 6X5, Canada</t>
  </si>
  <si>
    <t>-64.8419</t>
  </si>
  <si>
    <t>64 - 50 - 30.84</t>
  </si>
  <si>
    <t>46.2273277780001</t>
  </si>
  <si>
    <t>-64.5062055559999</t>
  </si>
  <si>
    <t>46 - 13 - 38.38</t>
  </si>
  <si>
    <t>64 - 30 - 22.34</t>
  </si>
  <si>
    <t>Parlee Beach Road, East Shediac, Shediac, Westmorland County, New Brunswick, E4P 2H3, Canada</t>
  </si>
  <si>
    <t>46.5693694440001</t>
  </si>
  <si>
    <t>-66.130983333</t>
  </si>
  <si>
    <t>46 - 34 - 9.73</t>
  </si>
  <si>
    <t>66 - 7 - 51.54</t>
  </si>
  <si>
    <t>Hazelton Road, Blissfield Parish, Village of Doaktown, Northumberland County, New Brunswick, E9C 1G7, Canada</t>
  </si>
  <si>
    <t>46.0959861110001</t>
  </si>
  <si>
    <t>-64.785136111</t>
  </si>
  <si>
    <t>46 - 5 - 45.55</t>
  </si>
  <si>
    <t>64 - 47 - 6.49</t>
  </si>
  <si>
    <t>Avenue de l'Université / Université Avenue, Moncton Parish, Moncton, Westmorland County, New Brunswick, E1C 8X3, Canada</t>
  </si>
  <si>
    <t>46.097644444</t>
  </si>
  <si>
    <t>-64.785936111</t>
  </si>
  <si>
    <t>46 - 5 - 51.52</t>
  </si>
  <si>
    <t>64 - 47 - 9.37</t>
  </si>
  <si>
    <t>45.9755277780001</t>
  </si>
  <si>
    <t>-66.650147222</t>
  </si>
  <si>
    <t>45 - 58 - 31.9</t>
  </si>
  <si>
    <t>66 - 39 - 0.53</t>
  </si>
  <si>
    <t>Rue Main Street, Nashwaaksis, City of Fredericton, York County, New Brunswick, E3A 1E1, Canada</t>
  </si>
  <si>
    <t>45.8636000000001</t>
  </si>
  <si>
    <t>-66.8217</t>
  </si>
  <si>
    <t>45 - 51 - 48.96</t>
  </si>
  <si>
    <t>66 - 49 - 18.12</t>
  </si>
  <si>
    <t>Kingsclear Parish, Hanwell Rural Community, York County, New Brunswick, Canada</t>
  </si>
  <si>
    <t>45.0941777780001</t>
  </si>
  <si>
    <t>-66.731841667</t>
  </si>
  <si>
    <t>45 - 5 - 39.04</t>
  </si>
  <si>
    <t>66 - 43 - 54.63</t>
  </si>
  <si>
    <t>Route 778, Pennfield Parish, Municipality of Eastern Charlotte, Charlotte County, New Brunswick, E5H 1Y5, Canada</t>
  </si>
  <si>
    <t>-67.3022</t>
  </si>
  <si>
    <t>67 - 18 - 7.92</t>
  </si>
  <si>
    <t>46.7347222220001</t>
  </si>
  <si>
    <t>-65.430833333</t>
  </si>
  <si>
    <t>46 - 44 - 5.0</t>
  </si>
  <si>
    <t>65 - 25 - 51.0</t>
  </si>
  <si>
    <t>Rue Principale, Rogersville, Paroisse de Rogersville, Northumberland County, New Brunswick, E4Y 2N2, Canada</t>
  </si>
  <si>
    <t>45.2336111110001</t>
  </si>
  <si>
    <t>-65.983055556</t>
  </si>
  <si>
    <t>45 - 14 - 1.0</t>
  </si>
  <si>
    <t>65 - 58 - 59.0</t>
  </si>
  <si>
    <t>1001, Proud Road, City of Saint John, Saint John County, New Brunswick, E2J 4V9, Canada</t>
  </si>
  <si>
    <t>45.253541667</t>
  </si>
  <si>
    <t>-66.080408333</t>
  </si>
  <si>
    <t>45 - 15 - 12.75</t>
  </si>
  <si>
    <t>66 - 4 - 49.47</t>
  </si>
  <si>
    <t>Hillcrest Baptist Church, Lancaster Avenue, Fundy Heights, Saint John West, City of Saint John, Saint John County, New Brunswick, E2M 2V4, Canada</t>
  </si>
  <si>
    <t>45.3161111110001</t>
  </si>
  <si>
    <t>-66.212780556</t>
  </si>
  <si>
    <t>45 - 18 - 58.0</t>
  </si>
  <si>
    <t>66 - 12 - 46.01</t>
  </si>
  <si>
    <t>45.270169444</t>
  </si>
  <si>
    <t>-66.0551694439999</t>
  </si>
  <si>
    <t>45 - 16 - 12.61</t>
  </si>
  <si>
    <t>66 - 3 - 18.61</t>
  </si>
  <si>
    <t>Carleton Towers Appartments, 15, Mecklenburg Street, Parker's Corner, City of Saint John, Saint John County, New Brunswick, E2L 1H8, Canada</t>
  </si>
  <si>
    <t>45.2337138890001</t>
  </si>
  <si>
    <t>-66.154094444</t>
  </si>
  <si>
    <t>45 - 14 - 1.37</t>
  </si>
  <si>
    <t>66 - 9 - 14.74</t>
  </si>
  <si>
    <t>Ocean Westway, City of Saint John, Saint John County, New Brunswick, E2M 5J1, Canada</t>
  </si>
  <si>
    <t>45.4283</t>
  </si>
  <si>
    <t>-66.3239</t>
  </si>
  <si>
    <t>45 - 25 - 41.88</t>
  </si>
  <si>
    <t>66 - 19 - 26.04</t>
  </si>
  <si>
    <t>45.7425000000001</t>
  </si>
  <si>
    <t>-66.4858</t>
  </si>
  <si>
    <t>45 - 44 - 33.0</t>
  </si>
  <si>
    <t>66 - 29 - 8.88</t>
  </si>
  <si>
    <t>Branch Road, Geary, Burton Parish, Capital Region Rural District, Sunbury County, New Brunswick, E2V 3W5, Canada</t>
  </si>
  <si>
    <t>-65.5864</t>
  </si>
  <si>
    <t>65 - 35 - 11.04</t>
  </si>
  <si>
    <t>-67.7594</t>
  </si>
  <si>
    <t>67 - 45 - 33.84</t>
  </si>
  <si>
    <t>46.763333333</t>
  </si>
  <si>
    <t>-65.026030556</t>
  </si>
  <si>
    <t>46 - 45 - 48.0</t>
  </si>
  <si>
    <t>65 - 1 - 33.71</t>
  </si>
  <si>
    <t>47.9902888890001</t>
  </si>
  <si>
    <t>-66.710288889</t>
  </si>
  <si>
    <t>47 - 59 - 25.04</t>
  </si>
  <si>
    <t>66 - 42 - 37.04</t>
  </si>
  <si>
    <t>Rue du Manoire, Addington Parish, New Brunswick, E3N 4E2, Canada</t>
  </si>
  <si>
    <t>45.427663889</t>
  </si>
  <si>
    <t>-65.9664722219999</t>
  </si>
  <si>
    <t>45 - 25 - 39.59</t>
  </si>
  <si>
    <t>65 - 57 - 59.3</t>
  </si>
  <si>
    <t>Quispamsis Middle School, Pettingill Road, Fairvale, Otty Glen, Rothesay Parish, Town of Quispamsis, Kings County, New Brunswick, E2E 2T8, Canada</t>
  </si>
  <si>
    <t>45.9351472220001</t>
  </si>
  <si>
    <t>-66.6303833329999</t>
  </si>
  <si>
    <t>45 - 56 - 6.53</t>
  </si>
  <si>
    <t>66 - 37 - 49.38</t>
  </si>
  <si>
    <t>700, Forest Hill Road, Dunn's Crossing, Forest Hills, City of Fredericton, York County, New Brunswick, E3B 6X5, Canada</t>
  </si>
  <si>
    <t>46.4974361110001</t>
  </si>
  <si>
    <t>-64.780672222</t>
  </si>
  <si>
    <t>46 - 29 - 50.77</t>
  </si>
  <si>
    <t>64 - 46 - 50.42</t>
  </si>
  <si>
    <t>45.134469444</t>
  </si>
  <si>
    <t>-66.550425</t>
  </si>
  <si>
    <t>45 - 8 - 4.09</t>
  </si>
  <si>
    <t>66 - 33 - 1.53</t>
  </si>
  <si>
    <t>-68.385327778</t>
  </si>
  <si>
    <t>68 - 23 - 7.18</t>
  </si>
  <si>
    <t>46.133172222</t>
  </si>
  <si>
    <t>-64.794561111</t>
  </si>
  <si>
    <t>46 - 7 - 59.42</t>
  </si>
  <si>
    <t>64 - 47 - 40.42</t>
  </si>
  <si>
    <t>McLaughlin Drive, Moncton Parish, Moncton, Westmorland County, New Brunswick, E1H 0G4, Canada</t>
  </si>
  <si>
    <t>45.8729111110001</t>
  </si>
  <si>
    <t>-67.013091667</t>
  </si>
  <si>
    <t>45 - 52 - 22.48</t>
  </si>
  <si>
    <t>67 - 0 - 47.13</t>
  </si>
  <si>
    <t>45.307769444</t>
  </si>
  <si>
    <t>-66.009411111</t>
  </si>
  <si>
    <t>45 - 18 - 27.97</t>
  </si>
  <si>
    <t>66 - 0 - 33.88</t>
  </si>
  <si>
    <t>McAllister Drive, City of Saint John, Saint John County, New Brunswick, E2J 2S6, Canada</t>
  </si>
  <si>
    <t>45.7673888890001</t>
  </si>
  <si>
    <t>-66.4645277779999</t>
  </si>
  <si>
    <t>45 - 46 - 2.6</t>
  </si>
  <si>
    <t>66 - 27 - 52.3</t>
  </si>
  <si>
    <t>Route 7, Geary, Burton Parish, Capital Region Rural District, Sunbury County, New Brunswick, E2V 3W5, Canada</t>
  </si>
  <si>
    <t>45.2780138890001</t>
  </si>
  <si>
    <t>-66.072108333</t>
  </si>
  <si>
    <t>45 - 16 - 40.85</t>
  </si>
  <si>
    <t>66 - 4 - 19.59</t>
  </si>
  <si>
    <t>45.271388889</t>
  </si>
  <si>
    <t>-66.061286111</t>
  </si>
  <si>
    <t>45 - 16 - 17.0</t>
  </si>
  <si>
    <t>66 - 3 - 40.63</t>
  </si>
  <si>
    <t>46, Princess Street, Parker's Corner, Indiantown, City of Saint John, Saint John County, New Brunswick, E2L 4S4, Canada</t>
  </si>
  <si>
    <t>46.224472222</t>
  </si>
  <si>
    <t>-64.331508333</t>
  </si>
  <si>
    <t>46 - 13 - 28.1</t>
  </si>
  <si>
    <t>64 - 19 - 53.43</t>
  </si>
  <si>
    <t>Gagnon Beach, Chemin Plage Gagnon, Paroisse de Shediac, Westmorland County, New Brunswick, E4N 1C6, Canada</t>
  </si>
  <si>
    <t>47.6196</t>
  </si>
  <si>
    <t>-65.6527972219999</t>
  </si>
  <si>
    <t>47 - 37 - 10.56</t>
  </si>
  <si>
    <t>65 - 39 - 10.07</t>
  </si>
  <si>
    <t>Bathurst City Police, 285, King Avenue, City of Bathurst, Comté de Gloucester, New Brunswick, E2A 1P7, Canada</t>
  </si>
  <si>
    <t>46.158855556</t>
  </si>
  <si>
    <t>-64.8787166669999</t>
  </si>
  <si>
    <t>46 - 9 - 31.88</t>
  </si>
  <si>
    <t>64 - 52 - 43.38</t>
  </si>
  <si>
    <t>Briggs Cross Road, Moncton Parish, Westmorland County, New Brunswick, E1G 3H3, Canada</t>
  </si>
  <si>
    <t>45.953197222</t>
  </si>
  <si>
    <t>-66.6495416669999</t>
  </si>
  <si>
    <t>45 - 57 - 11.51</t>
  </si>
  <si>
    <t>66 - 38 - 58.35</t>
  </si>
  <si>
    <t>Fredericton YMCA, 560, Rue York Street, Rabbit Town, Downtown, City of Fredericton, York County, New Brunswick, E3B 0V4, Canada</t>
  </si>
  <si>
    <t>47.935513889</t>
  </si>
  <si>
    <t>-64.565658333</t>
  </si>
  <si>
    <t>47 - 56 - 7.85</t>
  </si>
  <si>
    <t>64 - 33 - 56.37</t>
  </si>
  <si>
    <t>Route 113, Havre de Miscou, Paroisse de Shippagan, Comté de Gloucester, New Brunswick, Canada</t>
  </si>
  <si>
    <t>46.971944444</t>
  </si>
  <si>
    <t>-65.713055556</t>
  </si>
  <si>
    <t>46 - 58 - 19.0</t>
  </si>
  <si>
    <t>65 - 42 - 47.0</t>
  </si>
  <si>
    <t>Route 425, Northesk Parish, Rural Community of Miramichi River Valley, Northumberland County, New Brunswick, Canada</t>
  </si>
  <si>
    <t>45.173380556</t>
  </si>
  <si>
    <t>-66.3873694439999</t>
  </si>
  <si>
    <t>45 - 10 - 24.17</t>
  </si>
  <si>
    <t>66 - 23 - 14.53</t>
  </si>
  <si>
    <t>Musquash Parish, Rural Community of Fundy Shores, Saint John County, New Brunswick, E5J 2L8, Canada</t>
  </si>
  <si>
    <t>45.370283333</t>
  </si>
  <si>
    <t>-65.507338889</t>
  </si>
  <si>
    <t>45 - 22 - 13.02</t>
  </si>
  <si>
    <t>65 - 30 - 26.42</t>
  </si>
  <si>
    <t>Big Salmon River Road, Bay View, Saint Martins Parish, Village of Fundy-St. Martins, Saint John County, New Brunswick, E5R 1C3, Canada</t>
  </si>
  <si>
    <t>45.890555556</t>
  </si>
  <si>
    <t>-64.3666666669999</t>
  </si>
  <si>
    <t>45 - 53 - 26.0</t>
  </si>
  <si>
    <t>64 - 22 - 0.0</t>
  </si>
  <si>
    <t>Lorne Street, Sackville, Westmorland County, New Brunswick, E4L 4G4, Canada</t>
  </si>
  <si>
    <t>45.329402778</t>
  </si>
  <si>
    <t>-67.052875</t>
  </si>
  <si>
    <t>45 - 19 - 45.85</t>
  </si>
  <si>
    <t>67 - 3 - 10.35</t>
  </si>
  <si>
    <t>Whittier Road, Whitter Ridge, Dumbarton Parish, Southwest Rural District, Charlotte County, New Brunswick, Canada</t>
  </si>
  <si>
    <t>46.477080556</t>
  </si>
  <si>
    <t>-64.729911111</t>
  </si>
  <si>
    <t>46 - 28 - 37.49</t>
  </si>
  <si>
    <t>64 - 43 - 47.68</t>
  </si>
  <si>
    <t>Rue McLaughlin, Paroisse de Wellington, Comté de Kent, New Brunswick, E4S 3K2, Canada</t>
  </si>
  <si>
    <t>46.2463500000001</t>
  </si>
  <si>
    <t>-66.819388889</t>
  </si>
  <si>
    <t>46 - 14 - 46.86</t>
  </si>
  <si>
    <t>66 - 49 - 9.8</t>
  </si>
  <si>
    <t>Royal Road, Douglas Parish, Nashwaak Rural Community, York County, New Brunswick, Canada</t>
  </si>
  <si>
    <t>47.599302778</t>
  </si>
  <si>
    <t>-65.6846305559999</t>
  </si>
  <si>
    <t>47 - 35 - 57.49</t>
  </si>
  <si>
    <t>65 - 41 - 4.67</t>
  </si>
  <si>
    <t>Bathurst Parish, Comté de Gloucester, New Brunswick, E2A 2V3, Canada</t>
  </si>
  <si>
    <t>45.960183333</t>
  </si>
  <si>
    <t>-66.6172749999999</t>
  </si>
  <si>
    <t>45 - 57 - 36.66</t>
  </si>
  <si>
    <t>66 - 37 - 2.19</t>
  </si>
  <si>
    <t>Nashwaak Trail, Youngs Crossing, Barker's Point, City of Fredericton, York County, New Brunswick, E3A 9M1, Canada</t>
  </si>
  <si>
    <t>45.9549111110001</t>
  </si>
  <si>
    <t>-66.766169444</t>
  </si>
  <si>
    <t>45 - 57 - 17.68</t>
  </si>
  <si>
    <t>66 - 45 - 58.21</t>
  </si>
  <si>
    <t>35, Mary Ellen Drive, Carriage Hill, Kingsclear Parish, Hanwell Rural Community, York County, New Brunswick, E3C 2J5, Canada</t>
  </si>
  <si>
    <t>46.8291750000001</t>
  </si>
  <si>
    <t>-65.447802778</t>
  </si>
  <si>
    <t>46 - 49 - 45.03</t>
  </si>
  <si>
    <t>65 - 26 - 52.09</t>
  </si>
  <si>
    <t>Route 126, Paroisse de Rogersville, Northumberland County, New Brunswick, Canada</t>
  </si>
  <si>
    <t>45.4784722220001</t>
  </si>
  <si>
    <t>-66.2345</t>
  </si>
  <si>
    <t>45 - 28 - 42.5</t>
  </si>
  <si>
    <t>66 - 14 - 4.2</t>
  </si>
  <si>
    <t>45.9567138890001</t>
  </si>
  <si>
    <t>-66.639516667</t>
  </si>
  <si>
    <t>45 - 57 - 24.17</t>
  </si>
  <si>
    <t>66 - 38 - 22.26</t>
  </si>
  <si>
    <t>233, Rue Saint John Street, Capital, Downtown, City of Fredericton, York County, New Brunswick, E3B 1M5, Canada</t>
  </si>
  <si>
    <t>45.319822222</t>
  </si>
  <si>
    <t>-66.080486111</t>
  </si>
  <si>
    <t>45 - 19 - 11.36</t>
  </si>
  <si>
    <t>66 - 4 - 49.75</t>
  </si>
  <si>
    <t>Bravo Landing, City of Saint John, Saint John County, New Brunswick, E2K 5E7, Canada</t>
  </si>
  <si>
    <t>45.8963972220001</t>
  </si>
  <si>
    <t>-66.591944444</t>
  </si>
  <si>
    <t>45 - 53 - 47.03</t>
  </si>
  <si>
    <t>66 - 35 - 31.0</t>
  </si>
  <si>
    <t>45.2728138890001</t>
  </si>
  <si>
    <t>-66.0571805559999</t>
  </si>
  <si>
    <t>45 - 16 - 22.13</t>
  </si>
  <si>
    <t>66 - 3 - 25.85</t>
  </si>
  <si>
    <t>Irving Oil Limited Headquarters, 10, King Square South, Parker's Corner, City of Saint John, Saint John County, New Brunswick, E2L 5B8, Canada</t>
  </si>
  <si>
    <t>45.281894444</t>
  </si>
  <si>
    <t>-66.0106111109999</t>
  </si>
  <si>
    <t>45 - 16 - 54.82</t>
  </si>
  <si>
    <t>66 - 0 - 38.2</t>
  </si>
  <si>
    <t>Grandview Avenue, City of Saint John, Saint John County, New Brunswick, E3J 3H6, Canada</t>
  </si>
  <si>
    <t>45.990944444</t>
  </si>
  <si>
    <t>-66.756777778</t>
  </si>
  <si>
    <t>45 - 59 - 27.4</t>
  </si>
  <si>
    <t>66 - 45 - 24.4</t>
  </si>
  <si>
    <t>47.6384555560001</t>
  </si>
  <si>
    <t>-65.751344444</t>
  </si>
  <si>
    <t>47 - 38 - 18.44</t>
  </si>
  <si>
    <t>65 - 45 - 4.84</t>
  </si>
  <si>
    <t>Suzan Drive, Bathurst Parish, Comté de Gloucester, New Brunswick, E2A 7C2, Canada</t>
  </si>
  <si>
    <t>-64.5049888889999</t>
  </si>
  <si>
    <t>64 - 30 - 17.96</t>
  </si>
  <si>
    <t>Chemin Ohio, East Shediac, Shediac, Westmorland County, New Brunswick, E4P 2J8, Canada</t>
  </si>
  <si>
    <t>45.257008333</t>
  </si>
  <si>
    <t>-66.098502778</t>
  </si>
  <si>
    <t>45 - 15 - 25.23</t>
  </si>
  <si>
    <t>66 - 5 - 54.61</t>
  </si>
  <si>
    <t>45.5817777780001</t>
  </si>
  <si>
    <t>-65.397527778</t>
  </si>
  <si>
    <t>45 - 34 - 54.4</t>
  </si>
  <si>
    <t>65 - 23 - 51.1</t>
  </si>
  <si>
    <t>Shepody Road, Hammond Parish, Kings Rural District, Kings County, New Brunswick, Canada</t>
  </si>
  <si>
    <t>46.3380000000001</t>
  </si>
  <si>
    <t>-65.593969444</t>
  </si>
  <si>
    <t>46 - 20 - 16.8</t>
  </si>
  <si>
    <t>65 - 35 - 38.29</t>
  </si>
  <si>
    <t>Salmon River Road, Harcourt Parish, Municipality of Grand Lake, Comté de Kent, New Brunswick, Canada</t>
  </si>
  <si>
    <t>45.9247861110001</t>
  </si>
  <si>
    <t>-66.627594444</t>
  </si>
  <si>
    <t>45 - 55 - 29.23</t>
  </si>
  <si>
    <t>66 - 37 - 39.34</t>
  </si>
  <si>
    <t>25, Promenade Chandler, Southwood Park, City of Fredericton, York County, New Brunswick, E3B 5H1, Canada</t>
  </si>
  <si>
    <t>47.3582000000001</t>
  </si>
  <si>
    <t>-68.2359999999999</t>
  </si>
  <si>
    <t>47 - 21 - 29.52</t>
  </si>
  <si>
    <t>68 - 14 - 9.6</t>
  </si>
  <si>
    <t>46.1161000000001</t>
  </si>
  <si>
    <t>-64.688297222</t>
  </si>
  <si>
    <t>46 - 6 - 57.96</t>
  </si>
  <si>
    <t>64 - 41 - 17.87</t>
  </si>
  <si>
    <t>Greater Moncton Roméo LeBlanc International Airport, 777, Aviation Avenue, Moncton Parish, Dieppe, Westmorland County, New Brunswick, E1A 7Z5, Canada</t>
  </si>
  <si>
    <t>45.9607472220001</t>
  </si>
  <si>
    <t>-66.638266667</t>
  </si>
  <si>
    <t>45 - 57 - 38.69</t>
  </si>
  <si>
    <t>66 - 38 - 17.76</t>
  </si>
  <si>
    <t>Hilton Garden Inn, 620, Rue Queen Street, Capital, Downtown, City of Fredericton, York County, New Brunswick, E3B 1C2, Canada</t>
  </si>
  <si>
    <t>46.9236000000001</t>
  </si>
  <si>
    <t>46 - 55 - 24.96</t>
  </si>
  <si>
    <t>46.094197222</t>
  </si>
  <si>
    <t>-64.8317</t>
  </si>
  <si>
    <t>46 - 5 - 39.11</t>
  </si>
  <si>
    <t>64 - 49 - 54.12</t>
  </si>
  <si>
    <t>Killam Drive, Moncton Parish, Moncton, Westmorland County, New Brunswick, E1C 3T1, Canada</t>
  </si>
  <si>
    <t>46.509997222</t>
  </si>
  <si>
    <t>-66.2368999999999</t>
  </si>
  <si>
    <t>46 - 30 - 35.99</t>
  </si>
  <si>
    <t>66 - 14 - 12.84</t>
  </si>
  <si>
    <t>Route 8, Ludlow Parish, Rural Community of Upper Miramichi, Northumberland County, New Brunswick, E9C 2G3, Canada</t>
  </si>
  <si>
    <t>45.9863083330001</t>
  </si>
  <si>
    <t>-66.747416667</t>
  </si>
  <si>
    <t>45 - 59 - 10.71</t>
  </si>
  <si>
    <t>66 - 44 - 50.7</t>
  </si>
  <si>
    <t>Ambleside Drive, City of Fredericton, York County, New Brunswick, E3C 0H7, Canada</t>
  </si>
  <si>
    <t>45.955302778</t>
  </si>
  <si>
    <t>-66.632919444</t>
  </si>
  <si>
    <t>45 - 57 - 19.09</t>
  </si>
  <si>
    <t>66 - 37 - 58.51</t>
  </si>
  <si>
    <t>Allée Waterloo Row, Town Plat, Downtown, City of Fredericton, York County, New Brunswick, E3B 4C9, Canada</t>
  </si>
  <si>
    <t>46.0953000000001</t>
  </si>
  <si>
    <t>-64.749819444</t>
  </si>
  <si>
    <t>46 - 5 - 43.08</t>
  </si>
  <si>
    <t>64 - 44 - 59.35</t>
  </si>
  <si>
    <t>Rue Champlain, Moncton Parish, Dieppe, Westmorland County, New Brunswick, E1A 1P1, Canada</t>
  </si>
  <si>
    <t>46.1758</t>
  </si>
  <si>
    <t>-65.900597222</t>
  </si>
  <si>
    <t>46 - 10 - 32.88</t>
  </si>
  <si>
    <t>65 - 54 - 2.15</t>
  </si>
  <si>
    <t>Pleasant Drive, Chipman, Chipman Parish, Municipality of Grand Lake, Queens County, New Brunswick, E4A 2H1, Canada</t>
  </si>
  <si>
    <t>45.965038889</t>
  </si>
  <si>
    <t>-66.6627694439999</t>
  </si>
  <si>
    <t>45 - 57 - 54.14</t>
  </si>
  <si>
    <t>66 - 39 - 45.97</t>
  </si>
  <si>
    <t>45.9154</t>
  </si>
  <si>
    <t>-66.6197472219999</t>
  </si>
  <si>
    <t>45 - 54 - 55.44</t>
  </si>
  <si>
    <t>66 - 37 - 11.09</t>
  </si>
  <si>
    <t>50, Chemin Whiting, Southwood Park, City of Fredericton, York County, New Brunswick, E3B 5Y5, Canada</t>
  </si>
  <si>
    <t>45.988538889</t>
  </si>
  <si>
    <t>-66.646938889</t>
  </si>
  <si>
    <t>45 - 59 - 18.74</t>
  </si>
  <si>
    <t>66 - 38 - 48.98</t>
  </si>
  <si>
    <t>487, Avenue Fulton Avenue, Fulton Heights, Nashwaaksis, City of Fredericton, York County, New Brunswick, E3G 8V1, Canada</t>
  </si>
  <si>
    <t>45.921258333</t>
  </si>
  <si>
    <t>-66.623077778</t>
  </si>
  <si>
    <t>45 - 55 - 16.53</t>
  </si>
  <si>
    <t>66 - 37 - 23.08</t>
  </si>
  <si>
    <t>80, Rue Ayres, Southwood Park, City of Fredericton, York County, New Brunswick, E3B 5Y5, Canada</t>
  </si>
  <si>
    <t>46.0785250000001</t>
  </si>
  <si>
    <t>-64.663211111</t>
  </si>
  <si>
    <t>46 - 4 - 42.69</t>
  </si>
  <si>
    <t>64 - 39 - 47.56</t>
  </si>
  <si>
    <t>Chemin Melanson, Moncton Parish, Dieppe, Westmorland County, New Brunswick, E1A 1R5, Canada</t>
  </si>
  <si>
    <t>45.4476666670001</t>
  </si>
  <si>
    <t>-66.0083</t>
  </si>
  <si>
    <t>45 - 26 - 51.6</t>
  </si>
  <si>
    <t>66 - 0 - 29.88</t>
  </si>
  <si>
    <t>45.367227778</t>
  </si>
  <si>
    <t>-65.952891667</t>
  </si>
  <si>
    <t>45 - 22 - 2.02</t>
  </si>
  <si>
    <t>65 - 57 - 10.41</t>
  </si>
  <si>
    <t>46.1153833330001</t>
  </si>
  <si>
    <t>-64.6858194439999</t>
  </si>
  <si>
    <t>46 - 6 - 55.38</t>
  </si>
  <si>
    <t>64 - 41 - 8.95</t>
  </si>
  <si>
    <t>8, Allée du Lieutenant Colonel Rob, Moncton Parish, Dieppe, Westmorland County, New Brunswick, E1A 7Z6, Canada</t>
  </si>
  <si>
    <t>45.2506777780001</t>
  </si>
  <si>
    <t>-66.0753583329999</t>
  </si>
  <si>
    <t>45 - 15 - 2.44</t>
  </si>
  <si>
    <t>66 - 4 - 31.29</t>
  </si>
  <si>
    <t>453, Summer Street West, Fundy Heights, Saint John West, City of Saint John, Saint John County, New Brunswick, E2M 2V4, Canada</t>
  </si>
  <si>
    <t>45.9521722220001</t>
  </si>
  <si>
    <t>-66.570588889</t>
  </si>
  <si>
    <t>45 - 57 - 7.82</t>
  </si>
  <si>
    <t>66 - 34 - 14.12</t>
  </si>
  <si>
    <t>45.838294444</t>
  </si>
  <si>
    <t>-66.4956611109999</t>
  </si>
  <si>
    <t>45 - 50 - 17.86</t>
  </si>
  <si>
    <t>66 - 29 - 44.38</t>
  </si>
  <si>
    <t>Route 2, Oromocto West, Town of Oromocto, Capital Region Rural District, Sunbury County, New Brunswick, E2V 4T4, Canada</t>
  </si>
  <si>
    <t>45.9408000000001</t>
  </si>
  <si>
    <t>-66.671380556</t>
  </si>
  <si>
    <t>45 - 56 - 26.88</t>
  </si>
  <si>
    <t>66 - 40 - 16.97</t>
  </si>
  <si>
    <t>Smythe Street Water Tower, Smythe Street, Uptown, City of Fredericton, York County, New Brunswick, E3C 2M6, Canada</t>
  </si>
  <si>
    <t>46.185327778</t>
  </si>
  <si>
    <t>-65.910330556</t>
  </si>
  <si>
    <t>46 - 11 - 7.18</t>
  </si>
  <si>
    <t>65 - 54 - 37.19</t>
  </si>
  <si>
    <t>Route 10, Chipman Parish, Municipality of Grand Lake, Queens County, New Brunswick, E4A 2H1, Canada</t>
  </si>
  <si>
    <t>45.887261111</t>
  </si>
  <si>
    <t>-66.5545611109999</t>
  </si>
  <si>
    <t>45 - 53 - 14.14</t>
  </si>
  <si>
    <t>66 - 33 - 16.42</t>
  </si>
  <si>
    <t>Lincoln Road, Lincoln, Town of Oromocto, Sunbury County, New Brunswick, E3B 8N9, Canada</t>
  </si>
  <si>
    <t>45.273080556</t>
  </si>
  <si>
    <t>-66.062188889</t>
  </si>
  <si>
    <t>45 - 16 - 23.09</t>
  </si>
  <si>
    <t>66 - 3 - 43.88</t>
  </si>
  <si>
    <t>TD Canada Trust, Chipman Hill, Parker's Corner, Indiantown, City of Saint John, Saint John County, New Brunswick, E2L 1A2, Canada</t>
  </si>
  <si>
    <t>45.447669444</t>
  </si>
  <si>
    <t>45 - 26 - 51.61</t>
  </si>
  <si>
    <t>45.3339</t>
  </si>
  <si>
    <t>-65.9372</t>
  </si>
  <si>
    <t>45 - 20 - 2.04</t>
  </si>
  <si>
    <t>65 - 56 - 13.92</t>
  </si>
  <si>
    <t>47.9333333330001</t>
  </si>
  <si>
    <t>-64.5702777779999</t>
  </si>
  <si>
    <t>47 - 55 - 60.0</t>
  </si>
  <si>
    <t>64 - 34 - 13.0</t>
  </si>
  <si>
    <t>46.194297222</t>
  </si>
  <si>
    <t>-64.282238889</t>
  </si>
  <si>
    <t>46 - 11 - 39.47</t>
  </si>
  <si>
    <t>64 - 16 - 56.06</t>
  </si>
  <si>
    <t>47.5411777780001</t>
  </si>
  <si>
    <t>-65.0975472219999</t>
  </si>
  <si>
    <t>47 - 32 - 28.24</t>
  </si>
  <si>
    <t>65 - 5 - 51.17</t>
  </si>
  <si>
    <t>Route 160, Paroisse de Saint-Isidore, Comté de Gloucester, New Brunswick, E8M 1A2, Canada</t>
  </si>
  <si>
    <t>46.0960388890001</t>
  </si>
  <si>
    <t>-64.872533333</t>
  </si>
  <si>
    <t>46 - 5 - 45.74</t>
  </si>
  <si>
    <t>64 - 52 - 21.12</t>
  </si>
  <si>
    <t>Desbrisay Avenue, Moncton Parish, Moncton, Westmorland County, New Brunswick, E1E 0E8, Canada</t>
  </si>
  <si>
    <t>45.3320000000001</t>
  </si>
  <si>
    <t>-66.016</t>
  </si>
  <si>
    <t>45 - 19 - 55.2</t>
  </si>
  <si>
    <t>66 - 0 - 57.6</t>
  </si>
  <si>
    <t>46.1959972220001</t>
  </si>
  <si>
    <t>-64.8049999999999</t>
  </si>
  <si>
    <t>46 - 11 - 45.59</t>
  </si>
  <si>
    <t>64 - 48 - 18.0</t>
  </si>
  <si>
    <t>45.393</t>
  </si>
  <si>
    <t>-65.966</t>
  </si>
  <si>
    <t>45 - 23 - 34.8</t>
  </si>
  <si>
    <t>65 - 57 - 57.6</t>
  </si>
  <si>
    <t>45.7424972220001</t>
  </si>
  <si>
    <t>-66.485797222</t>
  </si>
  <si>
    <t>45 - 44 - 32.99</t>
  </si>
  <si>
    <t>66 - 29 - 8.87</t>
  </si>
  <si>
    <t>45.0739</t>
  </si>
  <si>
    <t>-67.0542</t>
  </si>
  <si>
    <t>45 - 4 - 26.04</t>
  </si>
  <si>
    <t>67 - 3 - 15.12</t>
  </si>
  <si>
    <t>Spice Box Comestibles, 171, Water Street, Champlain Heights, Town of Saint Andrews, Charlotte County, New Brunswick, E5B 1A9, Canada</t>
  </si>
  <si>
    <t>47.035294444</t>
  </si>
  <si>
    <t>-67.758802778</t>
  </si>
  <si>
    <t>47 - 2 - 7.06</t>
  </si>
  <si>
    <t>67 - 45 - 31.69</t>
  </si>
  <si>
    <t>VE9GFL 146.940-, Rue Harley Hill, Municipalité régionale de Grand-Sault, Victoria County, New Brunswick, E3Z 1A6, Canada</t>
  </si>
  <si>
    <t>46.2188</t>
  </si>
  <si>
    <t>-64.5570999999999</t>
  </si>
  <si>
    <t>46 - 13 - 7.68</t>
  </si>
  <si>
    <t>64 - 33 - 25.56</t>
  </si>
  <si>
    <t>Rue Main, Paroisse de Shediac, Westmorland County, New Brunswick, E4P 2A5, Canada</t>
  </si>
  <si>
    <t>45.829641667</t>
  </si>
  <si>
    <t>45 - 49 - 46.71</t>
  </si>
  <si>
    <t>47.0343</t>
  </si>
  <si>
    <t>-67.760219444</t>
  </si>
  <si>
    <t>47 - 2 - 3.48</t>
  </si>
  <si>
    <t>67 - 45 - 36.79</t>
  </si>
  <si>
    <t>46.589219444</t>
  </si>
  <si>
    <t>-67.601361111</t>
  </si>
  <si>
    <t>46 - 35 - 21.19</t>
  </si>
  <si>
    <t>67 - 36 - 4.9</t>
  </si>
  <si>
    <t>Lloyd Road, Kent Parish, District of Carleton North, Carleton County, New Brunswick, Canada</t>
  </si>
  <si>
    <t>45.924952778</t>
  </si>
  <si>
    <t>-64.578538889</t>
  </si>
  <si>
    <t>45 - 55 - 29.83</t>
  </si>
  <si>
    <t>64 - 34 - 42.74</t>
  </si>
  <si>
    <t>45.5873472220001</t>
  </si>
  <si>
    <t>-65.614408333</t>
  </si>
  <si>
    <t>45 - 35 - 14.45</t>
  </si>
  <si>
    <t>65 - 36 - 51.87</t>
  </si>
  <si>
    <t>Upham Parish, Village of Valley Waters, Kings County, New Brunswick, Canada</t>
  </si>
  <si>
    <t>46.0703055560001</t>
  </si>
  <si>
    <t>-64.8780555559999</t>
  </si>
  <si>
    <t>46 - 4 - 13.1</t>
  </si>
  <si>
    <t>64 - 52 - 41.0</t>
  </si>
  <si>
    <t>Delong Drive, Moncton Parish, Moncton, Westmorland County, New Brunswick, E1E 4P7, Canada</t>
  </si>
  <si>
    <t>46.1950555560001</t>
  </si>
  <si>
    <t>-65.7379722219999</t>
  </si>
  <si>
    <t>46 - 11 - 42.2</t>
  </si>
  <si>
    <t>65 - 44 - 16.7</t>
  </si>
  <si>
    <t>Bronson Settlement Road, Chipman Parish, Municipality of Grand Lake, Queens County, New Brunswick, Canada</t>
  </si>
  <si>
    <t>46.448888889</t>
  </si>
  <si>
    <t>-64.9375277779999</t>
  </si>
  <si>
    <t>46 - 26 - 56.0</t>
  </si>
  <si>
    <t>64 - 56 - 15.1</t>
  </si>
  <si>
    <t>Chemin des Dallaire, Paroisse de Sainte-Marie, Comté de Kent, New Brunswick, Canada</t>
  </si>
  <si>
    <t>44.762208333</t>
  </si>
  <si>
    <t>-66.7637861109999</t>
  </si>
  <si>
    <t>44 - 45 - 43.95</t>
  </si>
  <si>
    <t>66 - 45 - 49.63</t>
  </si>
  <si>
    <t>Grand Manan Hospital, Route 776, Castalia, Grand Manan Parish, Village of Grand Manan, Charlotte County, New Brunswick, E5G 1A4, Canada</t>
  </si>
  <si>
    <t>47.360611111</t>
  </si>
  <si>
    <t>-68.2576972219999</t>
  </si>
  <si>
    <t>47 - 21 - 38.2</t>
  </si>
  <si>
    <t>68 - 15 - 27.71</t>
  </si>
  <si>
    <t>873, Rue Principale, Ville d'Edmundston, Comté de Madawaska, New Brunswick, E7C 1E4, Canada</t>
  </si>
  <si>
    <t>46.005316667</t>
  </si>
  <si>
    <t>-66.763194444</t>
  </si>
  <si>
    <t>46 - 0 - 19.14</t>
  </si>
  <si>
    <t>66 - 45 - 47.5</t>
  </si>
  <si>
    <t>46.4459444440001</t>
  </si>
  <si>
    <t>-67.576833333</t>
  </si>
  <si>
    <t>46 - 26 - 45.4</t>
  </si>
  <si>
    <t>67 - 34 - 36.6</t>
  </si>
  <si>
    <t>47.3630416670001</t>
  </si>
  <si>
    <t>-68.263180556</t>
  </si>
  <si>
    <t>47 - 21 - 46.95</t>
  </si>
  <si>
    <t>68 - 15 - 47.45</t>
  </si>
  <si>
    <t>17, Rue Corno, Ville d'Edmundston, Comté de Madawaska, New Brunswick, E7C 1E4, Canada</t>
  </si>
  <si>
    <t>45.998647222</t>
  </si>
  <si>
    <t>-66.762416667</t>
  </si>
  <si>
    <t>45 - 59 - 55.13</t>
  </si>
  <si>
    <t>66 - 45 - 44.7</t>
  </si>
  <si>
    <t>Courtney Street, Douglas, City of Fredericton, York County, New Brunswick, Canada</t>
  </si>
  <si>
    <t>46.2965888890001</t>
  </si>
  <si>
    <t>-64.631611111</t>
  </si>
  <si>
    <t>46 - 17 - 47.72</t>
  </si>
  <si>
    <t>64 - 37 - 53.8</t>
  </si>
  <si>
    <t>Chemin Babineau, Paroisse de Dundas, Comté de Kent, New Brunswick, E4R 1K0, Canada</t>
  </si>
  <si>
    <t>46.930961111</t>
  </si>
  <si>
    <t>-65.662219444</t>
  </si>
  <si>
    <t>46 - 55 - 51.46</t>
  </si>
  <si>
    <t>65 - 39 - 43.99</t>
  </si>
  <si>
    <t>Williamstown Road, Southesk Parish, Rural Community of Miramichi River Valley, Northumberland County, New Brunswick, E1V 5G1, Canada</t>
  </si>
  <si>
    <t>45.8096166670001</t>
  </si>
  <si>
    <t>-66.690455556</t>
  </si>
  <si>
    <t>45 - 48 - 34.62</t>
  </si>
  <si>
    <t>66 - 41 - 25.64</t>
  </si>
  <si>
    <t>Lord Road, Howorth Acres, Beaver Dam, New Maryland Parish, Sunbury-York South Rural Community, York County, New Brunswick, Canada</t>
  </si>
  <si>
    <t>45.873897222</t>
  </si>
  <si>
    <t>-66.5778972219999</t>
  </si>
  <si>
    <t>45 - 52 - 26.03</t>
  </si>
  <si>
    <t>66 - 34 - 40.43</t>
  </si>
  <si>
    <t>Prestige Drive, Town of Oromocto, Sunbury County, New Brunswick, E3B 8N1, Canada</t>
  </si>
  <si>
    <t>45.9842055560001</t>
  </si>
  <si>
    <t>-66.650502778</t>
  </si>
  <si>
    <t>45 - 59 - 3.14</t>
  </si>
  <si>
    <t>66 - 39 - 1.81</t>
  </si>
  <si>
    <t>299, Avenue Fulton Avenue, Fulton Heights, Nashwaaksis, City of Fredericton, York County, New Brunswick, E3G 8V1, Canada</t>
  </si>
  <si>
    <t>45.9895472220001</t>
  </si>
  <si>
    <t>-66.761791667</t>
  </si>
  <si>
    <t>45 - 59 - 22.37</t>
  </si>
  <si>
    <t>66 - 45 - 42.45</t>
  </si>
  <si>
    <t>Carlisle Road, Douglas, City of Fredericton, York County, New Brunswick, Canada</t>
  </si>
  <si>
    <t>46.006608333</t>
  </si>
  <si>
    <t>-66.7554916669999</t>
  </si>
  <si>
    <t>46 - 0 - 23.79</t>
  </si>
  <si>
    <t>66 - 45 - 19.77</t>
  </si>
  <si>
    <t>46.224027778</t>
  </si>
  <si>
    <t>-64.515469444</t>
  </si>
  <si>
    <t>46 - 13 - 26.5</t>
  </si>
  <si>
    <t>64 - 30 - 55.69</t>
  </si>
  <si>
    <t>salon CC’s Lounge, 568, Rue Main, East Shediac, Paroisse de Shediac, Westmorland County, New Brunswick, E4P 2H1, Canada</t>
  </si>
  <si>
    <t>45.9123277780001</t>
  </si>
  <si>
    <t>-66.614280556</t>
  </si>
  <si>
    <t>45 - 54 - 44.38</t>
  </si>
  <si>
    <t>66 - 36 - 51.41</t>
  </si>
  <si>
    <t>Chemin Wilsey Road, Southwood Park, City of Fredericton, York County, New Brunswick, E3B 5Y5, Canada</t>
  </si>
  <si>
    <t>47.7904583330001</t>
  </si>
  <si>
    <t>-64.95805</t>
  </si>
  <si>
    <t>47 - 47 - 25.65</t>
  </si>
  <si>
    <t>64 - 57 - 28.98</t>
  </si>
  <si>
    <t>45.640830556</t>
  </si>
  <si>
    <t>-65.894719444</t>
  </si>
  <si>
    <t>45 - 38 - 26.99</t>
  </si>
  <si>
    <t>65 - 53 - 40.99</t>
  </si>
  <si>
    <t>46.100569444</t>
  </si>
  <si>
    <t>-64.808658333</t>
  </si>
  <si>
    <t>46 - 6 - 2.05</t>
  </si>
  <si>
    <t>64 - 48 - 31.17</t>
  </si>
  <si>
    <t>Ash Street, Moncton Parish, Moncton, Westmorland County, New Brunswick, E1C 2R8, Canada</t>
  </si>
  <si>
    <t>45.5947194440001</t>
  </si>
  <si>
    <t>-67.329161111</t>
  </si>
  <si>
    <t>45 - 35 - 40.99</t>
  </si>
  <si>
    <t>67 - 19 - 44.98</t>
  </si>
  <si>
    <t>Bell Aliant McAdam, 31, Beech Street, Village of McAdam, York County, New Brunswick, E6J 1L2, Canada</t>
  </si>
  <si>
    <t>46.2727722220001</t>
  </si>
  <si>
    <t>-66.6028111109999</t>
  </si>
  <si>
    <t>46 - 16 - 21.98</t>
  </si>
  <si>
    <t>66 - 36 - 10.12</t>
  </si>
  <si>
    <t>45.3316888890001</t>
  </si>
  <si>
    <t>-65.708486111</t>
  </si>
  <si>
    <t>45 - 19 - 54.08</t>
  </si>
  <si>
    <t>65 - 42 - 30.55</t>
  </si>
  <si>
    <t>46.095916667</t>
  </si>
  <si>
    <t>-64.756144444</t>
  </si>
  <si>
    <t>46 - 5 - 45.3</t>
  </si>
  <si>
    <t>64 - 45 - 22.12</t>
  </si>
  <si>
    <t>Deluxe French Fries, Rue Paul, Moncton Parish, Dieppe, Westmorland County, New Brunswick, E1A 1S7, Canada</t>
  </si>
  <si>
    <t>47.188011111</t>
  </si>
  <si>
    <t>-67.897475</t>
  </si>
  <si>
    <t>47 - 11 - 16.84</t>
  </si>
  <si>
    <t>67 - 53 - 50.91</t>
  </si>
  <si>
    <t>Chemin André Soucy, Paroisse de Saint-Léonard, Ville de Vallée-des-Rivières, Comté de Madawaska, New Brunswick, E7E 2V3, Canada</t>
  </si>
  <si>
    <t>46.453055556</t>
  </si>
  <si>
    <t>-66.520552778</t>
  </si>
  <si>
    <t>46 - 27 - 11.0</t>
  </si>
  <si>
    <t>66 - 31 - 13.99</t>
  </si>
  <si>
    <t>46.0912416670001</t>
  </si>
  <si>
    <t>-64.816569444</t>
  </si>
  <si>
    <t>46 - 5 - 28.47</t>
  </si>
  <si>
    <t>64 - 48 - 59.65</t>
  </si>
  <si>
    <t>Boulevard Millenium / Millennium Boulevard, Moncton Parish, Moncton, Westmorland County, New Brunswick, E1E 4E7, Canada</t>
  </si>
  <si>
    <t>45.2608388890001</t>
  </si>
  <si>
    <t>-66.064333333</t>
  </si>
  <si>
    <t>45 - 15 - 39.02</t>
  </si>
  <si>
    <t>66 - 3 - 51.6</t>
  </si>
  <si>
    <t>Gateway Street, Port of Saint John, Hodges Point, City of Saint John, Saint John County, New Brunswick, E2M 2A9, Canada</t>
  </si>
  <si>
    <t>45.9352638890001</t>
  </si>
  <si>
    <t>-64.467158333</t>
  </si>
  <si>
    <t>45 - 56 - 6.95</t>
  </si>
  <si>
    <t>64 - 28 - 1.77</t>
  </si>
  <si>
    <t>Baseline Road, Sackville Parish, Westmorland County, New Brunswick, E4K 2Y9, Canada</t>
  </si>
  <si>
    <t>47.646125</t>
  </si>
  <si>
    <t>-64.8752388889999</t>
  </si>
  <si>
    <t>47 - 38 - 46.05</t>
  </si>
  <si>
    <t>64 - 52 - 30.86</t>
  </si>
  <si>
    <t>Chemin Cowan Creek, Paroisse d'Inkerman, Comté de Gloucester, New Brunswick, E8P 1H9, Canada</t>
  </si>
  <si>
    <t>-66.130986111</t>
  </si>
  <si>
    <t>66 - 7 - 51.55</t>
  </si>
  <si>
    <t>45.92105</t>
  </si>
  <si>
    <t>-66.7200694439999</t>
  </si>
  <si>
    <t>45 - 55 - 15.78</t>
  </si>
  <si>
    <t>66 - 43 - 12.25</t>
  </si>
  <si>
    <t>Timothy Avenue South, Kingsclear Parish, Hanwell Rural Community, York County, New Brunswick, E3C 0E6, Canada</t>
  </si>
  <si>
    <t>45.946666667</t>
  </si>
  <si>
    <t>-66.595277778</t>
  </si>
  <si>
    <t>45 - 56 - 48.0</t>
  </si>
  <si>
    <t>66 - 35 - 43.0</t>
  </si>
  <si>
    <t>47.5522500000001</t>
  </si>
  <si>
    <t>-65.09725</t>
  </si>
  <si>
    <t>47 - 33 - 8.1</t>
  </si>
  <si>
    <t>65 - 5 - 50.1</t>
  </si>
  <si>
    <t>-67.3174583329999</t>
  </si>
  <si>
    <t>67 - 19 - 2.85</t>
  </si>
  <si>
    <t>45.2943333330001</t>
  </si>
  <si>
    <t>-66.079591667</t>
  </si>
  <si>
    <t>45 - 17 - 39.6</t>
  </si>
  <si>
    <t>66 - 4 - 46.53</t>
  </si>
  <si>
    <t>Samuel Davis Drive, City of Saint John, Saint John County, New Brunswick, E2K 3S2, Canada</t>
  </si>
  <si>
    <t>45.676980556</t>
  </si>
  <si>
    <t>-65.525102778</t>
  </si>
  <si>
    <t>45 - 40 - 37.13</t>
  </si>
  <si>
    <t>65 - 31 - 30.37</t>
  </si>
  <si>
    <t>Quirk Road, Sussex Parish, Kings Rural District, Kings County, New Brunswick, E0E 1P0, Canada</t>
  </si>
  <si>
    <t>45.269722222</t>
  </si>
  <si>
    <t>-66.102222222</t>
  </si>
  <si>
    <t>45 - 16 - 11.0</t>
  </si>
  <si>
    <t>66 - 6 - 8.0</t>
  </si>
  <si>
    <t>46.0658805560001</t>
  </si>
  <si>
    <t>-64.712033333</t>
  </si>
  <si>
    <t>46 - 3 - 57.17</t>
  </si>
  <si>
    <t>64 - 42 - 43.32</t>
  </si>
  <si>
    <t>46.0144500000001</t>
  </si>
  <si>
    <t>-67.1767944439999</t>
  </si>
  <si>
    <t>46 - 0 - 52.02</t>
  </si>
  <si>
    <t>67 - 10 - 36.46</t>
  </si>
  <si>
    <t>Caverhill Road, Queensbury Parish, Nackawic-Millville Rural Community, York County, New Brunswick, Canada</t>
  </si>
  <si>
    <t>46.4968000000001</t>
  </si>
  <si>
    <t>-66.319730556</t>
  </si>
  <si>
    <t>46 - 29 - 48.48</t>
  </si>
  <si>
    <t>66 - 19 - 11.03</t>
  </si>
  <si>
    <t>Route 8, Ludlow Parish, Rural Community of Upper Miramichi, Northumberland County, New Brunswick, Canada</t>
  </si>
  <si>
    <t>46.1282694440001</t>
  </si>
  <si>
    <t>-64.85975</t>
  </si>
  <si>
    <t>46 - 7 - 41.77</t>
  </si>
  <si>
    <t>64 - 51 - 35.1</t>
  </si>
  <si>
    <t>Gorge Road, Hildegarde, Moncton Parish, Moncton, Westmorland County, New Brunswick, E1G 1B1, Canada</t>
  </si>
  <si>
    <t>46.0693055560001</t>
  </si>
  <si>
    <t>-64.864861111</t>
  </si>
  <si>
    <t>46 - 4 - 9.5</t>
  </si>
  <si>
    <t>64 - 51 - 53.5</t>
  </si>
  <si>
    <t>45.953872222</t>
  </si>
  <si>
    <t>-66.6448444439999</t>
  </si>
  <si>
    <t>45 - 57 - 13.94</t>
  </si>
  <si>
    <t>66 - 38 - 41.44</t>
  </si>
  <si>
    <t>Sobeys (S), Rue Regent Street, Carleton, Downtown, City of Fredericton, York County, New Brunswick, E3B 0V4, Canada</t>
  </si>
  <si>
    <t>46.076397222</t>
  </si>
  <si>
    <t>-64.80225</t>
  </si>
  <si>
    <t>46 - 4 - 35.03</t>
  </si>
  <si>
    <t>64 - 48 - 8.1</t>
  </si>
  <si>
    <t>Petro Canada, Main Street, Moncton Parish, Moncton, Westmorland County, New Brunswick, E1E 2X1, Canada</t>
  </si>
  <si>
    <t>45.327897222</t>
  </si>
  <si>
    <t>-65.899055556</t>
  </si>
  <si>
    <t>45 - 19 - 40.43</t>
  </si>
  <si>
    <t>65 - 53 - 56.6</t>
  </si>
  <si>
    <t>Airport Service Road, City of Saint John, Saint John County, New Brunswick, E2N 1C5, Canada</t>
  </si>
  <si>
    <t>45.987319444</t>
  </si>
  <si>
    <t>-66.7771472219999</t>
  </si>
  <si>
    <t>45 - 59 - 14.35</t>
  </si>
  <si>
    <t>66 - 46 - 37.73</t>
  </si>
  <si>
    <t>Route 105, Keswick, Douglas Parish, Central York Rural Community, York County, New Brunswick, E3A 7L9, Canada</t>
  </si>
  <si>
    <t>45.891691667</t>
  </si>
  <si>
    <t>-66.5627361109999</t>
  </si>
  <si>
    <t>45 - 53 - 30.09</t>
  </si>
  <si>
    <t>66 - 33 - 45.85</t>
  </si>
  <si>
    <t>Tamarack Drive, Town of Oromocto, Sunbury County, New Brunswick, E3B 8N9, Canada</t>
  </si>
  <si>
    <t>46.3575277780001</t>
  </si>
  <si>
    <t>-67.451177778</t>
  </si>
  <si>
    <t>46 - 21 - 27.1</t>
  </si>
  <si>
    <t>67 - 27 - 4.24</t>
  </si>
  <si>
    <t>Swim Road, Brighton Parish, Town of Hartland, Carleton County, New Brunswick, E7P 3M3, Canada</t>
  </si>
  <si>
    <t>46.829205556</t>
  </si>
  <si>
    <t>-65.4479805559999</t>
  </si>
  <si>
    <t>46 - 49 - 45.14</t>
  </si>
  <si>
    <t>65 - 26 - 52.73</t>
  </si>
  <si>
    <t>45.0992000000001</t>
  </si>
  <si>
    <t>-66.4686</t>
  </si>
  <si>
    <t>45 - 5 - 57.12</t>
  </si>
  <si>
    <t>66 - 28 - 6.96</t>
  </si>
  <si>
    <t>Bell Aliant Maces Bay MCBYNBSCRS0, 436, Maces Bay Road, Maces Bay, Lepreau Parish, Rural Community of Fundy Shores, Charlotte County, New Brunswick, E5J 1W4, Canada</t>
  </si>
  <si>
    <t>47.361277778</t>
  </si>
  <si>
    <t>-68.338861111</t>
  </si>
  <si>
    <t>47 - 21 - 40.6</t>
  </si>
  <si>
    <t>68 - 20 - 19.9</t>
  </si>
  <si>
    <t>251, Rue Saint-François, Paroisse de Madawaska, Ville d'Edmundston, Comté de Madawaska, New Brunswick, E3V 1G4, Canada</t>
  </si>
  <si>
    <t>46.0692500000001</t>
  </si>
  <si>
    <t>-64.864777778</t>
  </si>
  <si>
    <t>46 - 4 - 9.3</t>
  </si>
  <si>
    <t>64 - 51 - 53.2</t>
  </si>
  <si>
    <t>45.266666667</t>
  </si>
  <si>
    <t>-66.0825</t>
  </si>
  <si>
    <t>45 - 16 - 0.0</t>
  </si>
  <si>
    <t>66 - 4 - 57.0</t>
  </si>
  <si>
    <t>297, Douglas Avenue, Simms Corner, Indiantown, City of Saint John, Saint John County, New Brunswick, E2K 1C2, Canada</t>
  </si>
  <si>
    <t>46.8292111110001</t>
  </si>
  <si>
    <t>-65.4479916669999</t>
  </si>
  <si>
    <t>46 - 49 - 45.16</t>
  </si>
  <si>
    <t>65 - 26 - 52.77</t>
  </si>
  <si>
    <t>45.793880556</t>
  </si>
  <si>
    <t>-66.0381694439999</t>
  </si>
  <si>
    <t>45 - 47 - 37.97</t>
  </si>
  <si>
    <t>66 - 2 - 17.41</t>
  </si>
  <si>
    <t>Cherry Hill Road, Cambridge Parish, Village of Arcadia, Queens County, New Brunswick, Canada</t>
  </si>
  <si>
    <t>45.9441027780001</t>
  </si>
  <si>
    <t>-64.774588889</t>
  </si>
  <si>
    <t>45 - 56 - 38.77</t>
  </si>
  <si>
    <t>64 - 46 - 28.52</t>
  </si>
  <si>
    <t>Dawson Road, Hillsborough Parish, Albert County, New Brunswick, Canada</t>
  </si>
  <si>
    <t>47.999191667</t>
  </si>
  <si>
    <t>-66.6278027779999</t>
  </si>
  <si>
    <t>47 - 59 - 57.09</t>
  </si>
  <si>
    <t>66 - 37 - 40.09</t>
  </si>
  <si>
    <t>Route 11, Paroisse de Dalhousie, New Brunswick, E3N 3S8, Canada</t>
  </si>
  <si>
    <t>46.4372388890001</t>
  </si>
  <si>
    <t>-67.6569</t>
  </si>
  <si>
    <t>46 - 26 - 14.06</t>
  </si>
  <si>
    <t>67 - 39 - 24.84</t>
  </si>
  <si>
    <t>Rim Road, Simonds Parish, District of Carleton North, Carleton County, New Brunswick, E7L 3P8, Canada</t>
  </si>
  <si>
    <t>45.3344916670001</t>
  </si>
  <si>
    <t>-65.8831249999999</t>
  </si>
  <si>
    <t>45 - 20 - 4.17</t>
  </si>
  <si>
    <t>65 - 52 - 59.25</t>
  </si>
  <si>
    <t>4361, Loch Lomond Road, City of Saint John, Saint John County, New Brunswick, E2N 1L7, Canada</t>
  </si>
  <si>
    <t>46.907369444</t>
  </si>
  <si>
    <t>-65.813230556</t>
  </si>
  <si>
    <t>46 - 54 - 26.53</t>
  </si>
  <si>
    <t>65 - 48 - 47.63</t>
  </si>
  <si>
    <t>Warwick Road, Southesk Parish, Rural Community of Miramichi River Valley, Northumberland County, New Brunswick, E9E 1J1, Canada</t>
  </si>
  <si>
    <t>45.269152778</t>
  </si>
  <si>
    <t>-66.081652778</t>
  </si>
  <si>
    <t>45 - 16 - 8.95</t>
  </si>
  <si>
    <t>66 - 4 - 53.95</t>
  </si>
  <si>
    <t>Douglas Avenue, Indiantown, City of Saint John, Saint John County, New Brunswick, E2K 1J1, Canada</t>
  </si>
  <si>
    <t>47.6275305560001</t>
  </si>
  <si>
    <t>-65.684822222</t>
  </si>
  <si>
    <t>47 - 37 - 39.11</t>
  </si>
  <si>
    <t>65 - 41 - 5.36</t>
  </si>
  <si>
    <t>Walmart Supercentre, Saint Anne Street, Bathurst Parish, Comté de Gloucester, New Brunswick, E2A 6X2, Canada</t>
  </si>
  <si>
    <t>45.8804805560001</t>
  </si>
  <si>
    <t>-66.537977778</t>
  </si>
  <si>
    <t>45 - 52 - 49.73</t>
  </si>
  <si>
    <t>66 - 32 - 16.72</t>
  </si>
  <si>
    <t>Lincoln Road, Lower Lincoln, Town of Oromocto, Sunbury County, New Brunswick, E3B 7G1, Canada</t>
  </si>
  <si>
    <t>46.134413889</t>
  </si>
  <si>
    <t>-64.719072222</t>
  </si>
  <si>
    <t>46 - 8 - 3.89</t>
  </si>
  <si>
    <t>64 - 43 - 8.66</t>
  </si>
  <si>
    <t>Commerce Street, Moncton Parish, Moncton, Westmorland County, New Brunswick, E1H 3N4, Canada</t>
  </si>
  <si>
    <t>47.6358416670001</t>
  </si>
  <si>
    <t>-65.7353388889999</t>
  </si>
  <si>
    <t>47 - 38 - 9.03</t>
  </si>
  <si>
    <t>65 - 44 - 7.22</t>
  </si>
  <si>
    <t>West Lane, Bathurst Parish, Comté de Gloucester, New Brunswick, E2A 5B7, Canada</t>
  </si>
  <si>
    <t>46.8049972220001</t>
  </si>
  <si>
    <t>-67.7215555559999</t>
  </si>
  <si>
    <t>46 - 48 - 17.99</t>
  </si>
  <si>
    <t>67 - 43 - 17.6</t>
  </si>
  <si>
    <t>262, Main Street, Aroostook, Andover Parish, Village of Southern Victoria, Victoria County, New Brunswick, E7H 3Y4, Canada</t>
  </si>
  <si>
    <t>46.223188889</t>
  </si>
  <si>
    <t>-64.519033333</t>
  </si>
  <si>
    <t>46 - 13 - 23.48</t>
  </si>
  <si>
    <t>64 - 31 - 8.52</t>
  </si>
  <si>
    <t>Rue Main, East Shediac, Paroisse de Shediac, Westmorland County, New Brunswick, E4P 2G9, Canada</t>
  </si>
  <si>
    <t>46.1152000000001</t>
  </si>
  <si>
    <t>-64.826238889</t>
  </si>
  <si>
    <t>46 - 6 - 54.72</t>
  </si>
  <si>
    <t>64 - 49 - 34.46</t>
  </si>
  <si>
    <t>The Home Depot, 235, Mapleton Road, Moncton Parish, Moncton, Westmorland County, New Brunswick, E1C 9G6, Canada</t>
  </si>
  <si>
    <t>46.112094444</t>
  </si>
  <si>
    <t>-64.826891667</t>
  </si>
  <si>
    <t>46 - 6 - 43.54</t>
  </si>
  <si>
    <t>64 - 49 - 36.81</t>
  </si>
  <si>
    <t>186, Mapleton Road, Moncton Parish, Moncton, Westmorland County, New Brunswick, E1C 2T4, Canada</t>
  </si>
  <si>
    <t>46.9283</t>
  </si>
  <si>
    <t>-67.7331</t>
  </si>
  <si>
    <t>46 - 55 - 41.88</t>
  </si>
  <si>
    <t>67 - 43 - 59.16</t>
  </si>
  <si>
    <t>46.2222</t>
  </si>
  <si>
    <t>-64.5402999999999</t>
  </si>
  <si>
    <t>46 - 13 - 19.92</t>
  </si>
  <si>
    <t>64 - 32 - 25.08</t>
  </si>
  <si>
    <t>Rue Festival, Paroisse de Shediac, Westmorland County, New Brunswick, E4P 1S4, Canada</t>
  </si>
  <si>
    <t>46.236</t>
  </si>
  <si>
    <t>-64.458819444</t>
  </si>
  <si>
    <t>46 - 14 - 9.6</t>
  </si>
  <si>
    <t>64 - 27 - 31.75</t>
  </si>
  <si>
    <t>Boulevard Cap-Bimet, Beaubassin Est, Westmorland County, New Brunswick, E4P 6P7, Canada</t>
  </si>
  <si>
    <t>45.9538833330001</t>
  </si>
  <si>
    <t>-66.6399361109999</t>
  </si>
  <si>
    <t>45 - 57 - 13.98</t>
  </si>
  <si>
    <t>66 - 38 - 23.77</t>
  </si>
  <si>
    <t>Rue Aberdeen Street, Queen's Park, Downtown, City of Fredericton, York County, New Brunswick, E3B 3X3, Canada</t>
  </si>
  <si>
    <t>46.222633333</t>
  </si>
  <si>
    <t>-64.5215638889999</t>
  </si>
  <si>
    <t>46 - 13 - 21.48</t>
  </si>
  <si>
    <t>64 - 31 - 17.63</t>
  </si>
  <si>
    <t>Tim Hortons, 534, Rue Main, East Shediac, Paroisse de Shediac, Westmorland County, New Brunswick, E4P 2G9, Canada</t>
  </si>
  <si>
    <t>45.8922916670001</t>
  </si>
  <si>
    <t>-64.373508333</t>
  </si>
  <si>
    <t>45 - 53 - 32.25</t>
  </si>
  <si>
    <t>64 - 22 - 24.63</t>
  </si>
  <si>
    <t>Sackville Memorial Hospital, 8, Main Street, Sackville, Westmorland County, New Brunswick, E4L 4A3, Canada</t>
  </si>
  <si>
    <t>47.355425</t>
  </si>
  <si>
    <t>-68.223375</t>
  </si>
  <si>
    <t>47 - 21 - 19.53</t>
  </si>
  <si>
    <t>68 - 13 - 24.15</t>
  </si>
  <si>
    <t>169, Rue Principale, Ville d'Edmundston, Comté de Madawaska, New Brunswick, E7C 1E4, Canada</t>
  </si>
  <si>
    <t>46.262244444</t>
  </si>
  <si>
    <t>-66.736069444</t>
  </si>
  <si>
    <t>46 - 15 - 44.08</t>
  </si>
  <si>
    <t>66 - 44 - 9.85</t>
  </si>
  <si>
    <t>VE9NRV 147.030+, English Settlement Road, Stanley, Stanley Parish, Nashwaak Rural Community, York County, New Brunswick, E6B 2C7, Canada</t>
  </si>
  <si>
    <t>47.7253000000001</t>
  </si>
  <si>
    <t>-64.730294444</t>
  </si>
  <si>
    <t>47 - 43 - 31.08</t>
  </si>
  <si>
    <t>64 - 43 - 49.06</t>
  </si>
  <si>
    <t>45.8886000000001</t>
  </si>
  <si>
    <t>-66.5767</t>
  </si>
  <si>
    <t>45 - 53 - 18.96</t>
  </si>
  <si>
    <t>66 - 34 - 36.12</t>
  </si>
  <si>
    <t>Garden Grove Street, Town of Oromocto, Sunbury County, New Brunswick, E3B 8N1, Canada</t>
  </si>
  <si>
    <t>45.3140527780001</t>
  </si>
  <si>
    <t>-66.024333333</t>
  </si>
  <si>
    <t>45 - 18 - 50.59</t>
  </si>
  <si>
    <t>66 - 1 - 27.6</t>
  </si>
  <si>
    <t>15, Golden Grove Road, City of Saint John, Saint John County, New Brunswick, E2H 1W6, Canada</t>
  </si>
  <si>
    <t>46.111738889</t>
  </si>
  <si>
    <t>-64.871741667</t>
  </si>
  <si>
    <t>46 - 6 - 42.26</t>
  </si>
  <si>
    <t>64 - 52 - 18.27</t>
  </si>
  <si>
    <t>Blackstone Drive, Hildegarde, Moncton Parish, Moncton, Westmorland County, New Brunswick, E1G 0E5, Canada</t>
  </si>
  <si>
    <t>46.3144055560001</t>
  </si>
  <si>
    <t>-64.679219444</t>
  </si>
  <si>
    <t>46 - 18 - 51.86</t>
  </si>
  <si>
    <t>64 - 40 - 45.19</t>
  </si>
  <si>
    <t>Chemin Cocagne-Sud, Paroisse de Dundas, Comté de Kent, New Brunswick, E4V 2Y1, Canada</t>
  </si>
  <si>
    <t>-66.628947222</t>
  </si>
  <si>
    <t>66 - 37 - 44.21</t>
  </si>
  <si>
    <t>46.0214111110001</t>
  </si>
  <si>
    <t>-64.548069444</t>
  </si>
  <si>
    <t>46 - 1 - 17.08</t>
  </si>
  <si>
    <t>64 - 32 - 53.05</t>
  </si>
  <si>
    <t>Gaytons, Dorchester Parish, Westmorland County, New Brunswick, E4K 2C0, Canada</t>
  </si>
  <si>
    <t>46.070105556</t>
  </si>
  <si>
    <t>-64.764955556</t>
  </si>
  <si>
    <t>46 - 4 - 12.38</t>
  </si>
  <si>
    <t>64 - 45 - 53.84</t>
  </si>
  <si>
    <t>45.871633333</t>
  </si>
  <si>
    <t>-64.2682166669999</t>
  </si>
  <si>
    <t>45 - 52 - 17.88</t>
  </si>
  <si>
    <t>64 - 16 - 5.58</t>
  </si>
  <si>
    <t>Green Hill Road, Sackville Parish, Westmorland County, New Brunswick, E4L 2X2, Canada</t>
  </si>
  <si>
    <t>45.9408916670001</t>
  </si>
  <si>
    <t>-66.671416667</t>
  </si>
  <si>
    <t>45 - 56 - 27.21</t>
  </si>
  <si>
    <t>66 - 40 - 17.1</t>
  </si>
  <si>
    <t>45.9461111110001</t>
  </si>
  <si>
    <t>-66.643</t>
  </si>
  <si>
    <t>45 - 56 - 46.0</t>
  </si>
  <si>
    <t>66 - 38 - 34.8</t>
  </si>
  <si>
    <t>46.8419000000001</t>
  </si>
  <si>
    <t>-65.7847</t>
  </si>
  <si>
    <t>46 - 50 - 30.84</t>
  </si>
  <si>
    <t>65 - 47 - 4.92</t>
  </si>
  <si>
    <t>47.2681944440001</t>
  </si>
  <si>
    <t>-65.106416667</t>
  </si>
  <si>
    <t>47 - 16 - 5.5</t>
  </si>
  <si>
    <t>65 - 6 - 23.1</t>
  </si>
  <si>
    <t>-68.091944444</t>
  </si>
  <si>
    <t>68 - 5 - 31.0</t>
  </si>
  <si>
    <t>47.415138889</t>
  </si>
  <si>
    <t>47 - 24 - 54.5</t>
  </si>
  <si>
    <t>46.1114166670001</t>
  </si>
  <si>
    <t>-64.777433333</t>
  </si>
  <si>
    <t>46 - 6 - 41.1</t>
  </si>
  <si>
    <t>64 - 46 - 38.76</t>
  </si>
  <si>
    <t>46.1404027780001</t>
  </si>
  <si>
    <t>46 - 8 - 25.45</t>
  </si>
  <si>
    <t>45.093072222</t>
  </si>
  <si>
    <t>-66.4552277779999</t>
  </si>
  <si>
    <t>45 - 5 - 35.06</t>
  </si>
  <si>
    <t>66 - 27 - 18.82</t>
  </si>
  <si>
    <t>46.1632333330001</t>
  </si>
  <si>
    <t>-64.5454583329999</t>
  </si>
  <si>
    <t>46 - 9 - 47.64</t>
  </si>
  <si>
    <t>64 - 32 - 43.65</t>
  </si>
  <si>
    <t>Scoudouc River Road, Paroisse de Shediac, Westmorland County, New Brunswick, Canada</t>
  </si>
  <si>
    <t>45.273688889</t>
  </si>
  <si>
    <t>-65.991330556</t>
  </si>
  <si>
    <t>45 - 16 - 25.28</t>
  </si>
  <si>
    <t>65 - 59 - 28.79</t>
  </si>
  <si>
    <t>3, Cottage Road, Grandview, City of Saint John, Saint John County, New Brunswick, E2J 4V9, Canada</t>
  </si>
  <si>
    <t>46.0957000000001</t>
  </si>
  <si>
    <t>-64.8219999999999</t>
  </si>
  <si>
    <t>46 - 5 - 44.52</t>
  </si>
  <si>
    <t>64 - 49 - 19.2</t>
  </si>
  <si>
    <t>46.143611111</t>
  </si>
  <si>
    <t>-64.902222222</t>
  </si>
  <si>
    <t>46 - 8 - 37.0</t>
  </si>
  <si>
    <t>64 - 54 - 8.0</t>
  </si>
  <si>
    <t>Timberline Road, Moncton Parish, Moncton, Westmorland County, New Brunswick, E1G 3H3, Canada</t>
  </si>
  <si>
    <t>45.9361500000001</t>
  </si>
  <si>
    <t>-66.6666861109999</t>
  </si>
  <si>
    <t>45 - 56 - 10.14</t>
  </si>
  <si>
    <t>66 - 40 - 0.07</t>
  </si>
  <si>
    <t>Promenade Arnold, Uptown, City of Fredericton, York County, New Brunswick, E3C 1A2, Canada</t>
  </si>
  <si>
    <t>45.978166667</t>
  </si>
  <si>
    <t>-66.708380556</t>
  </si>
  <si>
    <t>45 - 58 - 41.4</t>
  </si>
  <si>
    <t>66 - 42 - 30.17</t>
  </si>
  <si>
    <t>HopeCity, 429, Promenade Clements Drive, Regiment Creek, City of Fredericton, York County, New Brunswick, E3G 7J1, Canada</t>
  </si>
  <si>
    <t>45.8813000000001</t>
  </si>
  <si>
    <t>-66.580397222</t>
  </si>
  <si>
    <t>45 - 52 - 52.68</t>
  </si>
  <si>
    <t>66 - 34 - 49.43</t>
  </si>
  <si>
    <t>46.0929833330001</t>
  </si>
  <si>
    <t>-64.774630556</t>
  </si>
  <si>
    <t>46 - 5 - 34.74</t>
  </si>
  <si>
    <t>64 - 46 - 28.67</t>
  </si>
  <si>
    <t>Avenue Bellevue, Moncton Parish, Moncton, Westmorland County, New Brunswick, E1C 2J8, Canada</t>
  </si>
  <si>
    <t>45.5833361110001</t>
  </si>
  <si>
    <t>-65.794075</t>
  </si>
  <si>
    <t>45 - 35 - 0.01</t>
  </si>
  <si>
    <t>65 - 47 - 38.67</t>
  </si>
  <si>
    <t>Guthrie Road, Norton Parish, Village of Valley Waters, Kings County, New Brunswick, E5T 1Z8, Canada</t>
  </si>
  <si>
    <t>46.6033333330001</t>
  </si>
  <si>
    <t>-64.8199999999999</t>
  </si>
  <si>
    <t>46 - 36 - 12.0</t>
  </si>
  <si>
    <t>64 - 49 - 12.0</t>
  </si>
  <si>
    <t>46.0776666670001</t>
  </si>
  <si>
    <t>-64.8509722219999</t>
  </si>
  <si>
    <t>46 - 4 - 39.6</t>
  </si>
  <si>
    <t>64 - 51 - 3.5</t>
  </si>
  <si>
    <t>45.515833333</t>
  </si>
  <si>
    <t>-65.836388889</t>
  </si>
  <si>
    <t>45 - 30 - 57.0</t>
  </si>
  <si>
    <t>65 - 50 - 11.0</t>
  </si>
  <si>
    <t>Main Street, Hampton Parish, Town of Hampton, Kings County, New Brunswick, E5N 1Z0, Canada</t>
  </si>
  <si>
    <t>46.539819444</t>
  </si>
  <si>
    <t>-65.0618805559999</t>
  </si>
  <si>
    <t>46 - 32 - 23.35</t>
  </si>
  <si>
    <t>65 - 3 - 42.77</t>
  </si>
  <si>
    <t>Riverview Drive, Weldford Parish, Comté de Kent, New Brunswick, E4T 1X4, Canada</t>
  </si>
  <si>
    <t>45.6936055560001</t>
  </si>
  <si>
    <t>-66.1235972219999</t>
  </si>
  <si>
    <t>45 - 41 - 36.98</t>
  </si>
  <si>
    <t>66 - 7 - 24.95</t>
  </si>
  <si>
    <t>Route 102, Hampstead Parish, Village of Arcadia, Queens County, New Brunswick, Canada</t>
  </si>
  <si>
    <t>45.2732111110001</t>
  </si>
  <si>
    <t>-66.063258333</t>
  </si>
  <si>
    <t>45 - 16 - 23.56</t>
  </si>
  <si>
    <t>66 - 3 - 47.73</t>
  </si>
  <si>
    <t>Bown Chaisson &amp; Lemoine, Saint Patrick Street, Parker's Corner, Indiantown, City of Saint John, Saint John County, New Brunswick, E2L 1A2, Canada</t>
  </si>
  <si>
    <t>45.9646111110001</t>
  </si>
  <si>
    <t>-66.8630277779999</t>
  </si>
  <si>
    <t>45 - 57 - 52.6</t>
  </si>
  <si>
    <t>66 - 51 - 46.9</t>
  </si>
  <si>
    <t>45.680777778</t>
  </si>
  <si>
    <t>-66.453694444</t>
  </si>
  <si>
    <t>45 - 40 - 50.8</t>
  </si>
  <si>
    <t>66 - 27 - 13.3</t>
  </si>
  <si>
    <t>Tower 91, NB 7, Blissville Parish, Capital Region Rural District, Sunbury County, New Brunswick, Canada</t>
  </si>
  <si>
    <t>46.9117555560001</t>
  </si>
  <si>
    <t>-67.743336111</t>
  </si>
  <si>
    <t>46 - 54 - 42.32</t>
  </si>
  <si>
    <t>67 - 44 - 36.01</t>
  </si>
  <si>
    <t>California Settlement Road, Paroisse de Grand-Sault, Municipalité régionale de Grand-Sault, Victoria County, New Brunswick, Canada</t>
  </si>
  <si>
    <t>45.933516667</t>
  </si>
  <si>
    <t>-66.635719444</t>
  </si>
  <si>
    <t>45 - 56 - 0.66</t>
  </si>
  <si>
    <t>66 - 38 - 8.59</t>
  </si>
  <si>
    <t>141, Rue Woodbridge, Dunn's Crossing, Skyline Acres, City of Fredericton, York County, New Brunswick, E3B 6X5, Canada</t>
  </si>
  <si>
    <t>45.073222222</t>
  </si>
  <si>
    <t>-67.043708333</t>
  </si>
  <si>
    <t>45 - 4 - 23.6</t>
  </si>
  <si>
    <t>67 - 2 - 37.35</t>
  </si>
  <si>
    <t>Parr Street, Champlain Heights, Town of Saint Andrews, Charlotte County, New Brunswick, E5B 1Y6, Canada</t>
  </si>
  <si>
    <t>-65.2270861109999</t>
  </si>
  <si>
    <t>65 - 13 - 37.51</t>
  </si>
  <si>
    <t>47.639219444</t>
  </si>
  <si>
    <t>-65.7361333329999</t>
  </si>
  <si>
    <t>47 - 38 - 21.19</t>
  </si>
  <si>
    <t>65 - 44 - 10.08</t>
  </si>
  <si>
    <t>Scenic Drive, Bathurst Parish, Comté de Gloucester, New Brunswick, E2A 5B7, Canada</t>
  </si>
  <si>
    <t>45.8706361110001</t>
  </si>
  <si>
    <t>-66.580475</t>
  </si>
  <si>
    <t>45 - 52 - 14.29</t>
  </si>
  <si>
    <t>66 - 34 - 49.71</t>
  </si>
  <si>
    <t>45.884561111</t>
  </si>
  <si>
    <t>-66.688872222</t>
  </si>
  <si>
    <t>45 - 53 - 4.42</t>
  </si>
  <si>
    <t>66 - 41 - 19.94</t>
  </si>
  <si>
    <t>525, New Maryland Highway, Highland Acres, New Maryland Parish, York County, New Brunswick, E3C 2H6, Canada</t>
  </si>
  <si>
    <t>47.510158333</t>
  </si>
  <si>
    <t>-64.924894444</t>
  </si>
  <si>
    <t>47 - 30 - 36.57</t>
  </si>
  <si>
    <t>64 - 55 - 29.62</t>
  </si>
  <si>
    <t>46.8225277780001</t>
  </si>
  <si>
    <t>-64.935777778</t>
  </si>
  <si>
    <t>46 - 49 - 21.1</t>
  </si>
  <si>
    <t>64 - 56 - 8.8</t>
  </si>
  <si>
    <t>1-42, Paroisse de Carleton, Comté de Kent, New Brunswick, Canada</t>
  </si>
  <si>
    <t>47.887138889</t>
  </si>
  <si>
    <t>-65.979219444</t>
  </si>
  <si>
    <t>47 - 53 - 13.7</t>
  </si>
  <si>
    <t>65 - 58 - 45.19</t>
  </si>
  <si>
    <t>Route 11, Belledune, New Brunswick, E8G 1T0, Canada</t>
  </si>
  <si>
    <t>47.3587555560001</t>
  </si>
  <si>
    <t>-68.243088889</t>
  </si>
  <si>
    <t>47 - 21 - 31.52</t>
  </si>
  <si>
    <t>68 - 14 - 35.12</t>
  </si>
  <si>
    <t>581, Rue Principale, Ville d'Edmundston, Comté de Madawaska, New Brunswick, E7C 1E4, Canada</t>
  </si>
  <si>
    <t>47.6312722220001</t>
  </si>
  <si>
    <t>-65.743625</t>
  </si>
  <si>
    <t>47 - 37 - 52.58</t>
  </si>
  <si>
    <t>65 - 44 - 37.05</t>
  </si>
  <si>
    <t>Bathurst (ZBF), Road to Resources, Bathurst Parish, Comté de Gloucester, New Brunswick, E2A 7C2, Canada</t>
  </si>
  <si>
    <t>47.694969444</t>
  </si>
  <si>
    <t>-65.702830556</t>
  </si>
  <si>
    <t>47 - 41 - 41.89</t>
  </si>
  <si>
    <t>65 - 42 - 10.19</t>
  </si>
  <si>
    <t>Rue Principale, Paroisse de Beresford, Comté de Gloucester, New Brunswick, E8K 1H2, Canada</t>
  </si>
  <si>
    <t>46.1186083330001</t>
  </si>
  <si>
    <t>-66.774441667</t>
  </si>
  <si>
    <t>46 - 7 - 6.99</t>
  </si>
  <si>
    <t>66 - 46 - 27.99</t>
  </si>
  <si>
    <t>Fox FM 105.3; Capital FM 106.9, Royal Road, Estey's Bridge, Douglas Parish, Central York Rural Community, York County, New Brunswick, Canada</t>
  </si>
  <si>
    <t>45.853497222</t>
  </si>
  <si>
    <t>-66.5696027779999</t>
  </si>
  <si>
    <t>45 - 51 - 12.59</t>
  </si>
  <si>
    <t>66 - 34 - 10.57</t>
  </si>
  <si>
    <t>Chapperal Road, Lincoln Parish, Sunbury-York South Rural Community, Sunbury County, New Brunswick, E3B 9E1, Canada</t>
  </si>
  <si>
    <t>45.9606805560001</t>
  </si>
  <si>
    <t>-66.641361111</t>
  </si>
  <si>
    <t>45 - 57 - 38.45</t>
  </si>
  <si>
    <t>66 - 38 - 28.9</t>
  </si>
  <si>
    <t>RBC, Rue King Street, Garrison District, Downtown, City of Fredericton, York County, New Brunswick, E3B 3T9, Canada</t>
  </si>
  <si>
    <t>45.8422</t>
  </si>
  <si>
    <t>-66.0513999999999</t>
  </si>
  <si>
    <t>45 - 50 - 31.92</t>
  </si>
  <si>
    <t>66 - 3 - 5.04</t>
  </si>
  <si>
    <t>45.2502500000001</t>
  </si>
  <si>
    <t>-66.0996</t>
  </si>
  <si>
    <t>45 - 15 - 0.9</t>
  </si>
  <si>
    <t>66 - 5 - 58.56</t>
  </si>
  <si>
    <t>885, Fairville Boulevard, Greendale, Purdys Corner, City of Saint John, Saint John County, New Brunswick, E5K 1Z1, Canada</t>
  </si>
  <si>
    <t>45.8958305560001</t>
  </si>
  <si>
    <t>-66.5916694439999</t>
  </si>
  <si>
    <t>45 - 53 - 44.99</t>
  </si>
  <si>
    <t>66 - 35 - 30.01</t>
  </si>
  <si>
    <t>-67.9028</t>
  </si>
  <si>
    <t>67 - 54 - 10.08</t>
  </si>
  <si>
    <t>-65.735277778</t>
  </si>
  <si>
    <t>65 - 44 - 7.0</t>
  </si>
  <si>
    <t>47.9944</t>
  </si>
  <si>
    <t>-66.7053</t>
  </si>
  <si>
    <t>47 - 59 - 39.84</t>
  </si>
  <si>
    <t>66 - 42 - 19.08</t>
  </si>
  <si>
    <t>46.51</t>
  </si>
  <si>
    <t>46 - 30 - 36.0</t>
  </si>
  <si>
    <t>46.0894666670001</t>
  </si>
  <si>
    <t>-64.773652778</t>
  </si>
  <si>
    <t>46 - 5 - 22.08</t>
  </si>
  <si>
    <t>64 - 46 - 25.15</t>
  </si>
  <si>
    <t>Residence Inn, 600, Main Street, Moncton Parish, Moncton, Westmorland County, New Brunswick, E1C 0M6, Canada</t>
  </si>
  <si>
    <t>45.92465</t>
  </si>
  <si>
    <t>-67.1215861109999</t>
  </si>
  <si>
    <t>45 - 55 - 28.74</t>
  </si>
  <si>
    <t>67 - 7 - 17.71</t>
  </si>
  <si>
    <t>Dumfries Parish, Capital Region Rural District, York County, New Brunswick, E6G 1R1, Canada</t>
  </si>
  <si>
    <t>-66.6425</t>
  </si>
  <si>
    <t>66 - 38 - 33.0</t>
  </si>
  <si>
    <t>46.385291667</t>
  </si>
  <si>
    <t>-64.665280556</t>
  </si>
  <si>
    <t>46 - 23 - 7.05</t>
  </si>
  <si>
    <t>64 - 39 - 55.01</t>
  </si>
  <si>
    <t>45.680444444</t>
  </si>
  <si>
    <t>-67.052666667</t>
  </si>
  <si>
    <t>45 - 40 - 49.6</t>
  </si>
  <si>
    <t>67 - 3 - 9.6</t>
  </si>
  <si>
    <t>Route 3, Manners Sutton Parish, Harvey Rural Community, York County, New Brunswick, E6K 1P3, Canada</t>
  </si>
  <si>
    <t>47.3610555560001</t>
  </si>
  <si>
    <t>-68.3386944439999</t>
  </si>
  <si>
    <t>47 - 21 - 39.8</t>
  </si>
  <si>
    <t>68 - 20 - 19.3</t>
  </si>
  <si>
    <t>Edmundston Yard, Rue Saint-François, Paroisse de Madawaska, Ville d'Edmundston, Comté de Madawaska, New Brunswick, E3V 1G4, Canada</t>
  </si>
  <si>
    <t>45.9352777780001</t>
  </si>
  <si>
    <t>-64.467777778</t>
  </si>
  <si>
    <t>45 - 56 - 7.0</t>
  </si>
  <si>
    <t>64 - 28 - 4.0</t>
  </si>
  <si>
    <t>47.3610833330001</t>
  </si>
  <si>
    <t>-68.338888889</t>
  </si>
  <si>
    <t>47 - 21 - 39.9</t>
  </si>
  <si>
    <t>68 - 20 - 20.0</t>
  </si>
  <si>
    <t>46.081361111</t>
  </si>
  <si>
    <t>-64.848416667</t>
  </si>
  <si>
    <t>46 - 4 - 52.9</t>
  </si>
  <si>
    <t>64 - 50 - 54.3</t>
  </si>
  <si>
    <t>45.3333138890001</t>
  </si>
  <si>
    <t>-65.9139472219999</t>
  </si>
  <si>
    <t>45 - 19 - 59.93</t>
  </si>
  <si>
    <t>65 - 54 - 50.21</t>
  </si>
  <si>
    <t>3586, Loch Lomond Road, City of Saint John, Saint John County, New Brunswick, E2N 1C4, Canada</t>
  </si>
  <si>
    <t>45.9791777780001</t>
  </si>
  <si>
    <t>-66.6595972219999</t>
  </si>
  <si>
    <t>45 - 58 - 45.04</t>
  </si>
  <si>
    <t>66 - 39 - 34.55</t>
  </si>
  <si>
    <t>Avenue Johnston Avenue, Nashwaaksis Plaza, Nashwaaksis, City of Fredericton, York County, New Brunswick, E3A 9N6, Canada</t>
  </si>
  <si>
    <t>46.6288888890001</t>
  </si>
  <si>
    <t>-67.780280556</t>
  </si>
  <si>
    <t>46 - 37 - 44.0</t>
  </si>
  <si>
    <t>67 - 46 - 49.01</t>
  </si>
  <si>
    <t>Blue Hill Road, Andover Parish, Western Valley Rural District, Victoria County, New Brunswick, Canada</t>
  </si>
  <si>
    <t>47.451111111</t>
  </si>
  <si>
    <t>-68.3853333329999</t>
  </si>
  <si>
    <t>47 - 27 - 4.0</t>
  </si>
  <si>
    <t>68 - 23 - 7.2</t>
  </si>
  <si>
    <t>46.4091666670001</t>
  </si>
  <si>
    <t>-66.915555556</t>
  </si>
  <si>
    <t>46 - 24 - 33.0</t>
  </si>
  <si>
    <t>66 - 54 - 56.0</t>
  </si>
  <si>
    <t>Napadogan, Douglas Parish, Nashwaak Rural Community, York County, New Brunswick, Canada</t>
  </si>
  <si>
    <t>47.0008333330001</t>
  </si>
  <si>
    <t>-67.592222222</t>
  </si>
  <si>
    <t>47 - 0 - 3.0</t>
  </si>
  <si>
    <t>67 - 35 - 32.0</t>
  </si>
  <si>
    <t>Foley Brook Road, New Denmark, Paroisse de Denmark, Western Valley Rural District, Victoria County, New Brunswick, E7G 2T2, Canada</t>
  </si>
  <si>
    <t>46.071888889</t>
  </si>
  <si>
    <t>46 - 4 - 18.8</t>
  </si>
  <si>
    <t>46.1506666670001</t>
  </si>
  <si>
    <t>-66.042333333</t>
  </si>
  <si>
    <t>46 - 9 - 2.4</t>
  </si>
  <si>
    <t>66 - 2 - 32.4</t>
  </si>
  <si>
    <t>45.8116444440001</t>
  </si>
  <si>
    <t>-67.578583333</t>
  </si>
  <si>
    <t>45 - 48 - 41.92</t>
  </si>
  <si>
    <t>67 - 34 - 42.9</t>
  </si>
  <si>
    <t>VE9IRG 145.370-, Tower Road, Canterbury Parish, Municipality of Lakeland Ridges, York County, New Brunswick, Canada</t>
  </si>
  <si>
    <t>45.6115722220001</t>
  </si>
  <si>
    <t>-65.98425</t>
  </si>
  <si>
    <t>45 - 36 - 41.66</t>
  </si>
  <si>
    <t>65 - 59 - 3.3</t>
  </si>
  <si>
    <t>Route 705, Kars Parish, Village of Valley Waters, Kings County, New Brunswick, E5T 3T4, Canada</t>
  </si>
  <si>
    <t>46.7539</t>
  </si>
  <si>
    <t>-67.7112611109999</t>
  </si>
  <si>
    <t>46 - 45 - 14.04</t>
  </si>
  <si>
    <t>67 - 42 - 40.54</t>
  </si>
  <si>
    <t>7, Industrial Park Crescent, Perth-Andover, Andover Parish, Village of Southern Victoria, Victoria County, New Brunswick, E7H 2B9, Canada</t>
  </si>
  <si>
    <t>-64.901108333</t>
  </si>
  <si>
    <t>64 - 54 - 3.99</t>
  </si>
  <si>
    <t>46.026852778</t>
  </si>
  <si>
    <t>-66.696980556</t>
  </si>
  <si>
    <t>46 - 1 - 36.67</t>
  </si>
  <si>
    <t>66 - 41 - 49.13</t>
  </si>
  <si>
    <t>McLeod Hill Road, Estey's Bridge, Douglas Parish, Central York Rural Community, York County, New Brunswick, E3A 6M9, Canada</t>
  </si>
  <si>
    <t>46.090408333</t>
  </si>
  <si>
    <t>-64.7721999999999</t>
  </si>
  <si>
    <t>46 - 5 - 25.47</t>
  </si>
  <si>
    <t>64 - 46 - 19.92</t>
  </si>
  <si>
    <t>Rue Steadman, Moncton Parish, Moncton, Westmorland County, New Brunswick, E1C 8L9, Canada</t>
  </si>
  <si>
    <t>45.268466667</t>
  </si>
  <si>
    <t>-66.059833333</t>
  </si>
  <si>
    <t>45 - 16 - 6.48</t>
  </si>
  <si>
    <t>66 - 3 - 35.4</t>
  </si>
  <si>
    <t>30, Queen Street, Parker's Corner, Indiantown, City of Saint John, Saint John County, New Brunswick, E2L 2B7, Canada</t>
  </si>
  <si>
    <t>45.990908333</t>
  </si>
  <si>
    <t>-66.766888889</t>
  </si>
  <si>
    <t>45 - 59 - 27.27</t>
  </si>
  <si>
    <t>66 - 46 - 0.8</t>
  </si>
  <si>
    <t>Island View Drive, Douglas, City of Fredericton, York County, New Brunswick, Canada</t>
  </si>
  <si>
    <t>46.2227777780001</t>
  </si>
  <si>
    <t>-64.5393999999999</t>
  </si>
  <si>
    <t>46 - 13 - 22.0</t>
  </si>
  <si>
    <t>64 - 32 - 21.84</t>
  </si>
  <si>
    <t>46.448755556</t>
  </si>
  <si>
    <t>-67.613783333</t>
  </si>
  <si>
    <t>46 - 26 - 55.52</t>
  </si>
  <si>
    <t>67 - 36 - 49.62</t>
  </si>
  <si>
    <t>Main Street, McCain Heights, East Florenceville, Florenceville-Bristol, Peel Parish, District of Carleton North, Carleton County, New Brunswick, E7L 3G2, Canada</t>
  </si>
  <si>
    <t>45.272169444</t>
  </si>
  <si>
    <t>-66.0616805559999</t>
  </si>
  <si>
    <t>45 - 16 - 19.81</t>
  </si>
  <si>
    <t>66 - 3 - 42.05</t>
  </si>
  <si>
    <t>Church Street Steakhouse, 10, Grannan Street, Parker's Corner, Indiantown, City of Saint John, Saint John County, New Brunswick, E2L 2C5, Canada</t>
  </si>
  <si>
    <t>45.255938889</t>
  </si>
  <si>
    <t>-66.0934861109999</t>
  </si>
  <si>
    <t>45 - 15 - 21.38</t>
  </si>
  <si>
    <t>66 - 5 - 36.55</t>
  </si>
  <si>
    <t>Fairville Boulevard, Simms Corner, Saint John West, City of Saint John, Saint John County, New Brunswick, E2M 3N4, Canada</t>
  </si>
  <si>
    <t>45.9844555560001</t>
  </si>
  <si>
    <t>-66.656888889</t>
  </si>
  <si>
    <t>45 - 59 - 4.04</t>
  </si>
  <si>
    <t>66 - 39 - 24.8</t>
  </si>
  <si>
    <t>165, Brookside Drive, Royal Road, Nashwaaksis, City of Fredericton, York County, New Brunswick, E3A 9N6, Canada</t>
  </si>
  <si>
    <t>45.2680333330001</t>
  </si>
  <si>
    <t>-66.0820138889999</t>
  </si>
  <si>
    <t>45 - 16 - 4.92</t>
  </si>
  <si>
    <t>66 - 4 - 55.25</t>
  </si>
  <si>
    <t>45.4175111110001</t>
  </si>
  <si>
    <t>-65.952691667</t>
  </si>
  <si>
    <t>45 - 25 - 3.04</t>
  </si>
  <si>
    <t>65 - 57 - 9.69</t>
  </si>
  <si>
    <t>Quispamsis Memorial Arena, 350, Hampton Road, Rothesay Parish, Town of Quispamsis, Kings County, New Brunswick, E2E 4N1, Canada</t>
  </si>
  <si>
    <t>46.0506972220001</t>
  </si>
  <si>
    <t>-65.0617</t>
  </si>
  <si>
    <t>46 - 3 - 2.51</t>
  </si>
  <si>
    <t>65 - 3 - 42.12</t>
  </si>
  <si>
    <t>Irving Big Stop, 2986, Fredericton Road, Salisbury Parish, Westmorland County, New Brunswick, E4J 2G1, Canada</t>
  </si>
  <si>
    <t>45.9606694440001</t>
  </si>
  <si>
    <t>-64.1918777779999</t>
  </si>
  <si>
    <t>45 - 57 - 38.41</t>
  </si>
  <si>
    <t>64 - 11 - 30.76</t>
  </si>
  <si>
    <t>46.5340194440001</t>
  </si>
  <si>
    <t>-67.3033583329999</t>
  </si>
  <si>
    <t>46 - 32 - 2.47</t>
  </si>
  <si>
    <t>67 - 18 - 12.09</t>
  </si>
  <si>
    <t>Aberdeen Parish, District of Carleton North, Carleton County, New Brunswick, B3L 4G7, Canada</t>
  </si>
  <si>
    <t>-66.2413999999999</t>
  </si>
  <si>
    <t>66 - 14 - 29.04</t>
  </si>
  <si>
    <t>47.9025</t>
  </si>
  <si>
    <t>-66.1086</t>
  </si>
  <si>
    <t>47 - 54 - 9.0</t>
  </si>
  <si>
    <t>66 - 6 - 30.96</t>
  </si>
  <si>
    <t>Lorne Road, Lorne, Durham Parish, New Brunswick, E3N 2G0, Canada</t>
  </si>
  <si>
    <t>46.1057777780001</t>
  </si>
  <si>
    <t>-66.047611111</t>
  </si>
  <si>
    <t>46 - 6 - 20.8</t>
  </si>
  <si>
    <t>66 - 2 - 51.4</t>
  </si>
  <si>
    <t>Lindon Way, Northfield Parish, Municipality of Grand Lake, Sunbury County, New Brunswick, E4B 2V6, Canada</t>
  </si>
  <si>
    <t>45.2535111110001</t>
  </si>
  <si>
    <t>-66.0802805559999</t>
  </si>
  <si>
    <t>45 - 15 - 12.64</t>
  </si>
  <si>
    <t>66 - 4 - 49.01</t>
  </si>
  <si>
    <t>45.4276305560001</t>
  </si>
  <si>
    <t>-65.96635</t>
  </si>
  <si>
    <t>45 - 25 - 39.47</t>
  </si>
  <si>
    <t>65 - 57 - 58.86</t>
  </si>
  <si>
    <t>45.777661111</t>
  </si>
  <si>
    <t>-65.318988889</t>
  </si>
  <si>
    <t>45 - 46 - 39.58</t>
  </si>
  <si>
    <t>65 - 19 - 8.36</t>
  </si>
  <si>
    <t>Cardwell Parish, Kings Rural District, Kings County, New Brunswick, Canada</t>
  </si>
  <si>
    <t>45.9003222220001</t>
  </si>
  <si>
    <t>-66.591319444</t>
  </si>
  <si>
    <t>45 - 54 - 1.16</t>
  </si>
  <si>
    <t>66 - 35 - 28.75</t>
  </si>
  <si>
    <t>165, Urquhart Crescent, Lincoln, City of Fredericton, Sunbury County, New Brunswick, E3B 0E3, Canada</t>
  </si>
  <si>
    <t>47.3636388890001</t>
  </si>
  <si>
    <t>-68.327805556</t>
  </si>
  <si>
    <t>47 - 21 - 49.1</t>
  </si>
  <si>
    <t>68 - 19 - 40.1</t>
  </si>
  <si>
    <t>46.1265333330001</t>
  </si>
  <si>
    <t>-64.8674833329999</t>
  </si>
  <si>
    <t>46 - 7 - 35.52</t>
  </si>
  <si>
    <t>64 - 52 - 2.94</t>
  </si>
  <si>
    <t>Mountain Road, Hildegarde, Moncton Parish, Moncton, Westmorland County, New Brunswick, E1G 1B4, Canada</t>
  </si>
  <si>
    <t>47.6506805560001</t>
  </si>
  <si>
    <t>-67.342580556</t>
  </si>
  <si>
    <t>47 - 39 - 2.45</t>
  </si>
  <si>
    <t>67 - 20 - 33.29</t>
  </si>
  <si>
    <t>Rue Léopold, Kedgwick, Paroisse de Grimmer, New Brunswick, E8B 1H2, Canada</t>
  </si>
  <si>
    <t>46.1042333330001</t>
  </si>
  <si>
    <t>-64.7378555559999</t>
  </si>
  <si>
    <t>46 - 6 - 15.24</t>
  </si>
  <si>
    <t>64 - 44 - 16.28</t>
  </si>
  <si>
    <t>46.077194444</t>
  </si>
  <si>
    <t>-64.854472222</t>
  </si>
  <si>
    <t>46 - 4 - 37.9</t>
  </si>
  <si>
    <t>64 - 51 - 16.1</t>
  </si>
  <si>
    <t>46.096391667</t>
  </si>
  <si>
    <t>-64.74355</t>
  </si>
  <si>
    <t>46 - 5 - 47.01</t>
  </si>
  <si>
    <t>64 - 44 - 36.78</t>
  </si>
  <si>
    <t>Domino's, 305, Rue Champlain, Moncton Parish, Dieppe, Westmorland County, New Brunswick, E1A 1P2, Canada</t>
  </si>
  <si>
    <t>45.813688889</t>
  </si>
  <si>
    <t>-65.0393</t>
  </si>
  <si>
    <t>45 - 48 - 49.28</t>
  </si>
  <si>
    <t>65 - 2 - 21.48</t>
  </si>
  <si>
    <t>Harrison Mountain Road, Elgin Parish, Albert County, New Brunswick, Canada</t>
  </si>
  <si>
    <t>46.047480556</t>
  </si>
  <si>
    <t>-64.096522222</t>
  </si>
  <si>
    <t>46 - 2 - 50.93</t>
  </si>
  <si>
    <t>64 - 5 - 47.48</t>
  </si>
  <si>
    <t>Moore Road, Westmorland Parish, Westmorland County, New Brunswick, E4M 2E6, Canada</t>
  </si>
  <si>
    <t>45.453505556</t>
  </si>
  <si>
    <t>-66.1564083329999</t>
  </si>
  <si>
    <t>45 - 27 - 12.62</t>
  </si>
  <si>
    <t>66 - 9 - 23.07</t>
  </si>
  <si>
    <t>Daigle Street, Greenwich Parish, Fundy Rural District, Kings County, New Brunswick, E5M 2P1, Canada</t>
  </si>
  <si>
    <t>45.1976111110001</t>
  </si>
  <si>
    <t>-66.2039</t>
  </si>
  <si>
    <t>45 - 11 - 51.4</t>
  </si>
  <si>
    <t>66 - 12 - 14.04</t>
  </si>
  <si>
    <t>1640, Burchill Road, City of Saint John, Saint John County, New Brunswick, E2M 7E6, Canada</t>
  </si>
  <si>
    <t>47.0411111110001</t>
  </si>
  <si>
    <t>-67.7197305559999</t>
  </si>
  <si>
    <t>47 - 2 - 28.0</t>
  </si>
  <si>
    <t>67 - 43 - 11.03</t>
  </si>
  <si>
    <t>Chemin McManus, Hennigar Corner, Paroisse de Drummond, Victoria County, New Brunswick, E3Y 1B5, Canada</t>
  </si>
  <si>
    <t>47.003052778</t>
  </si>
  <si>
    <t>-65.541458333</t>
  </si>
  <si>
    <t>47 - 0 - 10.99</t>
  </si>
  <si>
    <t>65 - 32 - 29.25</t>
  </si>
  <si>
    <t>Miramichi Regional Hospital, Water Street, Chatham Head, Paroisse de Chatham, City of Miramichi, Northumberland County, New Brunswick, E1V 5L7, Canada</t>
  </si>
  <si>
    <t>45.3877000000001</t>
  </si>
  <si>
    <t>-65.9971138889999</t>
  </si>
  <si>
    <t>45 - 23 - 15.72</t>
  </si>
  <si>
    <t>65 - 59 - 49.61</t>
  </si>
  <si>
    <t>Rothesay Park Miller School, Gondola Point Road, Rothesay Parish, Town of Rothesay, Kings County, New Brunswick, E2E 5X7, Canada</t>
  </si>
  <si>
    <t>46.0625250000001</t>
  </si>
  <si>
    <t>-64.7958166669999</t>
  </si>
  <si>
    <t>46 - 3 - 45.09</t>
  </si>
  <si>
    <t>64 - 47 - 44.94</t>
  </si>
  <si>
    <t>Riverview Middle School, 45, Devere Road, Riverview, Albert County, New Brunswick, E1B 2M4, Canada</t>
  </si>
  <si>
    <t>45.2866083330001</t>
  </si>
  <si>
    <t>-66.01075</t>
  </si>
  <si>
    <t>45 - 17 - 11.79</t>
  </si>
  <si>
    <t>66 - 0 - 38.7</t>
  </si>
  <si>
    <t>Creighton Avenue, Champlain Heights (North), City of Saint John, Saint John County, New Brunswick, E2J 3E4, Canada</t>
  </si>
  <si>
    <t>45.9419</t>
  </si>
  <si>
    <t>-66.633880556</t>
  </si>
  <si>
    <t>45 - 56 - 30.84</t>
  </si>
  <si>
    <t>66 - 38 - 1.97</t>
  </si>
  <si>
    <t>73, Forest Hill Road, Salamanca, Forest Hills, City of Fredericton, York County, New Brunswick, E3B 5A3, Canada</t>
  </si>
  <si>
    <t>46.1288222220001</t>
  </si>
  <si>
    <t>-64.752411111</t>
  </si>
  <si>
    <t>46 - 7 - 43.76</t>
  </si>
  <si>
    <t>64 - 45 - 8.68</t>
  </si>
  <si>
    <t>Urquhart Avenue, Moncton Parish, Moncton, Westmorland County, New Brunswick, E1G 2Z8, Canada</t>
  </si>
  <si>
    <t>47.747519444</t>
  </si>
  <si>
    <t>-65.076477778</t>
  </si>
  <si>
    <t>47 - 44 - 51.07</t>
  </si>
  <si>
    <t>65 - 4 - 35.32</t>
  </si>
  <si>
    <t>Boulevard des Acadiens, Paroisse de Caraquet, Comté de Gloucester, New Brunswick, Canada</t>
  </si>
  <si>
    <t>45.8293972220001</t>
  </si>
  <si>
    <t>-65.7479999999999</t>
  </si>
  <si>
    <t>45 - 49 - 45.83</t>
  </si>
  <si>
    <t>65 - 44 - 52.8</t>
  </si>
  <si>
    <t>46.067005556</t>
  </si>
  <si>
    <t>-64.796169444</t>
  </si>
  <si>
    <t>46 - 4 - 1.22</t>
  </si>
  <si>
    <t>64 - 47 - 46.21</t>
  </si>
  <si>
    <t>Downey Avenue, Coverdale Parish, Albert County, New Brunswick, E1B 3J5, Canada</t>
  </si>
  <si>
    <t>45.2793500000001</t>
  </si>
  <si>
    <t>-66.057636111</t>
  </si>
  <si>
    <t>45 - 16 - 45.66</t>
  </si>
  <si>
    <t>66 - 3 - 27.49</t>
  </si>
  <si>
    <t>Saint Joseph's Hospital, 130, Bayard Drive, City of Saint John, Saint John County, New Brunswick, E2L 3L6, Canada</t>
  </si>
  <si>
    <t>46.0996805560001</t>
  </si>
  <si>
    <t>-64.790486111</t>
  </si>
  <si>
    <t>46 - 5 - 58.85</t>
  </si>
  <si>
    <t>64 - 47 - 25.75</t>
  </si>
  <si>
    <t>Portledge Avenue, Moncton Parish, Moncton, Westmorland County, New Brunswick, E1C 2Z3, Canada</t>
  </si>
  <si>
    <t>46.1100500000001</t>
  </si>
  <si>
    <t>-64.825958333</t>
  </si>
  <si>
    <t>46 - 6 - 36.18</t>
  </si>
  <si>
    <t>64 - 49 - 33.45</t>
  </si>
  <si>
    <t>34, Fairlane Drive, Moncton Parish, Moncton, Westmorland County, New Brunswick, E1C 0G4, Canada</t>
  </si>
  <si>
    <t>46.0972555560001</t>
  </si>
  <si>
    <t>-64.777325</t>
  </si>
  <si>
    <t>46 - 5 - 50.12</t>
  </si>
  <si>
    <t>64 - 46 - 38.37</t>
  </si>
  <si>
    <t>Botsford Street Station #3, 299, Botsford Street, Moncton Parish, Moncton, Westmorland County, New Brunswick, E1C 4X9, Canada</t>
  </si>
  <si>
    <t>46.1138</t>
  </si>
  <si>
    <t>-64.827483333</t>
  </si>
  <si>
    <t>46 - 6 - 49.68</t>
  </si>
  <si>
    <t>64 - 49 - 38.94</t>
  </si>
  <si>
    <t>boulevard Plaza Boulevard, Moncton Parish, Moncton, Westmorland County, New Brunswick, E1C 0G4, Canada</t>
  </si>
  <si>
    <t>46.276627778</t>
  </si>
  <si>
    <t>-66.7463999999999</t>
  </si>
  <si>
    <t>46 - 16 - 35.86</t>
  </si>
  <si>
    <t>66 - 44 - 47.04</t>
  </si>
  <si>
    <t>Bell Canada Stanley STNLNBSCRS0, 29, Limekiln Road, Stanley, Stanley Parish, Nashwaak Rural Community, York County, New Brunswick, E6B 2C7, Canada</t>
  </si>
  <si>
    <t>46.0714472220001</t>
  </si>
  <si>
    <t>-64.768658333</t>
  </si>
  <si>
    <t>46 - 4 - 17.21</t>
  </si>
  <si>
    <t>64 - 46 - 7.17</t>
  </si>
  <si>
    <t>NAV Canada - Moncton Area Control Centre, 222, Old Coach Road, Gunningsville, Riverview, Albert County, New Brunswick, E1B 1J1, Canada</t>
  </si>
  <si>
    <t>45.680508333</t>
  </si>
  <si>
    <t>-67.052422222</t>
  </si>
  <si>
    <t>45 - 40 - 49.83</t>
  </si>
  <si>
    <t>67 - 3 - 8.72</t>
  </si>
  <si>
    <t>45.8113805560001</t>
  </si>
  <si>
    <t>-67.578327778</t>
  </si>
  <si>
    <t>45 - 48 - 40.97</t>
  </si>
  <si>
    <t>67 - 34 - 41.98</t>
  </si>
  <si>
    <t>128, Tower Road, Canterbury Parish, Municipality of Lakeland Ridges, York County, New Brunswick, Canada</t>
  </si>
  <si>
    <t>46.115363889</t>
  </si>
  <si>
    <t>-64.772919444</t>
  </si>
  <si>
    <t>46 - 6 - 55.31</t>
  </si>
  <si>
    <t>64 - 46 - 22.51</t>
  </si>
  <si>
    <t>46.125194444</t>
  </si>
  <si>
    <t>-64.678825</t>
  </si>
  <si>
    <t>46 - 7 - 30.7</t>
  </si>
  <si>
    <t>64 - 40 - 43.77</t>
  </si>
  <si>
    <t>Moncton Acura, 1170, Avenue Aviation, Moncton Parish, Dieppe, Westmorland County, New Brunswick, E1A 9A3, Canada</t>
  </si>
  <si>
    <t>45.9854</t>
  </si>
  <si>
    <t>-66.697016667</t>
  </si>
  <si>
    <t>45 - 59 - 7.44</t>
  </si>
  <si>
    <t>66 - 41 - 49.26</t>
  </si>
  <si>
    <t>246, Chemin Claudie Road, Regiment Creek, City of Fredericton, York County, New Brunswick, E3G 7J1, Canada</t>
  </si>
  <si>
    <t>46.1355611110001</t>
  </si>
  <si>
    <t>-64.736580556</t>
  </si>
  <si>
    <t>46 - 8 - 8.02</t>
  </si>
  <si>
    <t>64 - 44 - 11.69</t>
  </si>
  <si>
    <t>Parsons Street, Moncton Parish, Moncton, Westmorland County, New Brunswick, E1H 3L9, Canada</t>
  </si>
  <si>
    <t>45.312575</t>
  </si>
  <si>
    <t>-65.965594444</t>
  </si>
  <si>
    <t>45 - 18 - 45.27</t>
  </si>
  <si>
    <t>65 - 57 - 56.14</t>
  </si>
  <si>
    <t>46.0930555560001</t>
  </si>
  <si>
    <t>-63.961666667</t>
  </si>
  <si>
    <t>46 - 5 - 35.0</t>
  </si>
  <si>
    <t>63 - 57 - 42.0</t>
  </si>
  <si>
    <t>46.1188888890001</t>
  </si>
  <si>
    <t>-64.8419388889999</t>
  </si>
  <si>
    <t>46 - 7 - 8.0</t>
  </si>
  <si>
    <t>64 - 50 - 30.98</t>
  </si>
  <si>
    <t>45.8944000000001</t>
  </si>
  <si>
    <t>-65.909538889</t>
  </si>
  <si>
    <t>45 - 53 - 39.84</t>
  </si>
  <si>
    <t>65 - 54 - 34.34</t>
  </si>
  <si>
    <t>Old McGarity Road, Johnston Parish, Butternut Valley Rural Community, Queens County, New Brunswick, Canada</t>
  </si>
  <si>
    <t>-65.2153</t>
  </si>
  <si>
    <t>65 - 12 - 55.08</t>
  </si>
  <si>
    <t>47.615388889</t>
  </si>
  <si>
    <t>-65.6129722219999</t>
  </si>
  <si>
    <t>47 - 36 - 55.4</t>
  </si>
  <si>
    <t>65 - 36 - 46.7</t>
  </si>
  <si>
    <t>44.7102611110001</t>
  </si>
  <si>
    <t>-66.746622222</t>
  </si>
  <si>
    <t>44 - 42 - 36.94</t>
  </si>
  <si>
    <t>66 - 44 - 47.84</t>
  </si>
  <si>
    <t>46.9785000000001</t>
  </si>
  <si>
    <t>-67.512666667</t>
  </si>
  <si>
    <t>46 - 58 - 42.6</t>
  </si>
  <si>
    <t>67 - 30 - 45.6</t>
  </si>
  <si>
    <t>45.8521500000001</t>
  </si>
  <si>
    <t>-66.4742138889999</t>
  </si>
  <si>
    <t>45 - 51 - 7.74</t>
  </si>
  <si>
    <t>66 - 28 - 27.17</t>
  </si>
  <si>
    <t>TD Canada Trust, Onondaga Street, Burton Parish, Sunbury County, New Brunswick, E2V 4M4, Canada</t>
  </si>
  <si>
    <t>46.7675194440001</t>
  </si>
  <si>
    <t>-65.859447222</t>
  </si>
  <si>
    <t>46 - 46 - 3.07</t>
  </si>
  <si>
    <t>65 - 51 - 34.01</t>
  </si>
  <si>
    <t>Lockstead Road, Blackville, Blackville Parish, Rural Community of Miramichi River Valley, Northumberland County, New Brunswick, E9B 1S9, Canada</t>
  </si>
  <si>
    <t>47.3611111110001</t>
  </si>
  <si>
    <t>-68.338583333</t>
  </si>
  <si>
    <t>47 - 21 - 40.0</t>
  </si>
  <si>
    <t>68 - 20 - 18.9</t>
  </si>
  <si>
    <t>45.2911111110001</t>
  </si>
  <si>
    <t>-66.046944444</t>
  </si>
  <si>
    <t>45 - 17 - 28.0</t>
  </si>
  <si>
    <t>66 - 2 - 49.0</t>
  </si>
  <si>
    <t>Island Yard, Marsh Street, Westmorland Heights, City of Saint John, Saint John County, New Brunswick, E2J 1W9, Canada</t>
  </si>
  <si>
    <t>45.9339722220001</t>
  </si>
  <si>
    <t>-66.661763889</t>
  </si>
  <si>
    <t>45 - 56 - 2.3</t>
  </si>
  <si>
    <t>66 - 39 - 42.35</t>
  </si>
  <si>
    <t>Cercle James K. Flemming Circle, Hugh John Flemming Forestry Complex, Uptown, City of Fredericton, York County, New Brunswick, E3C 1A3, Canada</t>
  </si>
  <si>
    <t>45.970030556</t>
  </si>
  <si>
    <t>-66.632033333</t>
  </si>
  <si>
    <t>45 - 58 - 12.11</t>
  </si>
  <si>
    <t>66 - 37 - 55.32</t>
  </si>
  <si>
    <t>Canada Post 2W0, 35, Rue Hughes Street, North Devon, St. Mary's First Nation / Sitansisk Wolastoqiyik, City of Fredericton, York County, New Brunswick, E3A 3M8, Canada</t>
  </si>
  <si>
    <t>45.702363889</t>
  </si>
  <si>
    <t>-66.676444444</t>
  </si>
  <si>
    <t>45 - 42 - 8.51</t>
  </si>
  <si>
    <t>66 - 40 - 35.2</t>
  </si>
  <si>
    <t>Gladstone Parish, Capital Region Rural District, Sunbury County, New Brunswick, E5L 1B5, Canada</t>
  </si>
  <si>
    <t>46.1702777780001</t>
  </si>
  <si>
    <t>-66.112222222</t>
  </si>
  <si>
    <t>46 - 10 - 13.0</t>
  </si>
  <si>
    <t>66 - 6 - 44.0</t>
  </si>
  <si>
    <t>Northfield Parish, Capital Region Rural District, Sunbury County, New Brunswick, E4B 3N6, Canada</t>
  </si>
  <si>
    <t>45.680511111</t>
  </si>
  <si>
    <t>-67.052425</t>
  </si>
  <si>
    <t>45 - 40 - 49.84</t>
  </si>
  <si>
    <t>67 - 3 - 8.73</t>
  </si>
  <si>
    <t>45.961480556</t>
  </si>
  <si>
    <t>-66.643277778</t>
  </si>
  <si>
    <t>45 - 57 - 41.33</t>
  </si>
  <si>
    <t>66 - 38 - 35.8</t>
  </si>
  <si>
    <t>47.251425</t>
  </si>
  <si>
    <t>-65.3801444439999</t>
  </si>
  <si>
    <t>47 - 15 - 5.13</t>
  </si>
  <si>
    <t>65 - 22 - 48.52</t>
  </si>
  <si>
    <t>45.946705556</t>
  </si>
  <si>
    <t>-66.595291667</t>
  </si>
  <si>
    <t>45 - 56 - 48.14</t>
  </si>
  <si>
    <t>66 - 35 - 43.05</t>
  </si>
  <si>
    <t>45.928897222</t>
  </si>
  <si>
    <t>-66.636188889</t>
  </si>
  <si>
    <t>45 - 55 - 44.03</t>
  </si>
  <si>
    <t>66 - 38 - 10.28</t>
  </si>
  <si>
    <t>405, Promenade Canterbury, Dunn's Crossing, Skyline Acres, City of Fredericton, York County, New Brunswick, E3B 4V4, Canada</t>
  </si>
  <si>
    <t>47.7447333330001</t>
  </si>
  <si>
    <t>-65.0782305559999</t>
  </si>
  <si>
    <t>47 - 44 - 41.04</t>
  </si>
  <si>
    <t>65 - 4 - 41.63</t>
  </si>
  <si>
    <t>46.240069444</t>
  </si>
  <si>
    <t>-64.528597222</t>
  </si>
  <si>
    <t>46 - 14 - 24.25</t>
  </si>
  <si>
    <t>64 - 31 - 42.95</t>
  </si>
  <si>
    <t>Captain Dan's Bar &amp; Grill, Chemin Pointe-du-Chêne, Paroisse de Shediac, Westmorland County, New Brunswick, E4P 4V8, Canada</t>
  </si>
  <si>
    <t>46.230794444</t>
  </si>
  <si>
    <t>-64.2891222219999</t>
  </si>
  <si>
    <t>46 - 13 - 50.86</t>
  </si>
  <si>
    <t>64 - 17 - 20.84</t>
  </si>
  <si>
    <t>Sandy Beach Tent &amp; Trailer Park, Rue Moise, Botsford Parish, Westmorland County, New Brunswick, E4N 1J0, Canada</t>
  </si>
  <si>
    <t>47.462711111</t>
  </si>
  <si>
    <t>-65.483947222</t>
  </si>
  <si>
    <t>47 - 27 - 45.76</t>
  </si>
  <si>
    <t>65 - 29 - 2.21</t>
  </si>
  <si>
    <t>Route 134, Allardville, Paroisse d'Allardville, Comté de Gloucester, New Brunswick, E8L 1K2, Canada</t>
  </si>
  <si>
    <t>46.222597222</t>
  </si>
  <si>
    <t>-64.505588889</t>
  </si>
  <si>
    <t>46 - 13 - 21.35</t>
  </si>
  <si>
    <t>64 - 30 - 20.12</t>
  </si>
  <si>
    <t>RCMP Shediac detachment, 77, Chemin Ohio, East Shediac, Shediac, Westmorland County, New Brunswick, E4P 2J8, Canada</t>
  </si>
  <si>
    <t>45.9638722220001</t>
  </si>
  <si>
    <t>-66.645991667</t>
  </si>
  <si>
    <t>45 - 57 - 49.94</t>
  </si>
  <si>
    <t>66 - 38 - 45.57</t>
  </si>
  <si>
    <t>Passport Office, 77, Rue Westmorland Street, Garrison District, Downtown, City of Fredericton, York County, New Brunswick, E3B 1E3, Canada</t>
  </si>
  <si>
    <t>45.937533333</t>
  </si>
  <si>
    <t>-66.6340222219999</t>
  </si>
  <si>
    <t>45 - 56 - 15.12</t>
  </si>
  <si>
    <t>66 - 38 - 2.48</t>
  </si>
  <si>
    <t>412, Forest Hill Road, Dunn's Crossing, Forest Hills, City of Fredericton, York County, New Brunswick, E3B 4K9, Canada</t>
  </si>
  <si>
    <t>45.680058333</t>
  </si>
  <si>
    <t>-65.3819</t>
  </si>
  <si>
    <t>45 - 40 - 48.21</t>
  </si>
  <si>
    <t>65 - 22 - 54.84</t>
  </si>
  <si>
    <t>Poley Mountain Ski Area, Waterford Road, Waterford Parish, Kings Rural District, Kings County, New Brunswick, E4E 5C5, Canada</t>
  </si>
  <si>
    <t>46.7148777780001</t>
  </si>
  <si>
    <t>-67.005327778</t>
  </si>
  <si>
    <t>46 - 42 - 53.56</t>
  </si>
  <si>
    <t>67 - 0 - 19.18</t>
  </si>
  <si>
    <t>Kent Parish, Western Valley Rural District, Carleton County, New Brunswick, Canada</t>
  </si>
  <si>
    <t>45.960077778</t>
  </si>
  <si>
    <t>-66.639544444</t>
  </si>
  <si>
    <t>45 - 57 - 36.28</t>
  </si>
  <si>
    <t>66 - 38 - 22.36</t>
  </si>
  <si>
    <t>Rue Regent Street, Capital, Downtown, City of Fredericton, York County, New Brunswick, E3B 3W4, Canada</t>
  </si>
  <si>
    <t>44.890594444</t>
  </si>
  <si>
    <t>-66.9268999999999</t>
  </si>
  <si>
    <t>44 - 53 - 26.14</t>
  </si>
  <si>
    <t>66 - 55 - 36.84</t>
  </si>
  <si>
    <t>Spruce Street, Campobello Parish, Rural Community of Campobello Island, Charlotte County, New Brunswick, E0G 3H0, Canada</t>
  </si>
  <si>
    <t>46.0871000000001</t>
  </si>
  <si>
    <t>-64.810794444</t>
  </si>
  <si>
    <t>46 - 5 - 13.56</t>
  </si>
  <si>
    <t>64 - 48 - 38.86</t>
  </si>
  <si>
    <t>46.109330556</t>
  </si>
  <si>
    <t>-64.863572222</t>
  </si>
  <si>
    <t>46 - 6 - 33.59</t>
  </si>
  <si>
    <t>64 - 51 - 48.86</t>
  </si>
  <si>
    <t>Twin Oaks Trail, Moncton Parish, Moncton, Westmorland County, New Brunswick, E1G 5R2, Canada</t>
  </si>
  <si>
    <t>45.2742027780001</t>
  </si>
  <si>
    <t>45 - 16 - 27.13</t>
  </si>
  <si>
    <t>46.065130556</t>
  </si>
  <si>
    <t>-64.0869611109999</t>
  </si>
  <si>
    <t>46 - 3 - 54.47</t>
  </si>
  <si>
    <t>64 - 5 - 13.06</t>
  </si>
  <si>
    <t>44.6515000000001</t>
  </si>
  <si>
    <t>44 - 39 - 5.4</t>
  </si>
  <si>
    <t>46.385305556</t>
  </si>
  <si>
    <t>-64.665277778</t>
  </si>
  <si>
    <t>46 - 23 - 7.1</t>
  </si>
  <si>
    <t>64 - 39 - 55.0</t>
  </si>
  <si>
    <t>47.0047222220001</t>
  </si>
  <si>
    <t>-65.5736111109999</t>
  </si>
  <si>
    <t>47 - 0 - 17.0</t>
  </si>
  <si>
    <t>65 - 34 - 25.0</t>
  </si>
  <si>
    <t>Miramichi, 251, Station Street, Newcastle, City of Miramichi, Northumberland County, New Brunswick, E1V 1G2, Canada</t>
  </si>
  <si>
    <t>46.0937916670001</t>
  </si>
  <si>
    <t>-64.757008333</t>
  </si>
  <si>
    <t>46 - 5 - 37.65</t>
  </si>
  <si>
    <t>64 - 45 - 25.23</t>
  </si>
  <si>
    <t>Rue Champlain, Moncton Parish, Dieppe, Westmorland County, New Brunswick, E1A 1N3, Canada</t>
  </si>
  <si>
    <t>47.389216667</t>
  </si>
  <si>
    <t>-68.3162833329999</t>
  </si>
  <si>
    <t>47 - 23 - 21.18</t>
  </si>
  <si>
    <t>68 - 18 - 58.62</t>
  </si>
  <si>
    <t>46.649580556</t>
  </si>
  <si>
    <t>-67.5925583329999</t>
  </si>
  <si>
    <t>46 - 38 - 58.49</t>
  </si>
  <si>
    <t>67 - 35 - 33.21</t>
  </si>
  <si>
    <t>CBC Television and Radio Tower, Kincardine Road, Perth Parish, Western Valley Rural District, Victoria County, New Brunswick, Canada</t>
  </si>
  <si>
    <t>46.0700972220001</t>
  </si>
  <si>
    <t>-67.048827778</t>
  </si>
  <si>
    <t>46 - 4 - 12.35</t>
  </si>
  <si>
    <t>67 - 2 - 55.78</t>
  </si>
  <si>
    <t>Route 104, Bright Parish, Central York Rural Community, York County, New Brunswick, Canada</t>
  </si>
  <si>
    <t>46.1334000000001</t>
  </si>
  <si>
    <t>-64.871897222</t>
  </si>
  <si>
    <t>46 - 8 - 0.24</t>
  </si>
  <si>
    <t>64 - 52 - 18.83</t>
  </si>
  <si>
    <t>Magnetic Hill Golf Club, Saint Andrews Drive, Moncton Parish, Moncton, Westmorland County, New Brunswick, E1G 2J5, Canada</t>
  </si>
  <si>
    <t>45.899788889</t>
  </si>
  <si>
    <t>-66.5890277779999</t>
  </si>
  <si>
    <t>45 - 53 - 59.24</t>
  </si>
  <si>
    <t>66 - 35 - 20.5</t>
  </si>
  <si>
    <t>355, Urquhart Crescent, Lincoln, City of Fredericton, Sunbury County, New Brunswick, E3B 0E3, Canada</t>
  </si>
  <si>
    <t>47.3036527780001</t>
  </si>
  <si>
    <t>-68.464466667</t>
  </si>
  <si>
    <t>47 - 18 - 13.15</t>
  </si>
  <si>
    <t>68 - 27 - 52.08</t>
  </si>
  <si>
    <t>55, Chemin Elias Daigle, Paroisse de Saint-Hilaire, Haut-Madawaska, Comté de Madawaska, New Brunswick, E7A 1E0, Canada</t>
  </si>
  <si>
    <t>47.0237666670001</t>
  </si>
  <si>
    <t>-65.455283333</t>
  </si>
  <si>
    <t>47 - 1 - 25.56</t>
  </si>
  <si>
    <t>65 - 27 - 19.02</t>
  </si>
  <si>
    <t>Henderson Street, Chatham, Paroisse de Chatham, City of Miramichi, Northumberland County, New Brunswick, E1N 2P2, Canada</t>
  </si>
  <si>
    <t>45.983908333</t>
  </si>
  <si>
    <t>-66.663377778</t>
  </si>
  <si>
    <t>45 - 59 - 2.07</t>
  </si>
  <si>
    <t>66 - 39 - 48.16</t>
  </si>
  <si>
    <t>27, Rue Main Street, Nashwaaksis Plaza, Nashwaaksis, City of Fredericton, York County, New Brunswick, E3A 1B8, Canada</t>
  </si>
  <si>
    <t>47.3764</t>
  </si>
  <si>
    <t>-68.310866667</t>
  </si>
  <si>
    <t>47 - 22 - 35.04</t>
  </si>
  <si>
    <t>68 - 18 - 39.12</t>
  </si>
  <si>
    <t>Rue Carrier, Paroisse de Madawaska, Ville d'Edmundston, Comté de Madawaska, New Brunswick, E3V 3L1, Canada</t>
  </si>
  <si>
    <t>47.7561000000001</t>
  </si>
  <si>
    <t>-65.3393972219999</t>
  </si>
  <si>
    <t>47 - 45 - 21.96</t>
  </si>
  <si>
    <t>65 - 20 - 21.83</t>
  </si>
  <si>
    <t>Route 11, Paroisse de New Bandon, Comté de Gloucester, New Brunswick, Canada</t>
  </si>
  <si>
    <t>46.0945722220001</t>
  </si>
  <si>
    <t>-64.755125</t>
  </si>
  <si>
    <t>46 - 5 - 40.46</t>
  </si>
  <si>
    <t>64 - 45 - 18.45</t>
  </si>
  <si>
    <t>McDonald's, Rue Olivier, Moncton Parish, Dieppe, Westmorland County, New Brunswick, E1A 1N5, Canada</t>
  </si>
  <si>
    <t>46.009666667</t>
  </si>
  <si>
    <t>-67.544444444</t>
  </si>
  <si>
    <t>46 - 0 - 34.8</t>
  </si>
  <si>
    <t>67 - 32 - 40.0</t>
  </si>
  <si>
    <t>45.5826138890001</t>
  </si>
  <si>
    <t>-65.7949944439999</t>
  </si>
  <si>
    <t>45 - 34 - 57.41</t>
  </si>
  <si>
    <t>65 - 47 - 41.98</t>
  </si>
  <si>
    <t>45.3029888890001</t>
  </si>
  <si>
    <t>-66.0733</t>
  </si>
  <si>
    <t>45 - 18 - 10.76</t>
  </si>
  <si>
    <t>66 - 4 - 23.88</t>
  </si>
  <si>
    <t>49, Dark Lake Road, City of Saint John, Saint John County, New Brunswick, E2K 3S2, Canada</t>
  </si>
  <si>
    <t>46.087</t>
  </si>
  <si>
    <t>-64.788611111</t>
  </si>
  <si>
    <t>46 - 5 - 13.2</t>
  </si>
  <si>
    <t>64 - 47 - 19.0</t>
  </si>
  <si>
    <t>45.3005000000001</t>
  </si>
  <si>
    <t>-66.0293</t>
  </si>
  <si>
    <t>45 - 18 - 1.8</t>
  </si>
  <si>
    <t>66 - 1 - 45.48</t>
  </si>
  <si>
    <t>45.9460611110001</t>
  </si>
  <si>
    <t>-65.403119444</t>
  </si>
  <si>
    <t>45 - 56 - 45.82</t>
  </si>
  <si>
    <t>65 - 24 - 11.23</t>
  </si>
  <si>
    <t>Route 2, Havelock Parish, Butternut Valley Rural Community, Kings County, New Brunswick, Canada</t>
  </si>
  <si>
    <t>45.871644444</t>
  </si>
  <si>
    <t>45 - 52 - 17.92</t>
  </si>
  <si>
    <t>45.2365</t>
  </si>
  <si>
    <t>-66.142327778</t>
  </si>
  <si>
    <t>45 - 14 - 11.4</t>
  </si>
  <si>
    <t>66 - 8 - 32.38</t>
  </si>
  <si>
    <t>Manawagonish Road, City of Saint John, Saint John County, New Brunswick, E2M 5H5, Canada</t>
  </si>
  <si>
    <t>45.9600694440001</t>
  </si>
  <si>
    <t>-66.617811111</t>
  </si>
  <si>
    <t>45 - 57 - 36.25</t>
  </si>
  <si>
    <t>66 - 37 - 4.12</t>
  </si>
  <si>
    <t>47.400833333</t>
  </si>
  <si>
    <t>-65.455277778</t>
  </si>
  <si>
    <t>47 - 24 - 3.0</t>
  </si>
  <si>
    <t>65 - 27 - 19.0</t>
  </si>
  <si>
    <t>Route 134, Paroisse d'Allardville, Comté de Gloucester, New Brunswick, Canada</t>
  </si>
  <si>
    <t>46.0722500000001</t>
  </si>
  <si>
    <t>-64.869305556</t>
  </si>
  <si>
    <t>46 - 4 - 20.1</t>
  </si>
  <si>
    <t>64 - 52 - 9.5</t>
  </si>
  <si>
    <t>45.8891</t>
  </si>
  <si>
    <t>-66.5658</t>
  </si>
  <si>
    <t>45 - 53 - 20.76</t>
  </si>
  <si>
    <t>66 - 33 - 56.88</t>
  </si>
  <si>
    <t>Hill Street, Town of Oromocto, Sunbury County, New Brunswick, E3B 8N9, Canada</t>
  </si>
  <si>
    <t>45.216180556</t>
  </si>
  <si>
    <t>-66.1652333329999</t>
  </si>
  <si>
    <t>45 - 12 - 58.25</t>
  </si>
  <si>
    <t>66 - 9 - 54.84</t>
  </si>
  <si>
    <t>65, Alloy Drive, City of Saint John, Saint John County, New Brunswick, E2M 7L1, Canada</t>
  </si>
  <si>
    <t>45.9347222220001</t>
  </si>
  <si>
    <t>-65.170555556</t>
  </si>
  <si>
    <t>45 - 56 - 5.0</t>
  </si>
  <si>
    <t>65 - 10 - 14.0</t>
  </si>
  <si>
    <t>Railway Avenue, Salisbury Parish, Westmorland County, New Brunswick, E4Z 4W1, Canada</t>
  </si>
  <si>
    <t>46.2090277780001</t>
  </si>
  <si>
    <t>-65.5167222219999</t>
  </si>
  <si>
    <t>46 - 12 - 32.5</t>
  </si>
  <si>
    <t>65 - 31 - 0.2</t>
  </si>
  <si>
    <t>47.036694444</t>
  </si>
  <si>
    <t>-67.618138889</t>
  </si>
  <si>
    <t>47 - 2 - 12.1</t>
  </si>
  <si>
    <t>67 - 37 - 5.3</t>
  </si>
  <si>
    <t>Chemin Legacy, Municipalité régionale de Grand-Sault, Victoria County, New Brunswick, E7G 1K9, Canada</t>
  </si>
  <si>
    <t>46.696</t>
  </si>
  <si>
    <t>-67.238638889</t>
  </si>
  <si>
    <t>46 - 41 - 45.6</t>
  </si>
  <si>
    <t>67 - 14 - 19.1</t>
  </si>
  <si>
    <t>45.9348416670001</t>
  </si>
  <si>
    <t>-66.661055556</t>
  </si>
  <si>
    <t>45 - 56 - 5.43</t>
  </si>
  <si>
    <t>66 - 39 - 39.8</t>
  </si>
  <si>
    <t>Rue Regent Street, Hugh John Flemming Forestry Complex, Uptown, City of Fredericton, York County, New Brunswick, E3C 2G6, Canada</t>
  </si>
  <si>
    <t>45.839669444</t>
  </si>
  <si>
    <t>-66.4694</t>
  </si>
  <si>
    <t>45 - 50 - 22.81</t>
  </si>
  <si>
    <t>66 - 28 - 9.84</t>
  </si>
  <si>
    <t>45.9927361110001</t>
  </si>
  <si>
    <t>-66.772563889</t>
  </si>
  <si>
    <t>45 - 59 - 33.85</t>
  </si>
  <si>
    <t>66 - 46 - 21.23</t>
  </si>
  <si>
    <t>Carlisle Road, Douglas, City of Fredericton, York County, New Brunswick, E3A 7L9, Canada</t>
  </si>
  <si>
    <t>45.280230556</t>
  </si>
  <si>
    <t>-67.253763889</t>
  </si>
  <si>
    <t>45 - 16 - 48.83</t>
  </si>
  <si>
    <t>67 - 15 - 13.55</t>
  </si>
  <si>
    <t>St. David Ridge Road, Saint David Parish, Municipal District of St. Stephen, Southwest Rural District, Charlotte County, New Brunswick, Canada</t>
  </si>
  <si>
    <t>46.6552444440001</t>
  </si>
  <si>
    <t>-65.369977778</t>
  </si>
  <si>
    <t>46 - 39 - 18.88</t>
  </si>
  <si>
    <t>65 - 22 - 11.92</t>
  </si>
  <si>
    <t>47.1451916670001</t>
  </si>
  <si>
    <t>-65.258919444</t>
  </si>
  <si>
    <t>47 - 8 - 42.69</t>
  </si>
  <si>
    <t>65 - 15 - 32.11</t>
  </si>
  <si>
    <t>47.9065944440001</t>
  </si>
  <si>
    <t>-65.8634777779999</t>
  </si>
  <si>
    <t>47 - 54 - 23.74</t>
  </si>
  <si>
    <t>65 - 51 - 48.52</t>
  </si>
  <si>
    <t>Shannon Street, Paroisse de Beresford, Comté de Gloucester, New Brunswick, E8G 2M3, Canada</t>
  </si>
  <si>
    <t>46.094708333</t>
  </si>
  <si>
    <t>-64.783758333</t>
  </si>
  <si>
    <t>46 - 5 - 40.95</t>
  </si>
  <si>
    <t>64 - 47 - 1.53</t>
  </si>
  <si>
    <t>Mountain Road, Moncton Parish, Moncton, Westmorland County, New Brunswick, E1C 5A2, Canada</t>
  </si>
  <si>
    <t>45.950472222</t>
  </si>
  <si>
    <t>45 - 57 - 1.7</t>
  </si>
  <si>
    <t>Avenue University Avenue, Town Plat, Downtown, City of Fredericton, York County, New Brunswick, E3B 4C9, Canada</t>
  </si>
  <si>
    <t>45.8812638890001</t>
  </si>
  <si>
    <t>-66.571316667</t>
  </si>
  <si>
    <t>45 - 52 - 52.55</t>
  </si>
  <si>
    <t>66 - 34 - 16.74</t>
  </si>
  <si>
    <t>46.131147222</t>
  </si>
  <si>
    <t>-64.7438</t>
  </si>
  <si>
    <t>46 - 7 - 52.13</t>
  </si>
  <si>
    <t>64 - 44 - 37.68</t>
  </si>
  <si>
    <t>MacNaughton Avenue, Moncton Parish, Moncton, Westmorland County, New Brunswick, E1H 3L9, Canada</t>
  </si>
  <si>
    <t>45.479980556</t>
  </si>
  <si>
    <t>-65.631566667</t>
  </si>
  <si>
    <t>45 - 28 - 47.93</t>
  </si>
  <si>
    <t>65 - 37 - 53.64</t>
  </si>
  <si>
    <t>Route 111, Upham Parish, Kings Rural District, Kings County, New Brunswick, Canada</t>
  </si>
  <si>
    <t>47.620838889</t>
  </si>
  <si>
    <t>-65.6513416669999</t>
  </si>
  <si>
    <t>47 - 37 - 15.02</t>
  </si>
  <si>
    <t>65 - 39 - 4.83</t>
  </si>
  <si>
    <t>Harbourview Place, 275, Main Street, City of Bathurst, Comté de Gloucester, New Brunswick, E2A 0C4, Canada</t>
  </si>
  <si>
    <t>47.7934805560001</t>
  </si>
  <si>
    <t>-64.940427778</t>
  </si>
  <si>
    <t>47 - 47 - 36.53</t>
  </si>
  <si>
    <t>64 - 56 - 25.54</t>
  </si>
  <si>
    <t>Place Caraquet, 25, Boulevard Saint-Pierre Ouest, Pointe-Rocheuse, Caraquet, Comté de Gloucester, New Brunswick, E1W 1A5, Canada</t>
  </si>
  <si>
    <t>45.2749916670001</t>
  </si>
  <si>
    <t>-66.063733333</t>
  </si>
  <si>
    <t>45 - 16 - 29.97</t>
  </si>
  <si>
    <t>66 - 3 - 49.44</t>
  </si>
  <si>
    <t>Saint John Law Courts, 10, Peel Plaza, Parker's Corner, Indiantown, City of Saint John, Saint John County, New Brunswick, E2L 3G6, Canada</t>
  </si>
  <si>
    <t>45.9685666670001</t>
  </si>
  <si>
    <t>-66.596147222</t>
  </si>
  <si>
    <t>45 - 58 - 6.84</t>
  </si>
  <si>
    <t>66 - 35 - 46.13</t>
  </si>
  <si>
    <t>Nashwaak Trail, NB Power Marsyville, Marysville, City of Fredericton, York County, New Brunswick, E3A 4A0, Canada</t>
  </si>
  <si>
    <t>-64.781688889</t>
  </si>
  <si>
    <t>64 - 46 - 54.08</t>
  </si>
  <si>
    <t>Atlantic Lottery Corporation, 922, Foundry Street, Moncton Parish, Moncton, Westmorland County, New Brunswick, E1C 8P3, Canada</t>
  </si>
  <si>
    <t>45.433897222</t>
  </si>
  <si>
    <t>-65.9760777779999</t>
  </si>
  <si>
    <t>45 - 26 - 2.03</t>
  </si>
  <si>
    <t>65 - 58 - 33.88</t>
  </si>
  <si>
    <t>Angel Lane, Rothesay Parish, Town of Quispamsis, Kings County, New Brunswick, E2E 4Z4, Canada</t>
  </si>
  <si>
    <t>46.0983277780001</t>
  </si>
  <si>
    <t>-64.7052805559999</t>
  </si>
  <si>
    <t>46 - 5 - 53.98</t>
  </si>
  <si>
    <t>64 - 42 - 19.01</t>
  </si>
  <si>
    <t>-64.787194444</t>
  </si>
  <si>
    <t>64 - 47 - 13.9</t>
  </si>
  <si>
    <t>46.569372222</t>
  </si>
  <si>
    <t>46 - 34 - 9.74</t>
  </si>
  <si>
    <t>46.142486111</t>
  </si>
  <si>
    <t>-64.8374527779999</t>
  </si>
  <si>
    <t>46 - 8 - 32.95</t>
  </si>
  <si>
    <t>64 - 50 - 14.83</t>
  </si>
  <si>
    <t>45.2572222220001</t>
  </si>
  <si>
    <t>-66.115833333</t>
  </si>
  <si>
    <t>45 - 15 - 26.0</t>
  </si>
  <si>
    <t>66 - 6 - 57.0</t>
  </si>
  <si>
    <t>Irving Road West, Milford, Quinton Heights, City of Saint John, Saint John County, New Brunswick, E2M 4W3, Canada</t>
  </si>
  <si>
    <t>46.1308777780001</t>
  </si>
  <si>
    <t>-64.770622222</t>
  </si>
  <si>
    <t>46 - 7 - 51.16</t>
  </si>
  <si>
    <t>64 - 46 - 14.24</t>
  </si>
  <si>
    <t>11, Granite Drive, Granite Centre, Moncton Parish, Moncton, Westmorland County, New Brunswick, E1A 9G6, Canada</t>
  </si>
  <si>
    <t>46.129811111</t>
  </si>
  <si>
    <t>-64.733975</t>
  </si>
  <si>
    <t>46 - 7 - 47.32</t>
  </si>
  <si>
    <t>64 - 44 - 2.31</t>
  </si>
  <si>
    <t>46.001594444</t>
  </si>
  <si>
    <t>-66.766319444</t>
  </si>
  <si>
    <t>46 - 0 - 5.74</t>
  </si>
  <si>
    <t>66 - 45 - 58.75</t>
  </si>
  <si>
    <t>46.2191</t>
  </si>
  <si>
    <t>-64.549197222</t>
  </si>
  <si>
    <t>46 - 13 - 8.76</t>
  </si>
  <si>
    <t>64 - 32 - 57.11</t>
  </si>
  <si>
    <t>Shediac Town Hall, Town of Shediac, 290, Rue Main, Paroisse de Shediac, Westmorland County, New Brunswick, E4P 2E3, Canada</t>
  </si>
  <si>
    <t>47.3575000000001</t>
  </si>
  <si>
    <t>-68.2483333329999</t>
  </si>
  <si>
    <t>47 - 21 - 27.0</t>
  </si>
  <si>
    <t>68 - 14 - 54.0</t>
  </si>
  <si>
    <t>Nadeau Hyundai, 680, Rue Principale, Ville d'Edmundston, Comté de Madawaska, New Brunswick, E7C 1E4, Canada</t>
  </si>
  <si>
    <t>46.8500000000001</t>
  </si>
  <si>
    <t>-67.315333333</t>
  </si>
  <si>
    <t>46 - 51 - 0.0</t>
  </si>
  <si>
    <t>67 - 18 - 55.2</t>
  </si>
  <si>
    <t>Longley Road, Gordon Parish, Western Valley Rural District, Victoria County, New Brunswick, Canada</t>
  </si>
  <si>
    <t>45.6100000000001</t>
  </si>
  <si>
    <t>-66.5527777779999</t>
  </si>
  <si>
    <t>45 - 36 - 36.0</t>
  </si>
  <si>
    <t>66 - 33 - 10.0</t>
  </si>
  <si>
    <t>Airport Road, Blissville Parish, Capital Region Rural District, Sunbury County, New Brunswick, Canada</t>
  </si>
  <si>
    <t>46.0941250000001</t>
  </si>
  <si>
    <t>-64.746447222</t>
  </si>
  <si>
    <t>46 - 5 - 38.85</t>
  </si>
  <si>
    <t>64 - 44 - 47.21</t>
  </si>
  <si>
    <t>Marché de Dieppe, Rue du Marché, Moncton Parish, Dieppe, Westmorland County, New Brunswick, E1A 9K3, Canada</t>
  </si>
  <si>
    <t>47.992838889</t>
  </si>
  <si>
    <t>-66.723144444</t>
  </si>
  <si>
    <t>47 - 59 - 34.22</t>
  </si>
  <si>
    <t>66 - 43 - 23.32</t>
  </si>
  <si>
    <t>Rue Mill, AV Cell, Addington Parish, New Brunswick, E3N 4E2, Canada</t>
  </si>
  <si>
    <t>45.9353583330001</t>
  </si>
  <si>
    <t>-66.664330556</t>
  </si>
  <si>
    <t>45 - 56 - 7.29</t>
  </si>
  <si>
    <t>66 - 39 - 51.59</t>
  </si>
  <si>
    <t>East Side Board Supply, 1399, Rue Regent Street, Uptown, City of Fredericton, York County, New Brunswick, E3C 1A2, Canada</t>
  </si>
  <si>
    <t>47.6440638890001</t>
  </si>
  <si>
    <t>-65.749133333</t>
  </si>
  <si>
    <t>47 - 38 - 38.63</t>
  </si>
  <si>
    <t>65 - 44 - 56.88</t>
  </si>
  <si>
    <t>Longbow Avenue, Bathurst Parish, Comté de Gloucester, New Brunswick, E2A 7C2, Canada</t>
  </si>
  <si>
    <t>47.993683333</t>
  </si>
  <si>
    <t>-66.699480556</t>
  </si>
  <si>
    <t>47 - 59 - 37.26</t>
  </si>
  <si>
    <t>66 - 41 - 58.13</t>
  </si>
  <si>
    <t>Mark's, Vision Ford, Addington Parish, New Brunswick, E3N 4E2, Canada</t>
  </si>
  <si>
    <t>46.0951555560001</t>
  </si>
  <si>
    <t>-64.756302778</t>
  </si>
  <si>
    <t>46 - 5 - 42.56</t>
  </si>
  <si>
    <t>64 - 45 - 22.69</t>
  </si>
  <si>
    <t>Rue Paul, Moncton Parish, Dieppe, Westmorland County, New Brunswick, E1A 1S7, Canada</t>
  </si>
  <si>
    <t>46.0939388890001</t>
  </si>
  <si>
    <t>-64.756088889</t>
  </si>
  <si>
    <t>46 - 5 - 38.18</t>
  </si>
  <si>
    <t>64 - 45 - 21.92</t>
  </si>
  <si>
    <t>Irving, 64, Main Street, Moncton Parish, Dieppe, Westmorland County, New Brunswick, E1A 1N4, Canada</t>
  </si>
  <si>
    <t>46.096641667</t>
  </si>
  <si>
    <t>-64.756858333</t>
  </si>
  <si>
    <t>46 - 5 - 47.91</t>
  </si>
  <si>
    <t>64 - 45 - 24.69</t>
  </si>
  <si>
    <t>Paul Street, Moncton Parish, Dieppe, Westmorland County, New Brunswick, E1A 5R4, Canada</t>
  </si>
  <si>
    <t>46.096958333</t>
  </si>
  <si>
    <t>-64.786227778</t>
  </si>
  <si>
    <t>46 - 5 - 49.05</t>
  </si>
  <si>
    <t>64 - 47 - 10.42</t>
  </si>
  <si>
    <t>Providence Street, Moncton Parish, Moncton, Westmorland County, New Brunswick, E1C 8X3, Canada</t>
  </si>
  <si>
    <t>45.2140388890001</t>
  </si>
  <si>
    <t>-66.9018027779999</t>
  </si>
  <si>
    <t>45 - 12 - 50.54</t>
  </si>
  <si>
    <t>66 - 54 - 6.49</t>
  </si>
  <si>
    <t>Valley Farm Road, Saint George Parish, Municipality of Eastern Charlotte, Charlotte County, New Brunswick, Canada</t>
  </si>
  <si>
    <t>46.655241667</t>
  </si>
  <si>
    <t>-65.3699583329999</t>
  </si>
  <si>
    <t>46 - 39 - 18.87</t>
  </si>
  <si>
    <t>65 - 22 - 11.85</t>
  </si>
  <si>
    <t>45.9084388890001</t>
  </si>
  <si>
    <t>-64.385619444</t>
  </si>
  <si>
    <t>45 - 54 - 30.38</t>
  </si>
  <si>
    <t>64 - 23 - 8.23</t>
  </si>
  <si>
    <t>45.637722222</t>
  </si>
  <si>
    <t>-65.728761111</t>
  </si>
  <si>
    <t>45 - 38 - 15.8</t>
  </si>
  <si>
    <t>65 - 43 - 43.54</t>
  </si>
  <si>
    <t>Dickie Mountain Road, Norton Parish, Village of Valley Waters, Kings County, New Brunswick, E5T 2N0, Canada</t>
  </si>
  <si>
    <t>45.333322222</t>
  </si>
  <si>
    <t>-65.907066667</t>
  </si>
  <si>
    <t>45 - 19 - 59.96</t>
  </si>
  <si>
    <t>65 - 54 - 25.44</t>
  </si>
  <si>
    <t>3776, Loch Lomond Road, City of Saint John, Saint John County, New Brunswick, E2N 1C4, Canada</t>
  </si>
  <si>
    <t>47.462727778</t>
  </si>
  <si>
    <t>-65.483944444</t>
  </si>
  <si>
    <t>47 - 27 - 45.82</t>
  </si>
  <si>
    <t>65 - 29 - 2.2</t>
  </si>
  <si>
    <t>45.906177778</t>
  </si>
  <si>
    <t>-66.701938889</t>
  </si>
  <si>
    <t>45 - 54 - 22.24</t>
  </si>
  <si>
    <t>66 - 42 - 6.98</t>
  </si>
  <si>
    <t>47.3019444440001</t>
  </si>
  <si>
    <t>-68.511388889</t>
  </si>
  <si>
    <t>47 - 18 - 7.0</t>
  </si>
  <si>
    <t>68 - 30 - 41.0</t>
  </si>
  <si>
    <t>Rue Principale Street, Baker-Brook, Paroisse de Baker Brook, Haut-Madawaska, Comté de Madawaska, New Brunswick, E7A 1E0, Canada</t>
  </si>
  <si>
    <t>46.3975</t>
  </si>
  <si>
    <t>-65.1802777779999</t>
  </si>
  <si>
    <t>46 - 23 - 51.0</t>
  </si>
  <si>
    <t>65 - 10 - 49.0</t>
  </si>
  <si>
    <t>45.995047222</t>
  </si>
  <si>
    <t>-66.7654527779999</t>
  </si>
  <si>
    <t>45 - 59 - 42.17</t>
  </si>
  <si>
    <t>66 - 45 - 55.63</t>
  </si>
  <si>
    <t>46.182944444</t>
  </si>
  <si>
    <t>-65.157166667</t>
  </si>
  <si>
    <t>46 - 10 - 58.6</t>
  </si>
  <si>
    <t>65 - 9 - 25.8</t>
  </si>
  <si>
    <t>Salisbury Parish, Westmorland County, New Brunswick, Canada</t>
  </si>
  <si>
    <t>46.0271638890001</t>
  </si>
  <si>
    <t>-66.692216667</t>
  </si>
  <si>
    <t>46 - 1 - 37.79</t>
  </si>
  <si>
    <t>66 - 41 - 31.98</t>
  </si>
  <si>
    <t>46.91175</t>
  </si>
  <si>
    <t>-67.743333333</t>
  </si>
  <si>
    <t>46 - 54 - 42.3</t>
  </si>
  <si>
    <t>67 - 44 - 36.0</t>
  </si>
  <si>
    <t>45.197725</t>
  </si>
  <si>
    <t>-67.12875</t>
  </si>
  <si>
    <t>45 - 11 - 51.81</t>
  </si>
  <si>
    <t>67 - 7 - 43.5</t>
  </si>
  <si>
    <t>47.353797222</t>
  </si>
  <si>
    <t>-68.218016667</t>
  </si>
  <si>
    <t>47 - 21 - 13.67</t>
  </si>
  <si>
    <t>68 - 13 - 4.86</t>
  </si>
  <si>
    <t>54, Rue Principale, Ville d'Edmundston, Comté de Madawaska, New Brunswick, E7C 2E4, Canada</t>
  </si>
  <si>
    <t>46.2197972220001</t>
  </si>
  <si>
    <t>-64.5398999999999</t>
  </si>
  <si>
    <t>46 - 13 - 11.27</t>
  </si>
  <si>
    <t>64 - 32 - 23.64</t>
  </si>
  <si>
    <t>Royal Canadian Legion Branch #33 Shediac NB, 386, Rue Main, East Shediac, Paroisse de Shediac, Westmorland County, New Brunswick, E4P 2G1, Canada</t>
  </si>
  <si>
    <t>46.0991916670001</t>
  </si>
  <si>
    <t>-64.7438444439999</t>
  </si>
  <si>
    <t>46 - 5 - 57.09</t>
  </si>
  <si>
    <t>64 - 44 - 37.84</t>
  </si>
  <si>
    <t>47.699311111</t>
  </si>
  <si>
    <t>-65.702916667</t>
  </si>
  <si>
    <t>47 - 41 - 57.52</t>
  </si>
  <si>
    <t>65 - 42 - 10.5</t>
  </si>
  <si>
    <t>Rue MacDonald, Paroisse de Beresford, Comté de Gloucester, New Brunswick, E8K 1G8, Canada</t>
  </si>
  <si>
    <t>47.7920750000001</t>
  </si>
  <si>
    <t>-64.946327778</t>
  </si>
  <si>
    <t>47 - 47 - 31.47</t>
  </si>
  <si>
    <t>64 - 56 - 46.78</t>
  </si>
  <si>
    <t>Gendarmerie royale du Canada, 50, Boulevard Saint-Pierre Ouest, Pointe-Rocheuse, Caraquet, Comté de Gloucester, New Brunswick, E1W 1A5, Canada</t>
  </si>
  <si>
    <t>47.0322416670001</t>
  </si>
  <si>
    <t>-65.4901305559999</t>
  </si>
  <si>
    <t>47 - 1 - 56.07</t>
  </si>
  <si>
    <t>65 - 29 - 24.47</t>
  </si>
  <si>
    <t>Rogers, King George Highway, Douglastown, Paroisse de Newcastle, Northumberland County, New Brunswick, E1V 6W4, Canada</t>
  </si>
  <si>
    <t>45.2757222220001</t>
  </si>
  <si>
    <t>-66.054730556</t>
  </si>
  <si>
    <t>45 - 16 - 32.6</t>
  </si>
  <si>
    <t>66 - 3 - 17.03</t>
  </si>
  <si>
    <t>Wentworth Street, Parker's Corner, City of Saint John, Saint John County, New Brunswick, E2L 4M5, Canada</t>
  </si>
  <si>
    <t>45.5825444440001</t>
  </si>
  <si>
    <t>-65.794791667</t>
  </si>
  <si>
    <t>45 - 34 - 57.16</t>
  </si>
  <si>
    <t>65 - 47 - 41.25</t>
  </si>
  <si>
    <t>45.9725361110001</t>
  </si>
  <si>
    <t>-66.6321305559999</t>
  </si>
  <si>
    <t>45 - 58 - 21.13</t>
  </si>
  <si>
    <t>66 - 37 - 55.67</t>
  </si>
  <si>
    <t>Rue Dedham Street, North Devon, St. Mary's First Nation / Sitansisk Wolastoqiyik, City of Fredericton, York County, New Brunswick, E3A 3M8, Canada</t>
  </si>
  <si>
    <t>47.640525</t>
  </si>
  <si>
    <t>-65.732063889</t>
  </si>
  <si>
    <t>47 - 38 - 25.89</t>
  </si>
  <si>
    <t>65 - 43 - 55.43</t>
  </si>
  <si>
    <t>Maple Street, Bathurst Parish, Comté de Gloucester, New Brunswick, E2A 5B7, Canada</t>
  </si>
  <si>
    <t>46.962355556</t>
  </si>
  <si>
    <t>-67.6197</t>
  </si>
  <si>
    <t>46 - 57 - 44.48</t>
  </si>
  <si>
    <t>67 - 37 - 10.92</t>
  </si>
  <si>
    <t>Paroisse de Denmark, Western Valley Rural District, Victoria County, New Brunswick, E7G 2T2, Canada</t>
  </si>
  <si>
    <t>45.4688</t>
  </si>
  <si>
    <t>-65.8466</t>
  </si>
  <si>
    <t>45 - 28 - 7.68</t>
  </si>
  <si>
    <t>65 - 50 - 47.76</t>
  </si>
  <si>
    <t>45.393463889</t>
  </si>
  <si>
    <t>-65.966005556</t>
  </si>
  <si>
    <t>45 - 23 - 36.47</t>
  </si>
  <si>
    <t>65 - 57 - 57.62</t>
  </si>
  <si>
    <t>45.940038889</t>
  </si>
  <si>
    <t>-65.837330556</t>
  </si>
  <si>
    <t>45 - 56 - 24.14</t>
  </si>
  <si>
    <t>65 - 50 - 14.39</t>
  </si>
  <si>
    <t>Route 10, Johnston Parish, Butternut Valley Rural Community, Queens County, New Brunswick, E4C 1S0, Canada</t>
  </si>
  <si>
    <t>46.1403611110001</t>
  </si>
  <si>
    <t>-64.665625</t>
  </si>
  <si>
    <t>46 - 8 - 25.3</t>
  </si>
  <si>
    <t>64 - 39 - 56.25</t>
  </si>
  <si>
    <t>47.0633333330001</t>
  </si>
  <si>
    <t>-67.7466666669999</t>
  </si>
  <si>
    <t>47 - 3 - 48.0</t>
  </si>
  <si>
    <t>67 - 44 - 48.0</t>
  </si>
  <si>
    <t>63, Chemin CN, Paroisse de Saint-André, Municipalité régionale de Grand-Sault, Comté de Madawaska, New Brunswick, E3Y 1A4, Canada</t>
  </si>
  <si>
    <t>46.5892166670001</t>
  </si>
  <si>
    <t>46 - 35 - 21.18</t>
  </si>
  <si>
    <t>45.871583333</t>
  </si>
  <si>
    <t>-64.412583333</t>
  </si>
  <si>
    <t>45 - 52 - 17.7</t>
  </si>
  <si>
    <t>64 - 24 - 45.3</t>
  </si>
  <si>
    <t>508, Queens Road, Frosty Hollow, Sackville, Westmorland County, New Brunswick, E4L 2X8, Canada</t>
  </si>
  <si>
    <t>45.8667222220001</t>
  </si>
  <si>
    <t>-64.472777778</t>
  </si>
  <si>
    <t>45 - 52 - 0.2</t>
  </si>
  <si>
    <t>64 - 28 - 22.0</t>
  </si>
  <si>
    <t>Sackville Parish, Westmorland County, New Brunswick, Canada</t>
  </si>
  <si>
    <t>45.2801666670001</t>
  </si>
  <si>
    <t>-66.013469444</t>
  </si>
  <si>
    <t>45 - 16 - 48.6</t>
  </si>
  <si>
    <t>66 - 0 - 48.49</t>
  </si>
  <si>
    <t>45.4785277780001</t>
  </si>
  <si>
    <t>-66.234038889</t>
  </si>
  <si>
    <t>45 - 28 - 42.7</t>
  </si>
  <si>
    <t>66 - 14 - 2.54</t>
  </si>
  <si>
    <t>45.348319444</t>
  </si>
  <si>
    <t>-65.555913889</t>
  </si>
  <si>
    <t>45 - 20 - 53.95</t>
  </si>
  <si>
    <t>65 - 33 - 21.29</t>
  </si>
  <si>
    <t>Route 111, Burchills Flats, Saint Martins Parish, Village of Fundy-St. Martins, Saint John County, New Brunswick, E5R 1Z9, Canada</t>
  </si>
  <si>
    <t>47.6427027780001</t>
  </si>
  <si>
    <t>-65.750744444</t>
  </si>
  <si>
    <t>47 - 38 - 33.73</t>
  </si>
  <si>
    <t>65 - 45 - 2.68</t>
  </si>
  <si>
    <t>Robin Hood Avenue, Bathurst Parish, Comté de Gloucester, New Brunswick, E2A 7C2, Canada</t>
  </si>
  <si>
    <t>45.8855972220001</t>
  </si>
  <si>
    <t>-66.568363889</t>
  </si>
  <si>
    <t>45 - 53 - 8.15</t>
  </si>
  <si>
    <t>66 - 34 - 6.11</t>
  </si>
  <si>
    <t>45.932227778</t>
  </si>
  <si>
    <t>-66.665355556</t>
  </si>
  <si>
    <t>45 - 55 - 56.02</t>
  </si>
  <si>
    <t>66 - 39 - 55.28</t>
  </si>
  <si>
    <t>RCMP "J" Div. HQ, Promenade Arnold, Uptown, City of Fredericton, York County, New Brunswick, E3C 1A2, Canada</t>
  </si>
  <si>
    <t>46.1117861110001</t>
  </si>
  <si>
    <t>-64.745494444</t>
  </si>
  <si>
    <t>46 - 6 - 42.43</t>
  </si>
  <si>
    <t>64 - 44 - 43.78</t>
  </si>
  <si>
    <t>84875, Moncton Parish, Moncton, Westmorland County, New Brunswick, E1A 5R8, Canada</t>
  </si>
  <si>
    <t>46.3627750000001</t>
  </si>
  <si>
    <t>-64.7477777779999</t>
  </si>
  <si>
    <t>46 - 21 - 45.99</t>
  </si>
  <si>
    <t>64 - 44 - 52.0</t>
  </si>
  <si>
    <t>Chemin Renaud, Paroisse de Sainte-Marie, Comté de Kent, New Brunswick, E4V 1P4, Canada</t>
  </si>
  <si>
    <t>-65.5305999999999</t>
  </si>
  <si>
    <t>65 - 31 - 50.16</t>
  </si>
  <si>
    <t>47.512219444</t>
  </si>
  <si>
    <t>-64.906333333</t>
  </si>
  <si>
    <t>47 - 30 - 43.99</t>
  </si>
  <si>
    <t>64 - 54 - 22.8</t>
  </si>
  <si>
    <t>Tracadie, Paroisse de Saumarez, Comté de Gloucester, New Brunswick, E1X 1E1, Canada</t>
  </si>
  <si>
    <t>46.166008333</t>
  </si>
  <si>
    <t>-64.5837194439999</t>
  </si>
  <si>
    <t>46 - 9 - 57.63</t>
  </si>
  <si>
    <t>64 - 35 - 1.39</t>
  </si>
  <si>
    <t>177, Parker Road, Scoudouc Industrial Park, Paroisse de Shediac, Westmorland County, New Brunswick, Canada</t>
  </si>
  <si>
    <t>47.047572222</t>
  </si>
  <si>
    <t>-65.421811111</t>
  </si>
  <si>
    <t>47 - 2 - 51.26</t>
  </si>
  <si>
    <t>65 - 25 - 18.52</t>
  </si>
  <si>
    <t>Honey Street, Paroisse de Chatham, City of Miramichi, Northumberland County, New Brunswick, E1N 2P1, Canada</t>
  </si>
  <si>
    <t>46.827222222</t>
  </si>
  <si>
    <t>-67.723611111</t>
  </si>
  <si>
    <t>46 - 49 - 38.0</t>
  </si>
  <si>
    <t>67 - 43 - 25.0</t>
  </si>
  <si>
    <t>45.636666667</t>
  </si>
  <si>
    <t>-65.6997222219999</t>
  </si>
  <si>
    <t>45 - 38 - 12.0</t>
  </si>
  <si>
    <t>65 - 41 - 59.0</t>
  </si>
  <si>
    <t>Route 124, Norton, Norton Parish, Village of Valley Waters, Kings County, New Brunswick, E5T 2N0, Canada</t>
  </si>
  <si>
    <t>47.3509777780001</t>
  </si>
  <si>
    <t>-68.216627778</t>
  </si>
  <si>
    <t>47 - 21 - 3.52</t>
  </si>
  <si>
    <t>68 - 12 - 59.86</t>
  </si>
  <si>
    <t>20, Rue Maillet, Ville d'Edmundston, Comté de Madawaska, New Brunswick, E7C 2E4, Canada</t>
  </si>
  <si>
    <t>47.804452778</t>
  </si>
  <si>
    <t>-64.6388499999999</t>
  </si>
  <si>
    <t>47 - 48 - 16.03</t>
  </si>
  <si>
    <t>64 - 38 - 19.86</t>
  </si>
  <si>
    <t>Rue Des Aboiteaux, Paroisse de Shippagan, Comté de Gloucester, New Brunswick, E8T 1M6, Canada</t>
  </si>
  <si>
    <t>46.0703888890001</t>
  </si>
  <si>
    <t>-64.878111111</t>
  </si>
  <si>
    <t>46 - 4 - 13.4</t>
  </si>
  <si>
    <t>64 - 52 - 41.2</t>
  </si>
  <si>
    <t>45.9625888890001</t>
  </si>
  <si>
    <t>-66.639819444</t>
  </si>
  <si>
    <t>45 - 57 - 45.32</t>
  </si>
  <si>
    <t>66 - 38 - 23.35</t>
  </si>
  <si>
    <t>Fredericton Public Library, 12, Rue Carleton Street, Garrison District, Downtown, City of Fredericton, York County, New Brunswick, E3B 3T2, Canada</t>
  </si>
  <si>
    <t>45.8936027780001</t>
  </si>
  <si>
    <t>-66.570038889</t>
  </si>
  <si>
    <t>45 - 53 - 36.97</t>
  </si>
  <si>
    <t>66 - 34 - 12.14</t>
  </si>
  <si>
    <t>Rosewood Drive, Lincoln, Town of Oromocto, Sunbury County, New Brunswick, E3B 8N1, Canada</t>
  </si>
  <si>
    <t>46.2198277780001</t>
  </si>
  <si>
    <t>-64.542677778</t>
  </si>
  <si>
    <t>46 - 13 - 11.38</t>
  </si>
  <si>
    <t>64 - 32 - 33.64</t>
  </si>
  <si>
    <t>Rue Comeau, Paroisse de Shediac, Westmorland County, New Brunswick, E4P 2E8, Canada</t>
  </si>
  <si>
    <t>45.9867833330001</t>
  </si>
  <si>
    <t>-66.768875</t>
  </si>
  <si>
    <t>45 - 59 - 12.42</t>
  </si>
  <si>
    <t>66 - 46 - 7.95</t>
  </si>
  <si>
    <t>Diplomat Drive, Douglas Parish, Central York Rural Community, York County, New Brunswick, Canada</t>
  </si>
  <si>
    <t>47.173816667</t>
  </si>
  <si>
    <t>-65.41785</t>
  </si>
  <si>
    <t>47 - 10 - 25.74</t>
  </si>
  <si>
    <t>65 - 25 - 4.26</t>
  </si>
  <si>
    <t>Route 8, Paroisse de Newcastle, Northumberland County, New Brunswick, Canada</t>
  </si>
  <si>
    <t>45.8521388890001</t>
  </si>
  <si>
    <t>45 - 51 - 7.7</t>
  </si>
  <si>
    <t>46.094155556</t>
  </si>
  <si>
    <t>-64.766025</t>
  </si>
  <si>
    <t>46 - 5 - 38.96</t>
  </si>
  <si>
    <t>64 - 45 - 57.69</t>
  </si>
  <si>
    <t>Dollarama, boulevard Wheeler Boulevard, Moncton Parish, Moncton, Westmorland County, New Brunswick, E1A 6S2, Canada</t>
  </si>
  <si>
    <t>45.4938888890001</t>
  </si>
  <si>
    <t>-66.327219444</t>
  </si>
  <si>
    <t>45 - 29 - 38.0</t>
  </si>
  <si>
    <t>66 - 19 - 37.99</t>
  </si>
  <si>
    <t>Route 7, Fowlers Corners, Petersville Parish, Fundy Rural District, Queens County, New Brunswick, E5K 4A2, Canada</t>
  </si>
  <si>
    <t>47.6378</t>
  </si>
  <si>
    <t>-65.730216667</t>
  </si>
  <si>
    <t>47 - 38 - 16.08</t>
  </si>
  <si>
    <t>65 - 43 - 48.78</t>
  </si>
  <si>
    <t>Crestview Street, Bathurst Parish, Comté de Gloucester, New Brunswick, E2A 5B7, Canada</t>
  </si>
  <si>
    <t>47.0212250000001</t>
  </si>
  <si>
    <t>-64.8841944439999</t>
  </si>
  <si>
    <t>47 - 1 - 16.41</t>
  </si>
  <si>
    <t>64 - 53 - 3.1</t>
  </si>
  <si>
    <t>Route 117, Pointe-Sapin, Paroisse de Carleton, Comté de Kent, New Brunswick, Canada</t>
  </si>
  <si>
    <t>45.9782916670001</t>
  </si>
  <si>
    <t>-66.5887638889999</t>
  </si>
  <si>
    <t>45 - 58 - 41.85</t>
  </si>
  <si>
    <t>66 - 35 - 19.55</t>
  </si>
  <si>
    <t>Marysville Place, 20, Rue McGloin Street, Parker's Corner, Marysville, City of Fredericton, York County, New Brunswick, E3A 4A1, Canada</t>
  </si>
  <si>
    <t>45.8923888890001</t>
  </si>
  <si>
    <t>-65.295038889</t>
  </si>
  <si>
    <t>45 - 53 - 32.6</t>
  </si>
  <si>
    <t>65 - 17 - 42.14</t>
  </si>
  <si>
    <t>Ridge Road, Cardwell Parish, Kings Rural District, Kings County, New Brunswick, E4Z 1M2, Canada</t>
  </si>
  <si>
    <t>45.252069444</t>
  </si>
  <si>
    <t>-66.0743166669999</t>
  </si>
  <si>
    <t>45 - 15 - 7.45</t>
  </si>
  <si>
    <t>66 - 4 - 27.54</t>
  </si>
  <si>
    <t>Lancaster Avenue, Fundy Heights, Saint John West, City of Saint John, Saint John County, New Brunswick, E2M 2V4, Canada</t>
  </si>
  <si>
    <t>45.9353333330001</t>
  </si>
  <si>
    <t>-64.467277778</t>
  </si>
  <si>
    <t>45 - 56 - 7.2</t>
  </si>
  <si>
    <t>64 - 28 - 2.2</t>
  </si>
  <si>
    <t>46.0720000000001</t>
  </si>
  <si>
    <t>-64.8660833329999</t>
  </si>
  <si>
    <t>46 - 4 - 19.2</t>
  </si>
  <si>
    <t>64 - 51 - 57.9</t>
  </si>
  <si>
    <t>46.0925500000001</t>
  </si>
  <si>
    <t>-64.7963999999999</t>
  </si>
  <si>
    <t>46 - 5 - 33.18</t>
  </si>
  <si>
    <t>64 - 47 - 47.04</t>
  </si>
  <si>
    <t>Lockhart Avenue, Moncton Parish, Moncton, Westmorland County, New Brunswick, E1C 3B8, Canada</t>
  </si>
  <si>
    <t>46.2397083330001</t>
  </si>
  <si>
    <t>-64.512919444</t>
  </si>
  <si>
    <t>46 - 14 - 22.95</t>
  </si>
  <si>
    <t>64 - 30 - 46.51</t>
  </si>
  <si>
    <t>Beach Street, Paroisse de Shediac, Westmorland County, New Brunswick, E4P 2J0, Canada</t>
  </si>
  <si>
    <t>46.0958000000001</t>
  </si>
  <si>
    <t>-64.761</t>
  </si>
  <si>
    <t>46 - 5 - 44.88</t>
  </si>
  <si>
    <t>64 - 45 - 39.6</t>
  </si>
  <si>
    <t>Dynamite, Bass Pro Drive, Moncton Parish, Dieppe, Westmorland County, New Brunswick, E1A 6S2, Canada</t>
  </si>
  <si>
    <t>46.094555556</t>
  </si>
  <si>
    <t>-64.782144444</t>
  </si>
  <si>
    <t>46 - 5 - 40.4</t>
  </si>
  <si>
    <t>64 - 46 - 55.72</t>
  </si>
  <si>
    <t>Robinson Street, Moncton Parish, Moncton, Westmorland County, New Brunswick, E1C 5A2, Canada</t>
  </si>
  <si>
    <t>47.795613889</t>
  </si>
  <si>
    <t>-64.9324</t>
  </si>
  <si>
    <t>47 - 47 - 44.21</t>
  </si>
  <si>
    <t>64 - 55 - 56.64</t>
  </si>
  <si>
    <t>Salle de spectacle de Carrefour de la mer, 29, Le Quai des artistes, Caraquet, Comté de Gloucester, New Brunswick, E1W 1A5, Canada</t>
  </si>
  <si>
    <t>45.9887000000001</t>
  </si>
  <si>
    <t>-66.653069444</t>
  </si>
  <si>
    <t>45 - 59 - 19.32</t>
  </si>
  <si>
    <t>66 - 39 - 11.05</t>
  </si>
  <si>
    <t>Avenue Douglas Avenue, Fulton Heights, Barton, City of Fredericton, York County, New Brunswick, E3G 8V1, Canada</t>
  </si>
  <si>
    <t>46.7230750000001</t>
  </si>
  <si>
    <t>-67.715233333</t>
  </si>
  <si>
    <t>46 - 43 - 23.07</t>
  </si>
  <si>
    <t>67 - 42 - 54.84</t>
  </si>
  <si>
    <t>Uplands View, Perth-Andover, Perth Parish, Village of Southern Victoria, Victoria County, New Brunswick, E7H 1Y4, Canada</t>
  </si>
  <si>
    <t>45.074744444</t>
  </si>
  <si>
    <t>-66.7549611109999</t>
  </si>
  <si>
    <t>45 - 4 - 29.08</t>
  </si>
  <si>
    <t>66 - 45 - 17.86</t>
  </si>
  <si>
    <t>47.766333333</t>
  </si>
  <si>
    <t>-64.978916667</t>
  </si>
  <si>
    <t>47 - 45 - 58.8</t>
  </si>
  <si>
    <t>64 - 58 - 44.1</t>
  </si>
  <si>
    <t>46.0535611110001</t>
  </si>
  <si>
    <t>-65.054663889</t>
  </si>
  <si>
    <t>46 - 3 - 12.82</t>
  </si>
  <si>
    <t>65 - 3 - 16.79</t>
  </si>
  <si>
    <t>Route 2, Salisbury Parish, Westmorland County, New Brunswick, E4J 2G1, Canada</t>
  </si>
  <si>
    <t>46.1769444440001</t>
  </si>
  <si>
    <t>-64.841111111</t>
  </si>
  <si>
    <t>46 - 10 - 37.0</t>
  </si>
  <si>
    <t>64 - 50 - 28.0</t>
  </si>
  <si>
    <t>Ammon Road, Moncton Parish, Westmorland County, New Brunswick, E1H 2M3, Canada</t>
  </si>
  <si>
    <t>46.2150638890001</t>
  </si>
  <si>
    <t>-64.2693138889999</t>
  </si>
  <si>
    <t>46 - 12 - 54.23</t>
  </si>
  <si>
    <t>64 - 16 - 9.53</t>
  </si>
  <si>
    <t>Ultramar, 2657, Chemin Acadie, Botsford Parish, Westmorland County, New Brunswick, E4N 1C2, Canada</t>
  </si>
  <si>
    <t>45.954294444</t>
  </si>
  <si>
    <t>-67.353952778</t>
  </si>
  <si>
    <t>45 - 57 - 15.46</t>
  </si>
  <si>
    <t>67 - 21 - 14.23</t>
  </si>
  <si>
    <t>45.8851666670001</t>
  </si>
  <si>
    <t>-64.3071666669999</t>
  </si>
  <si>
    <t>45 - 53 - 6.6</t>
  </si>
  <si>
    <t>64 - 18 - 25.8</t>
  </si>
  <si>
    <t>Route 2, Sackville Parish, Westmorland County, New Brunswick, E4L 2X2, Canada</t>
  </si>
  <si>
    <t>46.5000000000001</t>
  </si>
  <si>
    <t>-65.9991666669999</t>
  </si>
  <si>
    <t>46 - 30 - 0.0</t>
  </si>
  <si>
    <t>65 - 59 - 57.0</t>
  </si>
  <si>
    <t>Blissfield Parish, Northumberland County, New Brunswick, Canada</t>
  </si>
  <si>
    <t>47.3011388890001</t>
  </si>
  <si>
    <t>-68.58575</t>
  </si>
  <si>
    <t>47 - 18 - 4.1</t>
  </si>
  <si>
    <t>68 - 35 - 8.7</t>
  </si>
  <si>
    <t>Caron Brook, Paroisse de Clair, Haut-Madawaska, Comté de Madawaska, New Brunswick, Canada</t>
  </si>
  <si>
    <t>46.3121944440001</t>
  </si>
  <si>
    <t>-66.7119777779999</t>
  </si>
  <si>
    <t>46 - 18 - 43.9</t>
  </si>
  <si>
    <t>66 - 42 - 43.12</t>
  </si>
  <si>
    <t>Route 625, Stanley Parish, Nashwaak Rural Community, York County, New Brunswick, E6B 1B2, Canada</t>
  </si>
  <si>
    <t>47.640966667</t>
  </si>
  <si>
    <t>-65.753830556</t>
  </si>
  <si>
    <t>47 - 38 - 27.48</t>
  </si>
  <si>
    <t>65 - 45 - 13.79</t>
  </si>
  <si>
    <t>Petrie Street, Bathurst Parish, Comté de Gloucester, New Brunswick, E2A 7C2, Canada</t>
  </si>
  <si>
    <t>46.4825000000001</t>
  </si>
  <si>
    <t>-67.0474972219999</t>
  </si>
  <si>
    <t>46 - 28 - 57.0</t>
  </si>
  <si>
    <t>67 - 2 - 50.99</t>
  </si>
  <si>
    <t>Deersdale, Douglas Parish, Capital Region Rural District, York County, New Brunswick, Canada</t>
  </si>
  <si>
    <t>45.988077778</t>
  </si>
  <si>
    <t>-66.639319444</t>
  </si>
  <si>
    <t>45 - 59 - 17.08</t>
  </si>
  <si>
    <t>66 - 38 - 21.55</t>
  </si>
  <si>
    <t>217, Allée Carrington Lane, Fulton Heights, Nashwaaksis, City of Fredericton, York County, New Brunswick, E3G 8V1, Canada</t>
  </si>
  <si>
    <t>45.8109388890001</t>
  </si>
  <si>
    <t>-66.2024499999999</t>
  </si>
  <si>
    <t>45 - 48 - 39.38</t>
  </si>
  <si>
    <t>66 - 12 - 8.82</t>
  </si>
  <si>
    <t>Route 102, Gagetown Parish, Village of Arcadia, Queens County, New Brunswick, E5M 1S6, Canada</t>
  </si>
  <si>
    <t>46.3854250000001</t>
  </si>
  <si>
    <t>-64.665555556</t>
  </si>
  <si>
    <t>46 - 23 - 7.53</t>
  </si>
  <si>
    <t>64 - 39 - 56.0</t>
  </si>
  <si>
    <t>45.2385</t>
  </si>
  <si>
    <t>-67.23375</t>
  </si>
  <si>
    <t>45 - 14 - 18.6</t>
  </si>
  <si>
    <t>67 - 14 - 1.5</t>
  </si>
  <si>
    <t>45.7516416670001</t>
  </si>
  <si>
    <t>-65.416255556</t>
  </si>
  <si>
    <t>45 - 45 - 5.91</t>
  </si>
  <si>
    <t>65 - 24 - 58.52</t>
  </si>
  <si>
    <t>Ecotel inc.</t>
  </si>
  <si>
    <t>Route 1, Cardwell Parish, Kings Rural District, Kings County, New Brunswick, E4E 5J5, Canada</t>
  </si>
  <si>
    <t>46.0583472220001</t>
  </si>
  <si>
    <t>-64.58635</t>
  </si>
  <si>
    <t>46 - 3 - 30.05</t>
  </si>
  <si>
    <t>64 - 35 - 10.86</t>
  </si>
  <si>
    <t>Route 2, Dorchester Parish, Westmorland County, New Brunswick, Canada</t>
  </si>
  <si>
    <t>45.203888889</t>
  </si>
  <si>
    <t>-66.1919444439999</t>
  </si>
  <si>
    <t>45 - 12 - 14.0</t>
  </si>
  <si>
    <t>66 - 11 - 31.0</t>
  </si>
  <si>
    <t>3243, Route 1, Prince of Wales, City of Saint John, Rural Community of Fundy Shores, Saint John County, New Brunswick, E2M 7E6, Canada</t>
  </si>
  <si>
    <t>45.589166667</t>
  </si>
  <si>
    <t>-67.328611111</t>
  </si>
  <si>
    <t>45 - 35 - 21.0</t>
  </si>
  <si>
    <t>67 - 19 - 43.0</t>
  </si>
  <si>
    <t>McAdam Railway Station, Saunders Road, McAdam Parish, York County, New Brunswick, E6J 1L2, Canada</t>
  </si>
  <si>
    <t>46.6867333330001</t>
  </si>
  <si>
    <t>-65.075086111</t>
  </si>
  <si>
    <t>46 - 41 - 12.24</t>
  </si>
  <si>
    <t>65 - 4 - 30.31</t>
  </si>
  <si>
    <t>46.094472222</t>
  </si>
  <si>
    <t>-64.789752778</t>
  </si>
  <si>
    <t>46 - 5 - 40.1</t>
  </si>
  <si>
    <t>64 - 47 - 23.11</t>
  </si>
  <si>
    <t>Weldon Street, Moncton Parish, Moncton, Westmorland County, New Brunswick, E1C 8X3, Canada</t>
  </si>
  <si>
    <t>47.640119444</t>
  </si>
  <si>
    <t>-65.678047222</t>
  </si>
  <si>
    <t>47 - 38 - 24.43</t>
  </si>
  <si>
    <t>65 - 40 - 40.97</t>
  </si>
  <si>
    <t>Place Bathurst Mall, 1300, Saint Peter Avenue, City of Bathurst, Comté de Gloucester, New Brunswick, E2A 3A6, Canada</t>
  </si>
  <si>
    <t>47.9581111110001</t>
  </si>
  <si>
    <t>-66.2413888889999</t>
  </si>
  <si>
    <t>47 - 57 - 29.2</t>
  </si>
  <si>
    <t>66 - 14 - 29.0</t>
  </si>
  <si>
    <t>-65.6742</t>
  </si>
  <si>
    <t>65 - 40 - 27.12</t>
  </si>
  <si>
    <t>46.096444444</t>
  </si>
  <si>
    <t>-64.871608333</t>
  </si>
  <si>
    <t>46 - 5 - 47.2</t>
  </si>
  <si>
    <t>64 - 52 - 17.79</t>
  </si>
  <si>
    <t>46.115986111</t>
  </si>
  <si>
    <t>-64.831091667</t>
  </si>
  <si>
    <t>46 - 6 - 57.55</t>
  </si>
  <si>
    <t>64 - 49 - 51.93</t>
  </si>
  <si>
    <t>Trinity Drive, Hildegarde, Moncton Parish, Moncton, Westmorland County, New Brunswick, E1G 2J7, Canada</t>
  </si>
  <si>
    <t>46.024958333</t>
  </si>
  <si>
    <t>-65.833108333</t>
  </si>
  <si>
    <t>46 - 1 - 29.85</t>
  </si>
  <si>
    <t>65 - 49 - 59.19</t>
  </si>
  <si>
    <t>Kelly Road, Waterborough Parish, Village of Arcadia, Queens County, New Brunswick, Canada</t>
  </si>
  <si>
    <t>47.2975000000001</t>
  </si>
  <si>
    <t>-68.3869444439999</t>
  </si>
  <si>
    <t>47 - 17 - 51.0</t>
  </si>
  <si>
    <t>68 - 23 - 13.0</t>
  </si>
  <si>
    <t>Rue du Parc Industrielle, Saint-Hilaire, Paroisse de Saint-Hilaire, Haut-Madawaska, Comté de Madawaska, New Brunswick, Canada</t>
  </si>
  <si>
    <t>45.3525000000001</t>
  </si>
  <si>
    <t>-66.2325</t>
  </si>
  <si>
    <t>45 - 21 - 9.0</t>
  </si>
  <si>
    <t>66 - 13 - 57.0</t>
  </si>
  <si>
    <t>Nerepis Road, Westfield Beach, Lingley, Westfield Parish, Town of Grand Bay-Westfield, Kings County, New Brunswick, E5K 3C8, Canada</t>
  </si>
  <si>
    <t>46.081333333</t>
  </si>
  <si>
    <t>-64.8484999999999</t>
  </si>
  <si>
    <t>46 - 4 - 52.8</t>
  </si>
  <si>
    <t>64 - 50 - 54.6</t>
  </si>
  <si>
    <t>45.9290222220001</t>
  </si>
  <si>
    <t>-64.460425</t>
  </si>
  <si>
    <t>45 - 55 - 44.48</t>
  </si>
  <si>
    <t>64 - 27 - 37.53</t>
  </si>
  <si>
    <t>45.87195</t>
  </si>
  <si>
    <t>-65.869580556</t>
  </si>
  <si>
    <t>45 - 52 - 19.02</t>
  </si>
  <si>
    <t>65 - 52 - 10.49</t>
  </si>
  <si>
    <t>Route 715, Johnston Parish, Butternut Valley Rural Community, Queens County, New Brunswick, Canada</t>
  </si>
  <si>
    <t>46.1016638890001</t>
  </si>
  <si>
    <t>-64.812797222</t>
  </si>
  <si>
    <t>46 - 6 - 5.99</t>
  </si>
  <si>
    <t>64 - 48 - 46.07</t>
  </si>
  <si>
    <t>Cedar Street, Moncton Parish, Moncton, Westmorland County, New Brunswick, E1C 7L3, Canada</t>
  </si>
  <si>
    <t>45.953347222</t>
  </si>
  <si>
    <t>-66.684911111</t>
  </si>
  <si>
    <t>45 - 57 - 12.05</t>
  </si>
  <si>
    <t>66 - 41 - 5.68</t>
  </si>
  <si>
    <t>Chemin Hanwell, Colonial Heights, City of Fredericton, York County, New Brunswick, E3B 9R6, Canada</t>
  </si>
  <si>
    <t>45.369080556</t>
  </si>
  <si>
    <t>-65.9965</t>
  </si>
  <si>
    <t>45 - 22 - 8.69</t>
  </si>
  <si>
    <t>65 - 59 - 47.4</t>
  </si>
  <si>
    <t>45.9233333330001</t>
  </si>
  <si>
    <t>-65.222777778</t>
  </si>
  <si>
    <t>45 - 55 - 24.0</t>
  </si>
  <si>
    <t>65 - 13 - 22.0</t>
  </si>
  <si>
    <t>46.1772777780001</t>
  </si>
  <si>
    <t>-65.878222222</t>
  </si>
  <si>
    <t>46 - 10 - 38.2</t>
  </si>
  <si>
    <t>65 - 52 - 41.6</t>
  </si>
  <si>
    <t>Main Street, Chipman, Chipman Parish, Municipality of Grand Lake, Queens County, New Brunswick, E4A 2H1, Canada</t>
  </si>
  <si>
    <t>46.1048555560001</t>
  </si>
  <si>
    <t>-64.666933333</t>
  </si>
  <si>
    <t>46 - 6 - 17.48</t>
  </si>
  <si>
    <t>64 - 40 - 0.96</t>
  </si>
  <si>
    <t>1855, Rue Champlain, Moncton Parish, Dieppe, Westmorland County, New Brunswick, E1A 1R5, Canada</t>
  </si>
  <si>
    <t>46.093308333</t>
  </si>
  <si>
    <t>-63.9617916669999</t>
  </si>
  <si>
    <t>46 - 5 - 35.91</t>
  </si>
  <si>
    <t>63 - 57 - 42.45</t>
  </si>
  <si>
    <t>46.220886111</t>
  </si>
  <si>
    <t>-64.3928583329999</t>
  </si>
  <si>
    <t>46 - 13 - 15.19</t>
  </si>
  <si>
    <t>64 - 23 - 34.29</t>
  </si>
  <si>
    <t>Ocean View Park, Route 133, Robichaud, Paroisse de Shediac, Westmorland County, New Brunswick, E4P 8G7, Canada</t>
  </si>
  <si>
    <t>47.461666667</t>
  </si>
  <si>
    <t>-65.483888889</t>
  </si>
  <si>
    <t>47 - 27 - 42.0</t>
  </si>
  <si>
    <t>65 - 29 - 2.0</t>
  </si>
  <si>
    <t>46.151416667</t>
  </si>
  <si>
    <t>-66.039277778</t>
  </si>
  <si>
    <t>46 - 9 - 5.1</t>
  </si>
  <si>
    <t>66 - 2 - 21.4</t>
  </si>
  <si>
    <t>47.3533333330001</t>
  </si>
  <si>
    <t>-68.3680555559999</t>
  </si>
  <si>
    <t>47 - 21 - 12.0</t>
  </si>
  <si>
    <t>68 - 22 - 5.0</t>
  </si>
  <si>
    <t>Rue Saint-François, Paroisse de Madawaska, Ville d'Edmundston, Comté de Madawaska, New Brunswick, E3V 1G4, Canada</t>
  </si>
  <si>
    <t>46.4104722220001</t>
  </si>
  <si>
    <t>-66.9216111109999</t>
  </si>
  <si>
    <t>46 - 24 - 37.7</t>
  </si>
  <si>
    <t>66 - 55 - 17.8</t>
  </si>
  <si>
    <t>47.022011111</t>
  </si>
  <si>
    <t>-65.46165</t>
  </si>
  <si>
    <t>47 - 1 - 19.24</t>
  </si>
  <si>
    <t>65 - 27 - 41.94</t>
  </si>
  <si>
    <t>University Avenue, Chatham, Paroisse de Chatham, City of Miramichi, Northumberland County, New Brunswick, E1N 2T4, Canada</t>
  </si>
  <si>
    <t>46.075833333</t>
  </si>
  <si>
    <t>-64.863722222</t>
  </si>
  <si>
    <t>46 - 4 - 33.0</t>
  </si>
  <si>
    <t>64 - 51 - 49.4</t>
  </si>
  <si>
    <t>46.2395777780001</t>
  </si>
  <si>
    <t>-64.5160999999999</t>
  </si>
  <si>
    <t>46 - 14 - 22.48</t>
  </si>
  <si>
    <t>64 - 30 - 57.96</t>
  </si>
  <si>
    <t>St. John Street, Paroisse de Shediac, Westmorland County, New Brunswick, E4P 2J0, Canada</t>
  </si>
  <si>
    <t>47.2327777780001</t>
  </si>
  <si>
    <t>-68.0108333329999</t>
  </si>
  <si>
    <t>47 - 13 - 58.0</t>
  </si>
  <si>
    <t>68 - 0 - 39.0</t>
  </si>
  <si>
    <t>12689, Route 144, Paroisse de Sainte-Anne, Ville de Vallée-des-Rivières, Comté de Madawaska, New Brunswick, Canada</t>
  </si>
  <si>
    <t>47.2859444440001</t>
  </si>
  <si>
    <t>-68.424805556</t>
  </si>
  <si>
    <t>47 - 17 - 9.4</t>
  </si>
  <si>
    <t>68 - 25 - 29.3</t>
  </si>
  <si>
    <t>Route 120, Paroisse de Saint-Hilaire, Haut-Madawaska, Comté de Madawaska, New Brunswick, Canada</t>
  </si>
  <si>
    <t>45.960677778</t>
  </si>
  <si>
    <t>-66.63825</t>
  </si>
  <si>
    <t>45 - 57 - 38.44</t>
  </si>
  <si>
    <t>66 - 38 - 17.7</t>
  </si>
  <si>
    <t>46.102136111</t>
  </si>
  <si>
    <t>-64.796686111</t>
  </si>
  <si>
    <t>46 - 6 - 7.69</t>
  </si>
  <si>
    <t>64 - 47 - 48.07</t>
  </si>
  <si>
    <t>McArthur Avenue, Moncton Parish, Moncton, Westmorland County, New Brunswick, E1C 2P6, Canada</t>
  </si>
  <si>
    <t>47.511383333</t>
  </si>
  <si>
    <t>-67.3816944439999</t>
  </si>
  <si>
    <t>47 - 30 - 40.98</t>
  </si>
  <si>
    <t>67 - 22 - 54.1</t>
  </si>
  <si>
    <t>Rue de l'Aréna, Paroisse de Saint Quentin, New Brunswick, E8A 1H5, Canada</t>
  </si>
  <si>
    <t>46.0644</t>
  </si>
  <si>
    <t>-64.6965333329999</t>
  </si>
  <si>
    <t>46 - 3 - 51.84</t>
  </si>
  <si>
    <t>64 - 41 - 47.52</t>
  </si>
  <si>
    <t>Rue Marguerite, Saint-Anselme, Moncton Parish, Dieppe, Westmorland County, New Brunswick, E1A 7I4, Canada</t>
  </si>
  <si>
    <t>45.1967500000001</t>
  </si>
  <si>
    <t>-67.1285999999999</t>
  </si>
  <si>
    <t>45 - 11 - 48.3</t>
  </si>
  <si>
    <t>67 - 7 - 42.96</t>
  </si>
  <si>
    <t>47.034722222</t>
  </si>
  <si>
    <t>-67.6369444439999</t>
  </si>
  <si>
    <t>47 - 2 - 5.0</t>
  </si>
  <si>
    <t>67 - 38 - 13.0</t>
  </si>
  <si>
    <t>Chemin Canton, Municipalité régionale de Grand-Sault, Victoria County, New Brunswick, E7G 1K9, Canada</t>
  </si>
  <si>
    <t>45.9230555560001</t>
  </si>
  <si>
    <t>-64.520444444</t>
  </si>
  <si>
    <t>45 - 55 - 23.0</t>
  </si>
  <si>
    <t>64 - 31 - 13.6</t>
  </si>
  <si>
    <t>Route 106, Dorchester Parish, Westmorland County, New Brunswick, E4K 2Y9, Canada</t>
  </si>
  <si>
    <t>46.0926388890001</t>
  </si>
  <si>
    <t>-64.866277778</t>
  </si>
  <si>
    <t>46 - 5 - 33.5</t>
  </si>
  <si>
    <t>64 - 51 - 58.6</t>
  </si>
  <si>
    <t>47.024086111</t>
  </si>
  <si>
    <t>-65.4662</t>
  </si>
  <si>
    <t>47 - 1 - 26.71</t>
  </si>
  <si>
    <t>65 - 27 - 58.32</t>
  </si>
  <si>
    <t>New Brunswick Community College - Miramichi Campus, Howard Street, Chatham, Paroisse de Chatham, City of Miramichi, Northumberland County, New Brunswick, E1N 2T4, Canada</t>
  </si>
  <si>
    <t>46.172252778</t>
  </si>
  <si>
    <t>-65.873627778</t>
  </si>
  <si>
    <t>46 - 10 - 20.11</t>
  </si>
  <si>
    <t>65 - 52 - 25.06</t>
  </si>
  <si>
    <t>Arena Street, Chipman, Chipman Parish, Municipality of Grand Lake, Queens County, New Brunswick, E4A 2H1, Canada</t>
  </si>
  <si>
    <t>45.2747000000001</t>
  </si>
  <si>
    <t>-66.062505556</t>
  </si>
  <si>
    <t>45 - 16 - 28.92</t>
  </si>
  <si>
    <t>66 - 3 - 45.02</t>
  </si>
  <si>
    <t>1, Peel Plaza, Parker's Corner, Indiantown, City of Saint John, Saint John County, New Brunswick, E2L 3G6, Canada</t>
  </si>
  <si>
    <t>47.920561111</t>
  </si>
  <si>
    <t>-66.1414</t>
  </si>
  <si>
    <t>47 - 55 - 14.02</t>
  </si>
  <si>
    <t>66 - 8 - 29.04</t>
  </si>
  <si>
    <t>Route 11, Durham Parish, New Brunswick, Canada</t>
  </si>
  <si>
    <t>45.946586111</t>
  </si>
  <si>
    <t>-67.279958333</t>
  </si>
  <si>
    <t>45 - 56 - 47.71</t>
  </si>
  <si>
    <t>67 - 16 - 47.85</t>
  </si>
  <si>
    <t>Route 2, Dumfries Parish, Nackawic-Millville Rural Community, York County, New Brunswick, Canada</t>
  </si>
  <si>
    <t>46.0722222220001</t>
  </si>
  <si>
    <t>46 - 4 - 20.0</t>
  </si>
  <si>
    <t>-67.7452222219999</t>
  </si>
  <si>
    <t>67 - 44 - 42.8</t>
  </si>
  <si>
    <t>49, Chemin CN, Paroisse de Saint-André, Municipalité régionale de Grand-Sault, Comté de Madawaska, New Brunswick, E3Y 1A4, Canada</t>
  </si>
  <si>
    <t>45.923963889</t>
  </si>
  <si>
    <t>-66.6205805559999</t>
  </si>
  <si>
    <t>45 - 55 - 26.27</t>
  </si>
  <si>
    <t>66 - 37 - 14.09</t>
  </si>
  <si>
    <t>52, Helena Court, Southwood Park, City of Fredericton, York County, New Brunswick, E3B 5Y5, Canada</t>
  </si>
  <si>
    <t>45.2523194440001</t>
  </si>
  <si>
    <t>-66.0698277779999</t>
  </si>
  <si>
    <t>45 - 15 - 8.35</t>
  </si>
  <si>
    <t>66 - 4 - 11.38</t>
  </si>
  <si>
    <t>320, Woodville Road, Fundy Heights, Hodges Point, City of Saint John, Saint John County, New Brunswick, E2M 2A9, Canada</t>
  </si>
  <si>
    <t>46.07725</t>
  </si>
  <si>
    <t>-64.854444444</t>
  </si>
  <si>
    <t>46 - 4 - 38.1</t>
  </si>
  <si>
    <t>64 - 51 - 16.0</t>
  </si>
  <si>
    <t>46.4141666670001</t>
  </si>
  <si>
    <t>-66.9347222219999</t>
  </si>
  <si>
    <t>46 - 24 - 51.0</t>
  </si>
  <si>
    <t>66 - 56 - 5.0</t>
  </si>
  <si>
    <t>Douglas Parish, Nashwaak Rural Community, York County, New Brunswick, Canada</t>
  </si>
  <si>
    <t>45.9346722220001</t>
  </si>
  <si>
    <t>-66.6312444439999</t>
  </si>
  <si>
    <t>45 - 56 - 4.82</t>
  </si>
  <si>
    <t>66 - 37 - 52.48</t>
  </si>
  <si>
    <t>656, Forest Hill Road, Dunn's Crossing, Forest Hills, City of Fredericton, York County, New Brunswick, E3B 6X5, Canada</t>
  </si>
  <si>
    <t>46.9468055560001</t>
  </si>
  <si>
    <t>-67.528611111</t>
  </si>
  <si>
    <t>46 - 56 - 48.5</t>
  </si>
  <si>
    <t>67 - 31 - 43.0</t>
  </si>
  <si>
    <t>Route 108, Paroisse de Denmark, Western Valley Rural District, Victoria County, New Brunswick, Canada</t>
  </si>
  <si>
    <t>46.2103888890001</t>
  </si>
  <si>
    <t>-65.578277778</t>
  </si>
  <si>
    <t>46 - 12 - 37.4</t>
  </si>
  <si>
    <t>65 - 34 - 41.8</t>
  </si>
  <si>
    <t>Waterborough Parish, Capital Region Rural District, Queens County, New Brunswick, Canada</t>
  </si>
  <si>
    <t>44.860127778</t>
  </si>
  <si>
    <t>-66.976961111</t>
  </si>
  <si>
    <t>44 - 51 - 36.46</t>
  </si>
  <si>
    <t>66 - 58 - 37.06</t>
  </si>
  <si>
    <t>774, Campobello Parish, Rural Community of Campobello Island, Charlotte County, New Brunswick, E5E 1G3, Canada</t>
  </si>
  <si>
    <t>45.228444444</t>
  </si>
  <si>
    <t>-66.8404305559999</t>
  </si>
  <si>
    <t>45 - 13 - 42.4</t>
  </si>
  <si>
    <t>66 - 50 - 25.55</t>
  </si>
  <si>
    <t>Canal Road, Saint George Parish, Municipality of Eastern Charlotte, Charlotte County, New Brunswick, Canada</t>
  </si>
  <si>
    <t>45.3962638890001</t>
  </si>
  <si>
    <t>-65.982147222</t>
  </si>
  <si>
    <t>45 - 23 - 46.55</t>
  </si>
  <si>
    <t>65 - 58 - 55.73</t>
  </si>
  <si>
    <t>Marr Road, Fairvale, Rothesay Parish, Town of Rothesay, Kings County, New Brunswick, E2E 5E9, Canada</t>
  </si>
  <si>
    <t>47.3828611110001</t>
  </si>
  <si>
    <t>-64.9670833329999</t>
  </si>
  <si>
    <t>47 - 22 - 58.3</t>
  </si>
  <si>
    <t>64 - 58 - 1.5</t>
  </si>
  <si>
    <t>-65.987661111</t>
  </si>
  <si>
    <t>65 - 59 - 15.58</t>
  </si>
  <si>
    <t>45.1857527780001</t>
  </si>
  <si>
    <t>-66.9763027779999</t>
  </si>
  <si>
    <t>45 - 11 - 8.71</t>
  </si>
  <si>
    <t>66 - 58 - 34.69</t>
  </si>
  <si>
    <t>Route 1, Digdeguash, Saint Patrick Parish, Southwest Rural District, Charlotte County, New Brunswick, Canada</t>
  </si>
  <si>
    <t>46.2819166670001</t>
  </si>
  <si>
    <t>-66.3333888889999</t>
  </si>
  <si>
    <t>46 - 16 - 54.9</t>
  </si>
  <si>
    <t>66 - 20 - 0.2</t>
  </si>
  <si>
    <t>Saint Marys Parish, Nashwaak Rural Community, York County, New Brunswick, Canada</t>
  </si>
  <si>
    <t>45.8600000000001</t>
  </si>
  <si>
    <t>-64.4377499999999</t>
  </si>
  <si>
    <t>45 - 51 - 36.0</t>
  </si>
  <si>
    <t>64 - 26 - 15.9</t>
  </si>
  <si>
    <t>Evans, Sackville Parish, Westmorland County, New Brunswick, Canada</t>
  </si>
  <si>
    <t>-64.747347222</t>
  </si>
  <si>
    <t>64 - 44 - 50.45</t>
  </si>
  <si>
    <t>Urquhart Avenue, Moncton Parish, Moncton, Westmorland County, New Brunswick, E1A 9T4, Canada</t>
  </si>
  <si>
    <t>46.087238889</t>
  </si>
  <si>
    <t>-64.5925194439999</t>
  </si>
  <si>
    <t>46 - 5 - 14.06</t>
  </si>
  <si>
    <t>64 - 35 - 33.07</t>
  </si>
  <si>
    <t>46.979236111</t>
  </si>
  <si>
    <t>-65.609022222</t>
  </si>
  <si>
    <t>46 - 58 - 45.25</t>
  </si>
  <si>
    <t>65 - 36 - 32.48</t>
  </si>
  <si>
    <t>164, Route 8, Paroisse de Newcastle, Northumberland County, New Brunswick, E1V 1K7, Canada</t>
  </si>
  <si>
    <t>46.7355555560001</t>
  </si>
  <si>
    <t>-65.419722222</t>
  </si>
  <si>
    <t>46 - 44 - 8.0</t>
  </si>
  <si>
    <t>65 - 25 - 11.0</t>
  </si>
  <si>
    <t>46.071861111</t>
  </si>
  <si>
    <t>-64.867083333</t>
  </si>
  <si>
    <t>46 - 4 - 18.7</t>
  </si>
  <si>
    <t>64 - 52 - 1.5</t>
  </si>
  <si>
    <t>46.0637888890001</t>
  </si>
  <si>
    <t>-66.5816694439999</t>
  </si>
  <si>
    <t>46 - 3 - 49.64</t>
  </si>
  <si>
    <t>66 - 34 - 54.01</t>
  </si>
  <si>
    <t>46.7776388890001</t>
  </si>
  <si>
    <t>-67.303111111</t>
  </si>
  <si>
    <t>46 - 46 - 39.5</t>
  </si>
  <si>
    <t>67 - 18 - 11.2</t>
  </si>
  <si>
    <t>Gordon Parish, Western Valley Rural District, Victoria County, New Brunswick, Canada</t>
  </si>
  <si>
    <t>47.649805556</t>
  </si>
  <si>
    <t>-65.693330556</t>
  </si>
  <si>
    <t>47 - 38 - 59.3</t>
  </si>
  <si>
    <t>65 - 41 - 35.99</t>
  </si>
  <si>
    <t>Vallée Lourde Drive, Bathurst Parish, Comté de Gloucester, New Brunswick, E2A 3N2, Canada</t>
  </si>
  <si>
    <t>47.599305556</t>
  </si>
  <si>
    <t>-65.684638889</t>
  </si>
  <si>
    <t>47 - 35 - 57.5</t>
  </si>
  <si>
    <t>65 - 41 - 4.7</t>
  </si>
  <si>
    <t>46.096469444</t>
  </si>
  <si>
    <t>-64.7567888889999</t>
  </si>
  <si>
    <t>46 - 5 - 47.29</t>
  </si>
  <si>
    <t>64 - 45 - 24.44</t>
  </si>
  <si>
    <t>Canadian Tire, 2225, Sunset Avenue, Moncton Parish, Dieppe, Westmorland County, New Brunswick, E1A 5T2, Canada</t>
  </si>
  <si>
    <t>45.9928166670001</t>
  </si>
  <si>
    <t>-66.652058333</t>
  </si>
  <si>
    <t>45 - 59 - 34.14</t>
  </si>
  <si>
    <t>66 - 39 - 7.41</t>
  </si>
  <si>
    <t>Brookside Mall, 409-463, Brookside Drive, Brookside Mall, Brookside West, City of Fredericton, York County, New Brunswick, E3G 8V1, Canada</t>
  </si>
  <si>
    <t>46.0975666670001</t>
  </si>
  <si>
    <t>-64.796558333</t>
  </si>
  <si>
    <t>46 - 5 - 51.24</t>
  </si>
  <si>
    <t>64 - 47 - 47.61</t>
  </si>
  <si>
    <t>Limerick Street, Moncton Parish, Moncton, Westmorland County, New Brunswick, E1C 3B8, Canada</t>
  </si>
  <si>
    <t>46.5153194440001</t>
  </si>
  <si>
    <t>-66.481019444</t>
  </si>
  <si>
    <t>46 - 30 - 55.15</t>
  </si>
  <si>
    <t>66 - 28 - 51.67</t>
  </si>
  <si>
    <t>Carson Lane, Ludlow Parish, Rural Community of Upper Miramichi, Northumberland County, New Brunswick, Canada</t>
  </si>
  <si>
    <t>46.452577778</t>
  </si>
  <si>
    <t>-66.529247222</t>
  </si>
  <si>
    <t>46 - 27 - 9.28</t>
  </si>
  <si>
    <t>66 - 31 - 45.29</t>
  </si>
  <si>
    <t>45.5577777780001</t>
  </si>
  <si>
    <t>-65.5733333329999</t>
  </si>
  <si>
    <t>45 - 33 - 28.0</t>
  </si>
  <si>
    <t>65 - 34 - 24.0</t>
  </si>
  <si>
    <t>Route 865, Hammond Parish, Kings Rural District, Kings County, New Brunswick, Canada</t>
  </si>
  <si>
    <t>46.3651944440001</t>
  </si>
  <si>
    <t>-66.569333333</t>
  </si>
  <si>
    <t>46 - 21 - 54.7</t>
  </si>
  <si>
    <t>66 - 34 - 9.6</t>
  </si>
  <si>
    <t>A Street, McGivney, Stanley Parish, Rural Community of Upper Miramichi, York County, New Brunswick, Canada</t>
  </si>
  <si>
    <t>46.1437222220001</t>
  </si>
  <si>
    <t>-64.902305556</t>
  </si>
  <si>
    <t>46 - 8 - 37.4</t>
  </si>
  <si>
    <t>64 - 54 - 8.3</t>
  </si>
  <si>
    <t>46.20975</t>
  </si>
  <si>
    <t>-65.5485555559999</t>
  </si>
  <si>
    <t>46 - 12 - 35.1</t>
  </si>
  <si>
    <t>65 - 32 - 54.8</t>
  </si>
  <si>
    <t>Brunswick Parish, Kings Rural District, Queens County, New Brunswick, Canada</t>
  </si>
  <si>
    <t>46.091388889</t>
  </si>
  <si>
    <t>-64.596388889</t>
  </si>
  <si>
    <t>46 - 5 - 29.0</t>
  </si>
  <si>
    <t>64 - 35 - 47.0</t>
  </si>
  <si>
    <t>Route 2, Moncton Parish, Dieppe, Westmorland County, New Brunswick, Canada</t>
  </si>
  <si>
    <t>45.5427777780001</t>
  </si>
  <si>
    <t>-66.494722222</t>
  </si>
  <si>
    <t>45 - 32 - 34.0</t>
  </si>
  <si>
    <t>66 - 29 - 41.0</t>
  </si>
  <si>
    <t>Enniskillen Road, Enniskillen, Petersville Parish, Capital Region Rural District, Queens County, New Brunswick, Canada</t>
  </si>
  <si>
    <t>46.492138889</t>
  </si>
  <si>
    <t>-67.034472222</t>
  </si>
  <si>
    <t>46 - 29 - 31.7</t>
  </si>
  <si>
    <t>67 - 2 - 4.1</t>
  </si>
  <si>
    <t>Route 107, Deersdale, Douglas Parish, Capital Region Rural District, York County, New Brunswick, Canada</t>
  </si>
  <si>
    <t>45.068658333</t>
  </si>
  <si>
    <t>-66.4541555559999</t>
  </si>
  <si>
    <t>45 - 4 - 7.17</t>
  </si>
  <si>
    <t>66 - 27 - 14.96</t>
  </si>
  <si>
    <t>Duck Pond Road, Musquash Parish, Rural Community of Fundy Shores, Saint John County, New Brunswick, E5J 1W4, Canada</t>
  </si>
  <si>
    <t>45.887777778</t>
  </si>
  <si>
    <t>-64.3244444439999</t>
  </si>
  <si>
    <t>45 - 53 - 16.0</t>
  </si>
  <si>
    <t>64 - 19 - 28.0</t>
  </si>
  <si>
    <t>46.0563888890001</t>
  </si>
  <si>
    <t>-64.021111111</t>
  </si>
  <si>
    <t>46 - 3 - 23.0</t>
  </si>
  <si>
    <t>64 - 1 - 16.0</t>
  </si>
  <si>
    <t>Monash Cove Lane, Bayside, Botsford Parish, Westmorland County, New Brunswick, Canada</t>
  </si>
  <si>
    <t>45.252152778</t>
  </si>
  <si>
    <t>-66.071911111</t>
  </si>
  <si>
    <t>45 - 15 - 7.75</t>
  </si>
  <si>
    <t>66 - 4 - 18.88</t>
  </si>
  <si>
    <t>353, Clifton Street West, Fundy Heights, Hodges Point, City of Saint John, Saint John County, New Brunswick, E2M 2A9, Canada</t>
  </si>
  <si>
    <t>45.702777778</t>
  </si>
  <si>
    <t>-67.1152777779999</t>
  </si>
  <si>
    <t>45 - 42 - 10.0</t>
  </si>
  <si>
    <t>67 - 6 - 55.0</t>
  </si>
  <si>
    <t>Route 635, Magaguadavic, Manners Sutton Parish, Harvey Rural Community, York County, New Brunswick, Canada</t>
  </si>
  <si>
    <t>45.879972222</t>
  </si>
  <si>
    <t>-64.379861111</t>
  </si>
  <si>
    <t>45 - 52 - 47.9</t>
  </si>
  <si>
    <t>64 - 22 - 47.5</t>
  </si>
  <si>
    <t>Woodpoint Road, West Sackville, Sackville, Westmorland County, New Brunswick, E4L 2X8, Canada</t>
  </si>
  <si>
    <t>46.1251111110001</t>
  </si>
  <si>
    <t>-64.677658333</t>
  </si>
  <si>
    <t>46 - 7 - 30.4</t>
  </si>
  <si>
    <t>64 - 40 - 39.57</t>
  </si>
  <si>
    <t>TriStar Mercedes-Benz Moncton, 1200, Avenue Aviation, Moncton Parish, Dieppe, Westmorland County, New Brunswick, E1A 9A3, Canada</t>
  </si>
  <si>
    <t>45.842052778</t>
  </si>
  <si>
    <t>-66.508894444</t>
  </si>
  <si>
    <t>45 - 50 - 31.39</t>
  </si>
  <si>
    <t>66 - 30 - 32.02</t>
  </si>
  <si>
    <t>Days Inn, 60, Brayson Boulevard, Oromocto West, Town of Oromocto, Sunbury County, New Brunswick, E2V 2H5, Canada</t>
  </si>
  <si>
    <t>46.141388889</t>
  </si>
  <si>
    <t>-65.045833333</t>
  </si>
  <si>
    <t>46 - 8 - 29.0</t>
  </si>
  <si>
    <t>65 - 2 - 45.0</t>
  </si>
  <si>
    <t>45.9344972220001</t>
  </si>
  <si>
    <t>-66.664102778</t>
  </si>
  <si>
    <t>45 - 56 - 4.19</t>
  </si>
  <si>
    <t>66 - 39 - 50.77</t>
  </si>
  <si>
    <t>Regent Mall, 1399, Rue Regent Street, Uptown, City of Fredericton, York County, New Brunswick, E3C 1A2, Canada</t>
  </si>
  <si>
    <t>46.7346694440001</t>
  </si>
  <si>
    <t>-65.4311194439999</t>
  </si>
  <si>
    <t>46 - 44 - 4.81</t>
  </si>
  <si>
    <t>65 - 25 - 52.03</t>
  </si>
  <si>
    <t>46.372722222</t>
  </si>
  <si>
    <t>-66.5986944439999</t>
  </si>
  <si>
    <t>46 - 22 - 21.8</t>
  </si>
  <si>
    <t>66 - 35 - 55.3</t>
  </si>
  <si>
    <t>Stanley Parish, Rural Community of Upper Miramichi, York County, New Brunswick, Canada</t>
  </si>
  <si>
    <t>46.3274166670001</t>
  </si>
  <si>
    <t>-66.420916667</t>
  </si>
  <si>
    <t>46 - 19 - 38.7</t>
  </si>
  <si>
    <t>66 - 25 - 15.3</t>
  </si>
  <si>
    <t>North Cains, Stanley Parish, Rural Community of Upper Miramichi, York County, New Brunswick, Canada</t>
  </si>
  <si>
    <t>45.938316667</t>
  </si>
  <si>
    <t>-66.6542666669999</t>
  </si>
  <si>
    <t>45 - 56 - 17.94</t>
  </si>
  <si>
    <t>66 - 39 - 15.36</t>
  </si>
  <si>
    <t>Dr. Everett Chalmers Regional Hospital, Priestman Street, Skyline Acres, City of Fredericton, York County, New Brunswick, E3B 4J7, Canada</t>
  </si>
  <si>
    <t>45.9084444440001</t>
  </si>
  <si>
    <t>-64.385616667</t>
  </si>
  <si>
    <t>45 - 54 - 30.4</t>
  </si>
  <si>
    <t>64 - 23 - 8.22</t>
  </si>
  <si>
    <t>46.1780555560001</t>
  </si>
  <si>
    <t>-65.783611111</t>
  </si>
  <si>
    <t>46 - 10 - 41.0</t>
  </si>
  <si>
    <t>65 - 47 - 1.0</t>
  </si>
  <si>
    <t>46.547638889</t>
  </si>
  <si>
    <t>-67.1783055559999</t>
  </si>
  <si>
    <t>46 - 32 - 51.5</t>
  </si>
  <si>
    <t>67 - 10 - 41.9</t>
  </si>
  <si>
    <t>45.7298000000001</t>
  </si>
  <si>
    <t>-67.0039</t>
  </si>
  <si>
    <t>45 - 43 - 47.28</t>
  </si>
  <si>
    <t>67 - 0 - 14.04</t>
  </si>
  <si>
    <t>Church Street, Manners Sutton Parish, Harvey Rural Community, York County, New Brunswick, E6K 1K3, Canada</t>
  </si>
  <si>
    <t>46.0960805560001</t>
  </si>
  <si>
    <t>-64.7921499999999</t>
  </si>
  <si>
    <t>46 - 5 - 45.89</t>
  </si>
  <si>
    <t>64 - 47 - 31.74</t>
  </si>
  <si>
    <t>Cameron Street, Moncton Parish, Moncton, Westmorland County, New Brunswick, E1C 2Z3, Canada</t>
  </si>
  <si>
    <t>45.6852777780001</t>
  </si>
  <si>
    <t>-66.918055556</t>
  </si>
  <si>
    <t>45 - 41 - 7.0</t>
  </si>
  <si>
    <t>66 - 55 - 5.0</t>
  </si>
  <si>
    <t>Route 645, Manners Sutton Parish, Harvey Rural Community, Capital Region Rural District, York County, New Brunswick, Canada</t>
  </si>
  <si>
    <t>45.398641667</t>
  </si>
  <si>
    <t>-65.979433333</t>
  </si>
  <si>
    <t>45 - 23 - 55.11</t>
  </si>
  <si>
    <t>65 - 58 - 45.96</t>
  </si>
  <si>
    <t>Hampton Road, Fairvale, Rothesay Parish, Town of Rothesay, Kings County, New Brunswick, E2E 3L3, Canada</t>
  </si>
  <si>
    <t>47.0052833330001</t>
  </si>
  <si>
    <t>-65.535886111</t>
  </si>
  <si>
    <t>47 - 0 - 19.02</t>
  </si>
  <si>
    <t>65 - 32 - 9.19</t>
  </si>
  <si>
    <t>Chatham Head, Paroisse de Chatham, City of Miramichi, Northumberland County, New Brunswick, E1V 5L7, Canada</t>
  </si>
  <si>
    <t>45.8498888890001</t>
  </si>
  <si>
    <t>-64.2709166669999</t>
  </si>
  <si>
    <t>45 - 50 - 59.6</t>
  </si>
  <si>
    <t>64 - 16 - 15.3</t>
  </si>
  <si>
    <t>Brown Road, Sackville Parish, Westmorland County, New Brunswick, E4L 2X2, Canada</t>
  </si>
  <si>
    <t>45.6847222220001</t>
  </si>
  <si>
    <t>-66.916944444</t>
  </si>
  <si>
    <t>45 - 41 - 5.0</t>
  </si>
  <si>
    <t>66 - 55 - 1.0</t>
  </si>
  <si>
    <t>46.14075</t>
  </si>
  <si>
    <t>-64.9865833329999</t>
  </si>
  <si>
    <t>46 - 8 - 26.7</t>
  </si>
  <si>
    <t>64 - 59 - 11.7</t>
  </si>
  <si>
    <t>Pacific Jct, Pacific Junction Road, Moncton Parish, Westmorland County, New Brunswick, E1G 2Y6, Canada</t>
  </si>
  <si>
    <t>45.420588889</t>
  </si>
  <si>
    <t>-65.991197222</t>
  </si>
  <si>
    <t>45 - 25 - 14.12</t>
  </si>
  <si>
    <t>65 - 59 - 28.31</t>
  </si>
  <si>
    <t>Logan Drive, Rothesay Parish, Town of Quispamsis, Kings County, New Brunswick, E2E 1Z9, Canada</t>
  </si>
  <si>
    <t>46.413722222</t>
  </si>
  <si>
    <t>-66.9358055559999</t>
  </si>
  <si>
    <t>46 - 24 - 49.4</t>
  </si>
  <si>
    <t>66 - 56 - 8.9</t>
  </si>
  <si>
    <t>Route 107, Douglas Parish, Nashwaak Rural Community, York County, New Brunswick, Canada</t>
  </si>
  <si>
    <t>46.1998333330001</t>
  </si>
  <si>
    <t>-65.198583333</t>
  </si>
  <si>
    <t>46 - 11 - 59.4</t>
  </si>
  <si>
    <t>65 - 11 - 54.9</t>
  </si>
  <si>
    <t>North Branch, Salisbury Parish, Westmorland County, New Brunswick, Canada</t>
  </si>
  <si>
    <t>46.1320277780001</t>
  </si>
  <si>
    <t>-64.692694444</t>
  </si>
  <si>
    <t>46 - 7 - 55.3</t>
  </si>
  <si>
    <t>64 - 41 - 33.7</t>
  </si>
  <si>
    <t>chemin Shediac Road, Moncton Parish, Moncton, Westmorland County, New Brunswick, E1A 7G1, Canada</t>
  </si>
  <si>
    <t>45.919130556</t>
  </si>
  <si>
    <t>-66.619413889</t>
  </si>
  <si>
    <t>45 - 55 - 8.87</t>
  </si>
  <si>
    <t>66 - 37 - 9.89</t>
  </si>
  <si>
    <t>370, Wilsey Road, Southwood Park, City of Fredericton, York County, New Brunswick, E3B 5Y5, Canada</t>
  </si>
  <si>
    <t>-64.8671388889999</t>
  </si>
  <si>
    <t>64 - 52 - 1.7</t>
  </si>
  <si>
    <t>46.555111111</t>
  </si>
  <si>
    <t>-67.192027778</t>
  </si>
  <si>
    <t>46 - 33 - 18.4</t>
  </si>
  <si>
    <t>67 - 11 - 31.3</t>
  </si>
  <si>
    <t>Teague Road, Juniper, Aberdeen Parish, District of Carleton North, Carleton County, New Brunswick, E7L 1E9, Canada</t>
  </si>
  <si>
    <t>46.3647222220001</t>
  </si>
  <si>
    <t>-66.5669444439999</t>
  </si>
  <si>
    <t>46 - 21 - 53.0</t>
  </si>
  <si>
    <t>66 - 34 - 1.0</t>
  </si>
  <si>
    <t>E Street, McGivney, Stanley Parish, Rural Community of Upper Miramichi, York County, New Brunswick, Canada</t>
  </si>
  <si>
    <t>46.3619444440001</t>
  </si>
  <si>
    <t>-66.5549999999999</t>
  </si>
  <si>
    <t>46 - 21 - 43.0</t>
  </si>
  <si>
    <t>66 - 33 - 18.0</t>
  </si>
  <si>
    <t>Route 8, Stanley Parish, Rural Community of Upper Miramichi, York County, New Brunswick, Canada</t>
  </si>
  <si>
    <t>46.2597222220001</t>
  </si>
  <si>
    <t>-66.286111111</t>
  </si>
  <si>
    <t>46 - 15 - 35.0</t>
  </si>
  <si>
    <t>66 - 17 - 10.0</t>
  </si>
  <si>
    <t>Bantalor, Saint Marys Parish, Capital Region Rural District, York County, New Brunswick, Canada</t>
  </si>
  <si>
    <t>45.4689777780001</t>
  </si>
  <si>
    <t>-65.8468055559999</t>
  </si>
  <si>
    <t>45 - 28 - 8.32</t>
  </si>
  <si>
    <t>65 - 50 - 48.5</t>
  </si>
  <si>
    <t>47.161944444</t>
  </si>
  <si>
    <t>-67.9299999999999</t>
  </si>
  <si>
    <t>47 - 9 - 43.0</t>
  </si>
  <si>
    <t>67 - 55 - 48.0</t>
  </si>
  <si>
    <t>Rue des Légionnaires, Saint-Léonard, Paroisse de Saint-Léonard, Ville de Vallée-des-Rivières, Comté de Madawaska, New Brunswick, E0L 1M0, Canada</t>
  </si>
  <si>
    <t>46.8783333330001</t>
  </si>
  <si>
    <t>-67.3786111109999</t>
  </si>
  <si>
    <t>46 - 52 - 42.0</t>
  </si>
  <si>
    <t>67 - 22 - 43.0</t>
  </si>
  <si>
    <t>Route 390, Gordon Parish, District Of Tobique Valley, Victoria County, New Brunswick, E7G 2E4, Canada</t>
  </si>
  <si>
    <t>45.1571138890001</t>
  </si>
  <si>
    <t>-66.907802778</t>
  </si>
  <si>
    <t>45 - 9 - 25.61</t>
  </si>
  <si>
    <t>66 - 54 - 28.09</t>
  </si>
  <si>
    <t>Route 760, Bethel, Saint Patrick Parish, Municipality of Eastern Charlotte, Charlotte County, New Brunswick, Canada</t>
  </si>
  <si>
    <t>47.7107583330001</t>
  </si>
  <si>
    <t>-65.1125777779999</t>
  </si>
  <si>
    <t>47 - 42 - 38.73</t>
  </si>
  <si>
    <t>65 - 6 - 45.28</t>
  </si>
  <si>
    <t>Chemin des Buttes, Paroisse de Paquetville, Comté de Gloucester, New Brunswick, E8R 1J6, Canada</t>
  </si>
  <si>
    <t>47.0316666670001</t>
  </si>
  <si>
    <t>-67.648055556</t>
  </si>
  <si>
    <t>47 - 1 - 54.0</t>
  </si>
  <si>
    <t>67 - 38 - 53.0</t>
  </si>
  <si>
    <t>Chemin Violette Station, Municipalité régionale de Grand-Sault, Victoria County, New Brunswick, E3Y 2P6, Canada</t>
  </si>
  <si>
    <t>47.3613888890001</t>
  </si>
  <si>
    <t>-68.3247222219999</t>
  </si>
  <si>
    <t>47 - 21 - 41.0</t>
  </si>
  <si>
    <t>68 - 19 - 29.0</t>
  </si>
  <si>
    <t>Atelier Tournesol, 19, Avenue Ferry, Paroisse de Madawaska, Ville d'Edmundston, Comté de Madawaska, New Brunswick, E3V 1H7, Canada</t>
  </si>
  <si>
    <t>46.971552778</t>
  </si>
  <si>
    <t>-65.712961111</t>
  </si>
  <si>
    <t>46 - 58 - 17.59</t>
  </si>
  <si>
    <t>65 - 42 - 46.66</t>
  </si>
  <si>
    <t>46.4241111110001</t>
  </si>
  <si>
    <t>-66.946055556</t>
  </si>
  <si>
    <t>46 - 25 - 26.8</t>
  </si>
  <si>
    <t>66 - 56 - 45.8</t>
  </si>
  <si>
    <t>46.3922777780001</t>
  </si>
  <si>
    <t>-66.784166667</t>
  </si>
  <si>
    <t>46 - 23 - 32.2</t>
  </si>
  <si>
    <t>66 - 47 - 3.0</t>
  </si>
  <si>
    <t>46.135527778</t>
  </si>
  <si>
    <t>-64.655277778</t>
  </si>
  <si>
    <t>46 - 8 - 7.9</t>
  </si>
  <si>
    <t>64 - 39 - 19.0</t>
  </si>
  <si>
    <t>Painsec Junction Road, Moncton Parish, Westmorland County, New Brunswick, E1H 1N8, Canada</t>
  </si>
  <si>
    <t>45.328888889</t>
  </si>
  <si>
    <t>-65.8897222219999</t>
  </si>
  <si>
    <t>45 - 19 - 44.0</t>
  </si>
  <si>
    <t>65 - 53 - 23.0</t>
  </si>
  <si>
    <t>Saint John Airport, 4180, Loch Lomond Road, City of Saint John, Saint John County, New Brunswick, E2N 1L7, Canada</t>
  </si>
  <si>
    <t>46.079083333</t>
  </si>
  <si>
    <t>-64.851416667</t>
  </si>
  <si>
    <t>46 - 4 - 44.7</t>
  </si>
  <si>
    <t>64 - 51 - 5.1</t>
  </si>
  <si>
    <t>46.6692694440001</t>
  </si>
  <si>
    <t>-64.974011111</t>
  </si>
  <si>
    <t>46 - 40 - 9.37</t>
  </si>
  <si>
    <t>64 - 58 - 26.44</t>
  </si>
  <si>
    <t>Chemin Saint-Charles, Saint-Charles, Paroisse de Saint-Charles, Comté de Kent, New Brunswick, Canada</t>
  </si>
  <si>
    <t>-64.868805556</t>
  </si>
  <si>
    <t>64 - 52 - 7.7</t>
  </si>
  <si>
    <t>46.5275</t>
  </si>
  <si>
    <t>-67.14</t>
  </si>
  <si>
    <t>46 - 31 - 39.0</t>
  </si>
  <si>
    <t>67 - 8 - 24.0</t>
  </si>
  <si>
    <t>Aberdeen Parish, District of Carleton North, Carleton County, New Brunswick, Canada</t>
  </si>
  <si>
    <t>46.069333333</t>
  </si>
  <si>
    <t>-64.86475</t>
  </si>
  <si>
    <t>46 - 4 - 9.6</t>
  </si>
  <si>
    <t>64 - 51 - 53.1</t>
  </si>
  <si>
    <t>45.306777778</t>
  </si>
  <si>
    <t>-66.015780556</t>
  </si>
  <si>
    <t>45 - 18 - 24.4</t>
  </si>
  <si>
    <t>66 - 0 - 56.81</t>
  </si>
  <si>
    <t>Bently, Hubert Street, City of Saint John, Saint John County, New Brunswick, E2J 2S6, Canada</t>
  </si>
  <si>
    <t>46.0956944440001</t>
  </si>
  <si>
    <t>-64.783508333</t>
  </si>
  <si>
    <t>46 - 5 - 44.5</t>
  </si>
  <si>
    <t>64 - 47 - 0.63</t>
  </si>
  <si>
    <t>Lutz Street, Moncton Parish, Moncton, Westmorland County, New Brunswick, E1C 8X3, Canada</t>
  </si>
  <si>
    <t>-66.5666666669999</t>
  </si>
  <si>
    <t>66 - 34 - 0.0</t>
  </si>
  <si>
    <t>F Street, McGivney, Stanley Parish, Rural Community of Upper Miramichi, York County, New Brunswick, Canada</t>
  </si>
  <si>
    <t>46.543083333</t>
  </si>
  <si>
    <t>-67.1695833329999</t>
  </si>
  <si>
    <t>46 - 32 - 35.1</t>
  </si>
  <si>
    <t>67 - 10 - 10.5</t>
  </si>
  <si>
    <t>Southwest Road, Aberdeen Parish, District of Carleton North, Carleton County, New Brunswick, Canada</t>
  </si>
  <si>
    <t>45.9573472220001</t>
  </si>
  <si>
    <t>-66.647572222</t>
  </si>
  <si>
    <t>45 - 57 - 26.45</t>
  </si>
  <si>
    <t>66 - 38 - 51.26</t>
  </si>
  <si>
    <t>350-352, Rue York Street, Carleton, Downtown, City of Fredericton, York County, New Brunswick, E3B 3L7, Canada</t>
  </si>
  <si>
    <t>46.361647222</t>
  </si>
  <si>
    <t>-67.569466667</t>
  </si>
  <si>
    <t>46 - 21 - 41.93</t>
  </si>
  <si>
    <t>67 - 34 - 10.08</t>
  </si>
  <si>
    <t>Town of Hartland, Carleton County, New Brunswick, Canada</t>
  </si>
  <si>
    <t>45.9208</t>
  </si>
  <si>
    <t>45 - 55 - 14.88</t>
  </si>
  <si>
    <t>47.339444444</t>
  </si>
  <si>
    <t>-68.653333333</t>
  </si>
  <si>
    <t>47 - 20 - 22.0</t>
  </si>
  <si>
    <t>68 - 39 - 12.0</t>
  </si>
  <si>
    <t>5726, Rue Centrale, Lac Baker, Paroisse du Lac-Baker, Haut-Madawaska, Comté de Madawaska, New Brunswick, Canada</t>
  </si>
  <si>
    <t>45.9602944440001</t>
  </si>
  <si>
    <t>-66.637544444</t>
  </si>
  <si>
    <t>45 - 57 - 37.06</t>
  </si>
  <si>
    <t>66 - 38 - 15.16</t>
  </si>
  <si>
    <t>47.6200000000001</t>
  </si>
  <si>
    <t>-65.670277778</t>
  </si>
  <si>
    <t>47 - 37 - 12.0</t>
  </si>
  <si>
    <t>65 - 40 - 13.0</t>
  </si>
  <si>
    <t>Bathurst, 690, Thornton Avenue, City of Bathurst, Comté de Gloucester, New Brunswick, E2A 2Y5, Canada</t>
  </si>
  <si>
    <t>46.890861111</t>
  </si>
  <si>
    <t>-67.4053888889999</t>
  </si>
  <si>
    <t>46 - 53 - 27.1</t>
  </si>
  <si>
    <t>67 - 24 - 19.4</t>
  </si>
  <si>
    <t>46.715277778</t>
  </si>
  <si>
    <t>-67.248472222</t>
  </si>
  <si>
    <t>46 - 42 - 55.0</t>
  </si>
  <si>
    <t>67 - 14 - 54.5</t>
  </si>
  <si>
    <t>47.639972222</t>
  </si>
  <si>
    <t>-65.6788972219999</t>
  </si>
  <si>
    <t>47 - 38 - 23.9</t>
  </si>
  <si>
    <t>65 - 40 - 44.03</t>
  </si>
  <si>
    <t>45.961113889</t>
  </si>
  <si>
    <t>-66.643333333</t>
  </si>
  <si>
    <t>45 - 57 - 40.01</t>
  </si>
  <si>
    <t>66 - 38 - 36.0</t>
  </si>
  <si>
    <t>46.0441666670001</t>
  </si>
  <si>
    <t>-64.5644444439999</t>
  </si>
  <si>
    <t>46 - 2 - 39.0</t>
  </si>
  <si>
    <t>64 - 33 - 52.0</t>
  </si>
  <si>
    <t>Route 2, Dorchester Parish, Westmorland County, New Brunswick, E4K 2C0, Canada</t>
  </si>
  <si>
    <t>46.1828055560001</t>
  </si>
  <si>
    <t>-65.8554722219999</t>
  </si>
  <si>
    <t>46 - 10 - 58.1</t>
  </si>
  <si>
    <t>65 - 51 - 19.7</t>
  </si>
  <si>
    <t>Red Bank Drive, Chipman, Chipman Parish, Municipality of Grand Lake, Queens County, New Brunswick, E4A 2H1, Canada</t>
  </si>
  <si>
    <t>No tower at this locaiton</t>
  </si>
  <si>
    <t>46.098547222</t>
  </si>
  <si>
    <t>-64.798413889</t>
  </si>
  <si>
    <t>46 - 5 - 54.77</t>
  </si>
  <si>
    <t>64 - 47 - 54.29</t>
  </si>
  <si>
    <t>Humphrey Street, Moncton Parish, Moncton, Westmorland County, New Brunswick, E1C 2P6, Canada</t>
  </si>
  <si>
    <t>45.463055556</t>
  </si>
  <si>
    <t>-66.359444444</t>
  </si>
  <si>
    <t>45 - 27 - 47.0</t>
  </si>
  <si>
    <t>66 - 21 - 34.0</t>
  </si>
  <si>
    <t>McDonald Road, Welsford, Clarendon, Petersville Parish, Fundy Rural District, Queens County, New Brunswick, E5K 4A2, Canada</t>
  </si>
  <si>
    <t>47.0541805560001</t>
  </si>
  <si>
    <t>-67.743152778</t>
  </si>
  <si>
    <t>47 - 3 - 15.05</t>
  </si>
  <si>
    <t>67 - 44 - 35.35</t>
  </si>
  <si>
    <t>Grand Falls Shopping Centre, Chemin Madawaska, Paroisse de Saint-André, Municipalité régionale de Grand-Sault, Comté de Madawaska, New Brunswick, E3Y 1A4, Canada</t>
  </si>
  <si>
    <t>46.072194444</t>
  </si>
  <si>
    <t>46 - 4 - 19.9</t>
  </si>
  <si>
    <t>Duplicated with Line 63 - ARS rolling stock</t>
  </si>
  <si>
    <t>47.8480555560001</t>
  </si>
  <si>
    <t>-65.768888889</t>
  </si>
  <si>
    <t>47 - 50 - 53.0</t>
  </si>
  <si>
    <t>65 - 46 - 8.0</t>
  </si>
  <si>
    <t>Rue de la Gare, Paroisse de Beresford, Comté de Gloucester, New Brunswick, E8J 2T7, Canada</t>
  </si>
  <si>
    <t>45.9405833330001</t>
  </si>
  <si>
    <t>-64.5293055559999</t>
  </si>
  <si>
    <t>45 - 56 - 26.1</t>
  </si>
  <si>
    <t>64 - 31 - 45.5</t>
  </si>
  <si>
    <t>46.835888889</t>
  </si>
  <si>
    <t>-67.29875</t>
  </si>
  <si>
    <t>46 - 50 - 9.2</t>
  </si>
  <si>
    <t>67 - 17 - 55.5</t>
  </si>
  <si>
    <t>CDO - rural area - likely Railway owned IF a tower exists at all</t>
  </si>
  <si>
    <t>Very rural, no GSV or OVD view; Land owned by Railway company</t>
  </si>
  <si>
    <t>48.006808333</t>
  </si>
  <si>
    <t>-66.6763583329999</t>
  </si>
  <si>
    <t>48 - 0 - 24.51</t>
  </si>
  <si>
    <t>66 - 40 - 34.89</t>
  </si>
  <si>
    <t>157, Water Street, Campbellton, New Brunswick, E3N 3L4, Canada</t>
  </si>
  <si>
    <t>Duplicated property with Line 1275</t>
  </si>
  <si>
    <t>48.0322</t>
  </si>
  <si>
    <t>-66.4757999999999</t>
  </si>
  <si>
    <t>48 - 1 - 55.92</t>
  </si>
  <si>
    <t>66 - 28 - 32.88</t>
  </si>
  <si>
    <t>Blair Malcolm Road, Paroisse de Dalhousie, New Brunswick, E8E 2A1, Canada</t>
  </si>
  <si>
    <t>CDO - rural area</t>
  </si>
  <si>
    <r>
      <rPr>
        <sz val="11"/>
        <color rgb="FF000000"/>
        <rFont val="Calibri"/>
        <scheme val="minor"/>
      </rPr>
      <t xml:space="preserve">Rural Guyed tower owned by Bell; </t>
    </r>
    <r>
      <rPr>
        <sz val="11"/>
        <color rgb="FFFF0000"/>
        <rFont val="Calibri"/>
        <scheme val="minor"/>
      </rPr>
      <t>CDO</t>
    </r>
  </si>
  <si>
    <t>48.0002277780001</t>
  </si>
  <si>
    <t>-66.625958333</t>
  </si>
  <si>
    <t>48 - 0 - 0.82</t>
  </si>
  <si>
    <t>66 - 37 - 33.45</t>
  </si>
  <si>
    <t xml:space="preserve">Allard Andre Massotherapeute/Massage Therapist
</t>
  </si>
  <si>
    <t>Two lattice towers side by side in rural area; different plots of land as per ONX;
Call Massage Therapy business and inquire if they know how to contact owners of those towers, or which business owns them</t>
  </si>
  <si>
    <t>Larry</t>
  </si>
  <si>
    <t>48.0069638890001</t>
  </si>
  <si>
    <t>-66.676661111</t>
  </si>
  <si>
    <t>48 - 0 - 25.07</t>
  </si>
  <si>
    <t>66 - 40 - 35.98</t>
  </si>
  <si>
    <t xml:space="preserve">Campbellton Courthouse
</t>
  </si>
  <si>
    <t>Likely a tenant in this Comm Bldg. - Call Courthouse to inquire about Bldg Maintenance and/or Bldg owner</t>
  </si>
  <si>
    <t>48.0297444440001</t>
  </si>
  <si>
    <t>-66.521691667</t>
  </si>
  <si>
    <t>48 - 1 - 47.08</t>
  </si>
  <si>
    <t>66 - 31 - 18.09</t>
  </si>
  <si>
    <t>chemin Robinson Lake Road, Paroisse de Dalhousie, New Brunswick, E8E 2A1, Canada</t>
  </si>
  <si>
    <t>48.0025000000001</t>
  </si>
  <si>
    <t>-66.6872222219999</t>
  </si>
  <si>
    <t>48 - 0 - 9.0</t>
  </si>
  <si>
    <t>66 - 41 - 14.0</t>
  </si>
  <si>
    <t>Hillside Street, Addington Parish, New Brunswick, E3N 5B9, Canada</t>
  </si>
  <si>
    <t>48.057877778</t>
  </si>
  <si>
    <t>-66.3917999999999</t>
  </si>
  <si>
    <t>48 - 3 - 28.36</t>
  </si>
  <si>
    <t>66 - 23 - 30.48</t>
  </si>
  <si>
    <t>Promenade Jeux du Canada, Paroisse de Dalhousie, New Brunswick, E8C 2V4, Canada</t>
  </si>
  <si>
    <t xml:space="preserve">Dalhousie Regional High School
</t>
  </si>
  <si>
    <t>48.005552778</t>
  </si>
  <si>
    <t>-66.673033333</t>
  </si>
  <si>
    <t>48 - 0 - 19.99</t>
  </si>
  <si>
    <t>66 - 40 - 22.92</t>
  </si>
  <si>
    <t>Bell Aliant Campbellton, 13, Andrew Street, Campbellton, New Brunswick, E3N 2G2, Canada</t>
  </si>
  <si>
    <t>48.061691667</t>
  </si>
  <si>
    <t>-66.3800249999999</t>
  </si>
  <si>
    <t>48 - 3 - 42.09</t>
  </si>
  <si>
    <t>66 - 22 - 48.09</t>
  </si>
  <si>
    <t>Quarry Street, Paroisse de Dalhousie, New Brunswick, E8C 2V2, Canada</t>
  </si>
  <si>
    <t>Town of Heron Bay</t>
  </si>
  <si>
    <t>Contact municipality about Lattice tower located near their water tower; likely the tower is on land owned by Heron Bay Municipality</t>
  </si>
  <si>
    <t>Tel : (506) 684-7600</t>
  </si>
  <si>
    <t>48.0511111110001</t>
  </si>
  <si>
    <t>-66.4383333329999</t>
  </si>
  <si>
    <t>48 - 3 - 4.0</t>
  </si>
  <si>
    <t>66 - 26 - 18.0</t>
  </si>
  <si>
    <t>McNeish Road, Paroisse de Dalhousie, New Brunswick, E8E 1S2, Canada</t>
  </si>
  <si>
    <t>48.004166667</t>
  </si>
  <si>
    <t>-66.6802777779999</t>
  </si>
  <si>
    <t>48 - 0 - 15.0</t>
  </si>
  <si>
    <t>66 - 40 - 49.0</t>
  </si>
  <si>
    <t>VIA Rail Canada, 99C, Roseberry Street, Campbellton, New Brunswick, E3N 2G6, Canada</t>
  </si>
  <si>
    <t>Unknown (2 Leases in Place)</t>
  </si>
  <si>
    <t>97 Runneymeade Rd, Riverview, NB E1B 4M5, Canada</t>
  </si>
  <si>
    <t>https://www.google.com/maps/place/97+Runneymeade+Rd,+Riverview,+NB+E1B+4M5,+Canada/@46.0704881,-64.7644875,19.75z/data=!4m14!1m7!3m6!1s0x4ca0b9639b7b2ac1:0x892e3ec11423cfb3!2s95+Runneymeade+Rd,+Riverview,+NB+E1B+5J7,+Canada!3b1!8m2!3d46.0716352!4d-64.7626174!3m5!1s0x4ca0b96360214d53:0xd93174725a82e1e2!8m2!3d46.0704083!4d-64.7646541!16s%2Fg%2F11pz7lfvkc?entry=ttu&amp;g_ep=EgoyMDI2MDExMy4wIKXMDSoASAFQAw%3D%3D</t>
  </si>
  <si>
    <t>City of Moncton - TWO Carriers on Water Tower</t>
  </si>
  <si>
    <t>Aaron Martin - 1-506-(cant give # out)
aaron.martin@moncton.ca 
Duplicated this comment from Line #2, possibly same office/group of Government workers
Email sent 1/19/2026 Luke Gould lgould@townofriverview.ca</t>
  </si>
  <si>
    <t>1-506-850-4100</t>
  </si>
  <si>
    <t>47.559927778</t>
  </si>
  <si>
    <t>-52.7463888889999</t>
  </si>
  <si>
    <t>47 - 33 - 35.74</t>
  </si>
  <si>
    <t>52 - 44 - 47.0</t>
  </si>
  <si>
    <t>Crosbie Place, Wishingwell Park, St. John's, Newfoundland, Newfoundland and Labrador, A1B 4B4, Canada</t>
  </si>
  <si>
    <t>https://www.google.com/maps/place/47%C2%B033'35.7%22N+52%C2%B044'47.0%22W/@47.5601745,-52.7458526,3a,41.2y,229.94h,105.34t/data=!3m8!1e1!3m6!1sCIHM0ogKEICAgICb6YTmNA!2e10!3e11!6shttps:%2F%2Flh3.googleusercontent.com%2Fgpms-cs-s%2FAPRy3c8rOIB1zwqK299firj6fJXTbLHBTeDPB-cAfGA2hwxN00FrBup_2pe7xZgItvkVY-sZYxvZqErcTP_v80TGP8iUxeVGz6GhsCegxsYQ0CQqUZq6ximpjaqEBrT8Q7wQG6zdYRo%3Dw900-h600-k-no-pi-15.34208656749972-ya319.98276148773516-ro0-fo100!7i7680!8i3840!4m4!3m3!8m2!3d47.5599278!4d-52.7463889?entry=ttu&amp;g_ep=EgoyMDI1MTIwOS4wIKXMDSoASAFQAw%3D%3D</t>
  </si>
  <si>
    <r>
      <t xml:space="preserve">Lowell Bonnell Financial
LeGrow's Travel Corporate
</t>
    </r>
    <r>
      <rPr>
        <b/>
        <sz val="11"/>
        <color rgb="FFFF0000"/>
        <rFont val="Calibri"/>
        <family val="2"/>
        <scheme val="minor"/>
      </rPr>
      <t>Martek</t>
    </r>
    <r>
      <rPr>
        <sz val="11"/>
        <color theme="1"/>
        <rFont val="Calibri"/>
        <family val="2"/>
        <scheme val="minor"/>
      </rPr>
      <t xml:space="preserve"> - awaiting call back
</t>
    </r>
  </si>
  <si>
    <r>
      <t xml:space="preserve">17097226035
+17097583330
</t>
    </r>
    <r>
      <rPr>
        <sz val="11"/>
        <color rgb="FFFF0000"/>
        <rFont val="Calibri"/>
        <family val="2"/>
        <scheme val="minor"/>
      </rPr>
      <t>+17097541090</t>
    </r>
  </si>
  <si>
    <t>47.4607972220001</t>
  </si>
  <si>
    <t>-52.7939</t>
  </si>
  <si>
    <t>47 - 27 - 38.87</t>
  </si>
  <si>
    <t>52 - 47 - 38.04</t>
  </si>
  <si>
    <t>Robert E. Howlett Memorial Drive, St. John's, Newfoundland, Newfoundland and Labrador, A1S 1G6, Canada</t>
  </si>
  <si>
    <r>
      <rPr>
        <sz val="11"/>
        <color rgb="FF000000"/>
        <rFont val="Calibri"/>
      </rPr>
      <t xml:space="preserve">Willadell Dog Boarding (Very rural area) - </t>
    </r>
    <r>
      <rPr>
        <b/>
        <sz val="11"/>
        <color rgb="FF000000"/>
        <rFont val="Calibri"/>
      </rPr>
      <t>2 towers</t>
    </r>
    <r>
      <rPr>
        <sz val="11"/>
        <color rgb="FF000000"/>
        <rFont val="Calibri"/>
      </rPr>
      <t xml:space="preserve"> - No answer, went to VM 12/22/hung up the phone 01/22</t>
    </r>
  </si>
  <si>
    <t>17097708979</t>
  </si>
  <si>
    <t>Nikki</t>
  </si>
  <si>
    <t>47.4822194440001</t>
  </si>
  <si>
    <t>-53.015277778</t>
  </si>
  <si>
    <t>47 - 28 - 55.99</t>
  </si>
  <si>
    <t>53 - 0 - 55.0</t>
  </si>
  <si>
    <t>CBS Arena, 13, Graham Mifflen Drive, Kelligrews, Conception Bay South, Newfoundland, Newfoundland and Labrador, A1X 6Z5, Canada</t>
  </si>
  <si>
    <t xml:space="preserve">CBS Arena - No ans, went to VM 12/22; lady said she doesn't know anything about the owner
</t>
  </si>
  <si>
    <t>17098346500 Ext. 613</t>
  </si>
  <si>
    <t>Brett</t>
  </si>
  <si>
    <t>47.5590611110001</t>
  </si>
  <si>
    <t>-52.7706111109999</t>
  </si>
  <si>
    <t>47 - 33 - 32.62</t>
  </si>
  <si>
    <t>52 - 46 - 14.2</t>
  </si>
  <si>
    <t>Pippy Place - Ultramar Building, Pippy Place, O'Leary's, St. John's, Newfoundland, Newfoundland and Labrador, A1B 4C4, Canada</t>
  </si>
  <si>
    <r>
      <t xml:space="preserve">Insight Therapy - Amanda
Hollett Group - eXp Realty - </t>
    </r>
    <r>
      <rPr>
        <b/>
        <sz val="11"/>
        <color theme="1"/>
        <rFont val="Calibri"/>
        <family val="2"/>
        <scheme val="minor"/>
      </rPr>
      <t>Devon Hollett VM</t>
    </r>
    <r>
      <rPr>
        <sz val="11"/>
        <color theme="1"/>
        <rFont val="Calibri"/>
        <family val="2"/>
        <scheme val="minor"/>
      </rPr>
      <t xml:space="preserve">
William Short - Real Estate Agent - </t>
    </r>
    <r>
      <rPr>
        <b/>
        <sz val="11"/>
        <color theme="1"/>
        <rFont val="Calibri"/>
        <family val="2"/>
        <scheme val="minor"/>
      </rPr>
      <t>VM</t>
    </r>
    <r>
      <rPr>
        <sz val="11"/>
        <color theme="1"/>
        <rFont val="Calibri"/>
        <family val="2"/>
        <scheme val="minor"/>
      </rPr>
      <t xml:space="preserve">;
</t>
    </r>
    <r>
      <rPr>
        <b/>
        <sz val="11"/>
        <color theme="1"/>
        <rFont val="Calibri"/>
        <family val="2"/>
        <scheme val="minor"/>
      </rPr>
      <t>Martec Paul 709-682-2995</t>
    </r>
  </si>
  <si>
    <t>admin@insighttherapynl.ca</t>
  </si>
  <si>
    <r>
      <t xml:space="preserve">17095520142
</t>
    </r>
    <r>
      <rPr>
        <b/>
        <sz val="11"/>
        <color theme="1"/>
        <rFont val="Calibri"/>
        <family val="2"/>
        <scheme val="minor"/>
      </rPr>
      <t>+17096972250
+17097272324</t>
    </r>
  </si>
  <si>
    <t>47.5634666670001</t>
  </si>
  <si>
    <t>-52.708822222</t>
  </si>
  <si>
    <t>47 - 33 - 48.48</t>
  </si>
  <si>
    <t>52 - 42 - 31.76</t>
  </si>
  <si>
    <t>339, Duckworth Street, Downtown, St. John's, Newfoundland, Newfoundland and Labrador, A1C 1B7, Canada</t>
  </si>
  <si>
    <t>Unknown</t>
  </si>
  <si>
    <t>47.5583</t>
  </si>
  <si>
    <t>-52.7614</t>
  </si>
  <si>
    <t>47 - 33 - 29.88</t>
  </si>
  <si>
    <t>52 - 45 - 41.04</t>
  </si>
  <si>
    <t>Montana's, 80, Kenmount Road, St. John's, Newfoundland, Newfoundland and Labrador, A1B 3R1, Canada</t>
  </si>
  <si>
    <t>Montana’s BBQ &amp; Bar
Cora's Breakfast &amp; Lunch</t>
  </si>
  <si>
    <t>17097541111
+17097385555</t>
  </si>
  <si>
    <t>47.5053</t>
  </si>
  <si>
    <t>-52.864697222</t>
  </si>
  <si>
    <t>47 - 30 - 19.08</t>
  </si>
  <si>
    <t>52 - 51 - 52.91</t>
  </si>
  <si>
    <t>Peacekeepers Way, St. John's, Newfoundland, Newfoundland and Labrador, A1L 2A9, Canada</t>
  </si>
  <si>
    <t>Rock Construction Company Limited - BH left a VM 12/22</t>
  </si>
  <si>
    <t>Brett Onx</t>
  </si>
  <si>
    <t>47.5947194440001</t>
  </si>
  <si>
    <t>-52.6849999999999</t>
  </si>
  <si>
    <t>47 - 35 - 40.99</t>
  </si>
  <si>
    <t>52 - 41 - 6.0</t>
  </si>
  <si>
    <t>RCMP White Hills, White Hills, St. John's, Newfoundland, Newfoundland and Labrador, A1A 3H9, Canada</t>
  </si>
  <si>
    <r>
      <rPr>
        <sz val="11"/>
        <color rgb="FF000000"/>
        <rFont val="Calibri"/>
      </rPr>
      <t>RCMP -  100 E White Hills Rd
St. John's is towers location /</t>
    </r>
    <r>
      <rPr>
        <b/>
        <sz val="11"/>
        <color rgb="FF000000"/>
        <rFont val="Calibri"/>
      </rPr>
      <t>emergency dispatch , no information provided and hung up the phon</t>
    </r>
    <r>
      <rPr>
        <sz val="11"/>
        <color rgb="FF000000"/>
        <rFont val="Calibri"/>
      </rPr>
      <t>e</t>
    </r>
  </si>
  <si>
    <t>2 towers!</t>
  </si>
  <si>
    <t>47.5070805560001</t>
  </si>
  <si>
    <t>-52.828327778</t>
  </si>
  <si>
    <t>47 - 30 - 25.49</t>
  </si>
  <si>
    <t>52 - 49 - 41.98</t>
  </si>
  <si>
    <t>Tim Hortons, Danny Drive, Galway, St. John's, Newfoundland, Newfoundland and Labrador, A1N 4Y1, Canada</t>
  </si>
  <si>
    <t>Unknown - Inside gated tank farm</t>
  </si>
  <si>
    <t>47.540213889</t>
  </si>
  <si>
    <t>-52.821144444</t>
  </si>
  <si>
    <t>47 - 32 - 24.77</t>
  </si>
  <si>
    <t>52 - 49 - 16.12</t>
  </si>
  <si>
    <t>St. John's, Newfoundland, Newfoundland and Labrador, A1N 0A3, Canada</t>
  </si>
  <si>
    <r>
      <rPr>
        <sz val="11"/>
        <color rgb="FF000000"/>
        <rFont val="Calibri"/>
        <scheme val="minor"/>
      </rPr>
      <t xml:space="preserve">Metro Self Storage but tower falls on separate parcel; </t>
    </r>
    <r>
      <rPr>
        <b/>
        <sz val="11"/>
        <color rgb="FFFF0000"/>
        <rFont val="Calibri"/>
        <scheme val="minor"/>
      </rPr>
      <t>CDO</t>
    </r>
  </si>
  <si>
    <t>PID 492002920</t>
  </si>
  <si>
    <t>47.5807194440001</t>
  </si>
  <si>
    <t>-52.699122222</t>
  </si>
  <si>
    <t>47 - 34 - 50.59</t>
  </si>
  <si>
    <t>52 - 41 - 56.84</t>
  </si>
  <si>
    <t>Regency Towers, 80, The Boulevard, Pleasantville, St. John's, Newfoundland, Newfoundland and Labrador, A1A 0N9, Canada</t>
  </si>
  <si>
    <t>https://www.google.com/maps/place/Regency+Towers/@47.5799597,-52.6998088,3a,53.9y,26.64h,107.7t/data=!3m7!1e1!3m5!1sO-kwSZgEJ-At3z8oiXudGQ!2e0!6shttps:%2F%2Fstreetviewpixels-pa.googleapis.com%2Fv1%2Fthumbnail%3Fcb_client%3Dmaps_sv.tactile%26w%3D900%26h%3D600%26pitch%3D-17.700979755744356%26panoid%3DO-kwSZgEJ-At3z8oiXudGQ%26yaw%3D26.635778839280047!7i16384!8i8192!4m12!1m5!3m4!2zNDfCsDM0JzUwLjYiTiA1MsKwNDEnNTYuOCJX!8m2!3d47.5807194!4d-52.6991222!3m5!1s0x4b0ca3e77cb00bdd:0x3316c6356f9cb149!8m2!3d47.580792!4d-52.6991662!16s%2Fg%2F1tghp56w!5m1!1e1?entry=ttu&amp;g_ep=EgoyMDI1MTIwOS4wIKXMDSoASAFQAw%3D%3D</t>
  </si>
  <si>
    <r>
      <t xml:space="preserve">Regency towers rental inquiry; BH 12/22 spoke to Doreen, sd to CB and ask for </t>
    </r>
    <r>
      <rPr>
        <b/>
        <sz val="11"/>
        <color theme="1"/>
        <rFont val="Calibri"/>
        <family val="2"/>
        <scheme val="minor"/>
      </rPr>
      <t>Dave</t>
    </r>
  </si>
  <si>
    <t>???-757-2787
+17097537993</t>
  </si>
  <si>
    <t>47.5452916670001</t>
  </si>
  <si>
    <t>-52.884319444</t>
  </si>
  <si>
    <t>47 - 32 - 43.05</t>
  </si>
  <si>
    <t>52 - 53 - 3.55</t>
  </si>
  <si>
    <t>Paradise Water Storage Tank, Rob's Road, Paradise, Newfoundland, Newfoundland and Labrador, A1L 3W4, Canada</t>
  </si>
  <si>
    <t>Unknown, cant get visual on panels inside gated tank farm</t>
  </si>
  <si>
    <t>47.5719250000001</t>
  </si>
  <si>
    <t>-52.741911111</t>
  </si>
  <si>
    <t>47 - 34 - 18.93</t>
  </si>
  <si>
    <t>52 - 44 - 30.88</t>
  </si>
  <si>
    <t>Health Sciences Centre, 300, Prince Phillip Drive, Pippy Park, St. John's, Newfoundland, Newfoundland and Labrador, A1B 3V6, Canada</t>
  </si>
  <si>
    <r>
      <rPr>
        <sz val="11"/>
        <color rgb="FF000000"/>
        <rFont val="Calibri"/>
        <scheme val="minor"/>
      </rPr>
      <t>Health Sciences Centre, NL Health Services</t>
    </r>
    <r>
      <rPr>
        <sz val="11"/>
        <color rgb="FFFF0000"/>
        <rFont val="Calibri"/>
        <scheme val="minor"/>
      </rPr>
      <t>/</t>
    </r>
    <r>
      <rPr>
        <b/>
        <sz val="11"/>
        <color rgb="FFFF0000"/>
        <rFont val="Calibri"/>
        <scheme val="minor"/>
      </rPr>
      <t>Reeves, he said he will transfer me to facilities department but went VM</t>
    </r>
  </si>
  <si>
    <t>1709-777-6300</t>
  </si>
  <si>
    <t>47.631888889</t>
  </si>
  <si>
    <t>-52.727516667</t>
  </si>
  <si>
    <t>47 - 37 - 54.8</t>
  </si>
  <si>
    <t>52 - 43 - 39.06</t>
  </si>
  <si>
    <t>Roblin Place, Torbay, Newfoundland, Newfoundland and Labrador, A1A 0L2, Canada</t>
  </si>
  <si>
    <t>47.216816667</t>
  </si>
  <si>
    <t>-53.331230556</t>
  </si>
  <si>
    <t>47 - 13 - 0.54</t>
  </si>
  <si>
    <t>53 - 19 - 52.43</t>
  </si>
  <si>
    <t>The Wilds at Salmonier River (RV Park), The Wilds - Nature Trail, Newfoundland, Newfoundland and Labrador, Canada</t>
  </si>
  <si>
    <t>No visual on tower</t>
  </si>
  <si>
    <t>47.592186111</t>
  </si>
  <si>
    <t>-52.72855</t>
  </si>
  <si>
    <t>47 - 35 - 31.87</t>
  </si>
  <si>
    <t>52 - 43 - 42.78</t>
  </si>
  <si>
    <t>4, Fox Avenue, Bells Turn, St. John's, Newfoundland, Newfoundland and Labrador, A1A 2H5, Canada</t>
  </si>
  <si>
    <t>No visual on Urban area tower</t>
  </si>
  <si>
    <t>47.829744444</t>
  </si>
  <si>
    <t>-53.94085</t>
  </si>
  <si>
    <t>47 - 49 - 47.08</t>
  </si>
  <si>
    <t>53 - 56 - 27.06</t>
  </si>
  <si>
    <t>Newfoundland, Newfoundland and Labrador, Canada</t>
  </si>
  <si>
    <t>Multiple towers on rural hilltop off major highway</t>
  </si>
  <si>
    <t>No ONX data</t>
  </si>
  <si>
    <t>47.460569444</t>
  </si>
  <si>
    <t>-53.605288889</t>
  </si>
  <si>
    <t>47 - 27 - 38.05</t>
  </si>
  <si>
    <t>53 - 36 - 19.04</t>
  </si>
  <si>
    <t>Old Cabot Highway, Unincorporated Newfoundland, Newfoundland, Newfoundland and Labrador, Canada</t>
  </si>
  <si>
    <t>Guyed rural tower, no businesses in area</t>
  </si>
  <si>
    <t>47.5280500000001</t>
  </si>
  <si>
    <t>-52.8406249999999</t>
  </si>
  <si>
    <t>47 - 31 - 40.98</t>
  </si>
  <si>
    <t>52 - 50 - 26.25</t>
  </si>
  <si>
    <t>34, St. Anne's Crescent, Evergreen Village, Paradise, Newfoundland, Newfoundland and Labrador, A1L 3W1, Canada</t>
  </si>
  <si>
    <r>
      <rPr>
        <sz val="11"/>
        <color rgb="FF000000"/>
        <rFont val="Calibri"/>
        <scheme val="minor"/>
      </rPr>
      <t xml:space="preserve">Classic Woodworking owns Tower contract &amp; parcel as per Traction Auto employee
</t>
    </r>
    <r>
      <rPr>
        <sz val="11"/>
        <color rgb="FFFF0000"/>
        <rFont val="Calibri"/>
        <scheme val="minor"/>
      </rPr>
      <t xml:space="preserve">
</t>
    </r>
  </si>
  <si>
    <r>
      <rPr>
        <sz val="11"/>
        <color rgb="FFFF0000"/>
        <rFont val="Calibri"/>
        <scheme val="minor"/>
      </rPr>
      <t xml:space="preserve">Traction says it was bought by </t>
    </r>
    <r>
      <rPr>
        <b/>
        <sz val="11"/>
        <color rgb="FFFF0000"/>
        <rFont val="Calibri"/>
        <scheme val="minor"/>
      </rPr>
      <t xml:space="preserve">Classic Woodworking; </t>
    </r>
    <r>
      <rPr>
        <sz val="11"/>
        <color rgb="FFFF0000"/>
        <rFont val="Calibri"/>
        <scheme val="minor"/>
      </rPr>
      <t>NO ONX data</t>
    </r>
  </si>
  <si>
    <t xml:space="preserve">709-368-1480went to VM (BH 1/23/2026)
</t>
  </si>
  <si>
    <t>47.613880556</t>
  </si>
  <si>
    <t>-52.710080556</t>
  </si>
  <si>
    <t>47 - 36 - 49.97</t>
  </si>
  <si>
    <t>52 - 42 - 36.29</t>
  </si>
  <si>
    <t>Hampton, 411, Stavanger Drive, St. John's, Newfoundland, Newfoundland and Labrador, A1A 5E8, Canada</t>
  </si>
  <si>
    <t>Hampton Inn &amp; Suites by Hilton St. John's Airport</t>
  </si>
  <si>
    <t>Bernadette stated that she would transfer me to the Maintenance Department; however, after the transfer, I received a voice message indicating that no representative was available at this time.</t>
  </si>
  <si>
    <t>48.9338805560001</t>
  </si>
  <si>
    <t>-55.644477778</t>
  </si>
  <si>
    <t>48 - 56 - 1.97</t>
  </si>
  <si>
    <t>55 - 38 - 40.12</t>
  </si>
  <si>
    <t>Union Street, Grand Falls, Grand Falls-Windsor, Newfoundland, Newfoundland and Labrador, A2A 2E1, Canada</t>
  </si>
  <si>
    <t>Cant identify panels on rooftopBH 1/23/2026</t>
  </si>
  <si>
    <t>47.6335</t>
  </si>
  <si>
    <t>-52.85</t>
  </si>
  <si>
    <t>47 - 38 - 0.6</t>
  </si>
  <si>
    <t>52 - 51 - 0.0</t>
  </si>
  <si>
    <t>Day's Road, Portugal Cove - St. Philips, Newfoundland, Newfoundland and Labrador, A1N 2J4, Canada</t>
  </si>
  <si>
    <t>47.6306000000001</t>
  </si>
  <si>
    <t>-52.6906</t>
  </si>
  <si>
    <t>47 - 37 - 50.16</t>
  </si>
  <si>
    <t>52 - 41 - 26.16</t>
  </si>
  <si>
    <t>Glenwood Place, Logy Bay-Middle Cove-Outer Cove, Newfoundland, Newfoundland and Labrador, A1K 3B3, Canada</t>
  </si>
  <si>
    <r>
      <rPr>
        <sz val="11"/>
        <color rgb="FF000000"/>
        <rFont val="Calibri"/>
        <scheme val="minor"/>
      </rPr>
      <t xml:space="preserve">Rural fire department; </t>
    </r>
    <r>
      <rPr>
        <b/>
        <sz val="11"/>
        <color rgb="FFFF0000"/>
        <rFont val="Calibri"/>
        <scheme val="minor"/>
      </rPr>
      <t>Spoke to Cora; CDO</t>
    </r>
  </si>
  <si>
    <t>Emergency # 709-722-1234</t>
  </si>
  <si>
    <t>47.5347194440001</t>
  </si>
  <si>
    <t>-52.7502777779999</t>
  </si>
  <si>
    <t>47 - 32 - 4.99</t>
  </si>
  <si>
    <t>52 - 45 - 1.0</t>
  </si>
  <si>
    <t>Bed Bath &amp; Beyond, Topsail Road, Cowan Heights, St. John's, Newfoundland, Newfoundland and Labrador, A1E 5N7, Canada</t>
  </si>
  <si>
    <t>https://www.google.com/maps/place/47%C2%B032'05.0%22N+52%C2%B045'01.0%22W/@47.5334916,-52.7498098,3a,30.5y,343.23h,99.12t/data=!3m7!1e1!3m5!1s-qFtvOxZsFqsJOYZxgAicQ!2e0!6shttps:%2F%2Fstreetviewpixels-pa.googleapis.com%2Fv1%2Fthumbnail%3Fcb_client%3Dmaps_sv.tactile%26w%3D900%26h%3D600%26pitch%3D-9.117271375927515%26panoid%3D-qFtvOxZsFqsJOYZxgAicQ%26yaw%3D343.2303119153915!7i13312!8i6656!4m4!3m3!8m2!3d47.5347194!4d-52.7502778?entry=ttu&amp;g_ep=EgoyMDI2MDEyMC4wIKXMDSoASAFQAw%3D%3D</t>
  </si>
  <si>
    <r>
      <rPr>
        <b/>
        <sz val="11"/>
        <color rgb="FFFF0000"/>
        <rFont val="Calibri"/>
        <scheme val="minor"/>
      </rPr>
      <t>Pipers Village Mall</t>
    </r>
    <r>
      <rPr>
        <sz val="11"/>
        <color rgb="FFFF0000"/>
        <rFont val="Calibri"/>
        <scheme val="minor"/>
      </rPr>
      <t>- Nikki, ask to speak to building maintenance</t>
    </r>
  </si>
  <si>
    <t>No answer</t>
  </si>
  <si>
    <t>1709-579-2010</t>
  </si>
  <si>
    <t>47.6150000000001</t>
  </si>
  <si>
    <t>-52.723330556</t>
  </si>
  <si>
    <t>47 - 36 - 54.0</t>
  </si>
  <si>
    <t>52 - 43 - 23.99</t>
  </si>
  <si>
    <t>Hussey Drive, Glenvilla Court, St. John's, Newfoundland, Newfoundland and Labrador, A1A 5G9, Canada</t>
  </si>
  <si>
    <t>Puglisevich</t>
  </si>
  <si>
    <t>ONX shows tower on Puglisevich property/ Maintenance dept ext 225 spoke to Jacky from MD, she said she don't know who manage the lease.</t>
  </si>
  <si>
    <t>1709-722-2744</t>
  </si>
  <si>
    <t>47.435827778</t>
  </si>
  <si>
    <t>-53.1744416669999</t>
  </si>
  <si>
    <t>47 - 26 - 8.98</t>
  </si>
  <si>
    <t>53 - 10 - 27.99</t>
  </si>
  <si>
    <t>Goat Shore Trail, Harbour Main-Chapel's Cove-Lakeview, Harbour Main - Chapel's Cove - Lakeview, Newfoundland, Newfoundland and Labrador, A0A 1Y0, Canada</t>
  </si>
  <si>
    <t>Please lookup number for Assumption Cemetary Avondale and see if they know who owns the land at the end of Cemetary Road</t>
  </si>
  <si>
    <t>No ONX data; CDO</t>
  </si>
  <si>
    <t>49.706391667</t>
  </si>
  <si>
    <t>-56.084058333</t>
  </si>
  <si>
    <t>49 - 42 - 23.01</t>
  </si>
  <si>
    <t>56 - 5 - 2.61</t>
  </si>
  <si>
    <t>Middle Arm Road, Middle Arm, Newfoundland, Newfoundland and Labrador, Canada</t>
  </si>
  <si>
    <t>CDO / No visual</t>
  </si>
  <si>
    <t>47.077219444</t>
  </si>
  <si>
    <t>-52.9486111109999</t>
  </si>
  <si>
    <t>47 - 4 - 37.99</t>
  </si>
  <si>
    <t>52 - 56 - 55.0</t>
  </si>
  <si>
    <t>Southern Shore Highway, Cape Broyle, Newfoundland, Newfoundland and Labrador, A0A 1P0, Canada</t>
  </si>
  <si>
    <t xml:space="preserve">Shore Excavation Services- sign posted nearby at tower land entrance; CDO
</t>
  </si>
  <si>
    <t>No ONX data; likely Crown land as per Shore Exc. guy on 1/23/2026 (BH)</t>
  </si>
  <si>
    <t>709-683-1358
709-432-2270</t>
  </si>
  <si>
    <t>Revisit if ONX data exists in future</t>
  </si>
  <si>
    <t>47.5690472220001</t>
  </si>
  <si>
    <t>-52.7153777779999</t>
  </si>
  <si>
    <t>47 - 34 - 8.57</t>
  </si>
  <si>
    <t>52 - 42 - 55.36</t>
  </si>
  <si>
    <t>Bonaventure Avenue, Ecclesiastical District, Georgestown, St. John's, Newfoundland, Newfoundland and Labrador, A1C 3Z3, Canada</t>
  </si>
  <si>
    <t>47.5894416670001</t>
  </si>
  <si>
    <t>-59.1634833329999</t>
  </si>
  <si>
    <t>47 - 35 - 21.99</t>
  </si>
  <si>
    <t>59 - 9 - 48.54</t>
  </si>
  <si>
    <t>Grand Bay Road, Channel-Port aux Basques, Newfoundland, Newfoundland and Labrador, A0M 1C0, Canada</t>
  </si>
  <si>
    <t>47.500205556</t>
  </si>
  <si>
    <t>-52.8636222219999</t>
  </si>
  <si>
    <t>47 - 30 - 0.74</t>
  </si>
  <si>
    <t>52 - 51 - 49.04</t>
  </si>
  <si>
    <t>Trans Canada Highway, St. John's, Newfoundland, Newfoundland and Labrador, A1L 2A9, Canada</t>
  </si>
  <si>
    <t>Farrell’s Excavating Ltd.
Gander Sales</t>
  </si>
  <si>
    <r>
      <rPr>
        <sz val="11"/>
        <color rgb="FF000000"/>
        <rFont val="Calibri"/>
        <scheme val="minor"/>
      </rPr>
      <t xml:space="preserve">PID 886001840
</t>
    </r>
    <r>
      <rPr>
        <b/>
        <sz val="11"/>
        <color rgb="FFFF0000"/>
        <rFont val="Calibri"/>
        <scheme val="minor"/>
      </rPr>
      <t>CDO</t>
    </r>
  </si>
  <si>
    <t>17097455904
17097040214</t>
  </si>
  <si>
    <t xml:space="preserve">Lookup in future when we can match PID with owners </t>
  </si>
  <si>
    <t>47.53405</t>
  </si>
  <si>
    <t>-52.929127778</t>
  </si>
  <si>
    <t>47 - 32 - 2.58</t>
  </si>
  <si>
    <t>52 - 55 - 44.86</t>
  </si>
  <si>
    <t>Allan's Line, Topsail, Conception Bay South, Newfoundland, Newfoundland and Labrador, A1W 5R1, Canada</t>
  </si>
  <si>
    <t>47.6016194440001</t>
  </si>
  <si>
    <t>-52.713030556</t>
  </si>
  <si>
    <t>47 - 36 - 5.83</t>
  </si>
  <si>
    <t>52 - 42 - 46.91</t>
  </si>
  <si>
    <t>Lawtons Drugs Wedgewood, 12, Gleneyre Street, Wedgewood Park, St. John's, Newfoundland, Newfoundland and Labrador, A1A 2M7, Canada</t>
  </si>
  <si>
    <t>47.5727583330001</t>
  </si>
  <si>
    <t>-52.728297222</t>
  </si>
  <si>
    <t>47 - 34 - 21.93</t>
  </si>
  <si>
    <t>52 - 43 - 41.87</t>
  </si>
  <si>
    <t>Memorial University of Newfoundland and Labrador, Mount Scio Road, Mt. Scio Savory Farm, Pippy Park, St. John's, Newfoundland, Newfoundland and Labrador, A1B 5S7, Canada</t>
  </si>
  <si>
    <t>+18777307657</t>
  </si>
  <si>
    <t>48.191136111</t>
  </si>
  <si>
    <t>-54.040055556</t>
  </si>
  <si>
    <t>48 - 11 - 28.09</t>
  </si>
  <si>
    <t>54 - 2 - 24.2</t>
  </si>
  <si>
    <t>Rioux, Clarenville, Newfoundland, Newfoundland and Labrador, A5A 4P3, Canada</t>
  </si>
  <si>
    <t>Very rural</t>
  </si>
  <si>
    <t>49.1174194440001</t>
  </si>
  <si>
    <t>-55.163297222</t>
  </si>
  <si>
    <t>49 - 7 - 2.71</t>
  </si>
  <si>
    <t>55 - 9 - 47.87</t>
  </si>
  <si>
    <t>Trans Canada Highway, Norris Arm, Newfoundland, Newfoundland and Labrador, Canada</t>
  </si>
  <si>
    <t>48.526163889</t>
  </si>
  <si>
    <t>-58.484991667</t>
  </si>
  <si>
    <t>48 - 31 - 34.19</t>
  </si>
  <si>
    <t>58 - 29 - 5.97</t>
  </si>
  <si>
    <t>490, Stephenville Crossing, Newfoundland, Newfoundland and Labrador, Canada</t>
  </si>
  <si>
    <t xml:space="preserve">CDO   </t>
  </si>
  <si>
    <t>2 Lattice towers at Rural site</t>
  </si>
  <si>
    <t>48.3380527780001</t>
  </si>
  <si>
    <t>-58.505552778</t>
  </si>
  <si>
    <t>48 - 20 - 16.99</t>
  </si>
  <si>
    <t>58 - 30 - 19.99</t>
  </si>
  <si>
    <t>Trans Canada Highway, Newfoundland, Newfoundland and Labrador, Canada</t>
  </si>
  <si>
    <t>Rural</t>
  </si>
  <si>
    <t>49.0138000000001</t>
  </si>
  <si>
    <t>-57.690888889</t>
  </si>
  <si>
    <t>49 - 0 - 49.68</t>
  </si>
  <si>
    <t>57 - 41 - 27.2</t>
  </si>
  <si>
    <t>Clubhouse Hill, Newfoundland, Newfoundland and Labrador, Canada</t>
  </si>
  <si>
    <t>Eagle's Perch Restaurant
Humber Valley Resort</t>
  </si>
  <si>
    <t>No GSV in the area</t>
  </si>
  <si>
    <t>17096862710
+17096862710</t>
  </si>
  <si>
    <t>47.3136000000001</t>
  </si>
  <si>
    <t>-52.8260999999999</t>
  </si>
  <si>
    <t>47 - 18 - 48.96</t>
  </si>
  <si>
    <t>52 - 49 - 33.96</t>
  </si>
  <si>
    <t>Farm Road, Bay Bulls, Newfoundland, Newfoundland and Labrador, A0A 1C0, Canada</t>
  </si>
  <si>
    <t xml:space="preserve">Oceanview Farms
</t>
  </si>
  <si>
    <t>+1 709-334-3606</t>
  </si>
  <si>
    <t>48.939416667</t>
  </si>
  <si>
    <t>-57.9371305559999</t>
  </si>
  <si>
    <t>48 - 56 - 21.9</t>
  </si>
  <si>
    <t>57 - 56 - 13.67</t>
  </si>
  <si>
    <t>Grenfell Campus, University Drive, Corner Brook, Newfoundland, Newfoundland and Labrador, A2H 6J8, Canada</t>
  </si>
  <si>
    <t>47.0288722220001</t>
  </si>
  <si>
    <t>-55.177794444</t>
  </si>
  <si>
    <t>47 - 1 - 43.94</t>
  </si>
  <si>
    <t>55 - 10 - 40.06</t>
  </si>
  <si>
    <t>Seaview Drive, Burin, Newfoundland, Newfoundland and Labrador, Canada</t>
  </si>
  <si>
    <t>48.5520083330001</t>
  </si>
  <si>
    <t>-58.5574999999999</t>
  </si>
  <si>
    <t>48 - 33 - 7.23</t>
  </si>
  <si>
    <t>58 - 33 - 27.0</t>
  </si>
  <si>
    <t>Stephenville, Newfoundland, Newfoundland and Labrador, A2N 2S3, Canada</t>
  </si>
  <si>
    <t xml:space="preserve">Indian Head Solutions
The Town of Stephenville
</t>
  </si>
  <si>
    <r>
      <rPr>
        <sz val="11"/>
        <color rgb="FF000000"/>
        <rFont val="Calibri"/>
        <scheme val="minor"/>
      </rPr>
      <t xml:space="preserve">1-709-283-7777 - </t>
    </r>
    <r>
      <rPr>
        <sz val="11"/>
        <color rgb="FFFF0000"/>
        <rFont val="Calibri"/>
        <scheme val="minor"/>
      </rPr>
      <t xml:space="preserve">VM, didnt LAM
</t>
    </r>
    <r>
      <rPr>
        <sz val="11"/>
        <color rgb="FF000000"/>
        <rFont val="Calibri"/>
        <scheme val="minor"/>
      </rPr>
      <t xml:space="preserve">+1-709-643-8360 - </t>
    </r>
    <r>
      <rPr>
        <sz val="11"/>
        <color rgb="FFFF0000"/>
        <rFont val="Calibri"/>
        <scheme val="minor"/>
      </rPr>
      <t>Matt Sims</t>
    </r>
    <r>
      <rPr>
        <sz val="11"/>
        <color rgb="FF000000"/>
        <rFont val="Calibri"/>
        <scheme val="minor"/>
      </rPr>
      <t xml:space="preserve"> - Planning &amp; Development specialist no ans</t>
    </r>
  </si>
  <si>
    <t xml:space="preserve">Brett  </t>
  </si>
  <si>
    <t>47.5573444440001</t>
  </si>
  <si>
    <t>-52.721572222</t>
  </si>
  <si>
    <t>47 - 33 - 26.44</t>
  </si>
  <si>
    <t>52 - 43 - 17.66</t>
  </si>
  <si>
    <t>Saint Clare's Mercy Hospital, 154, LeMarchant Road, Pennywell, St. John's, Newfoundland, Newfoundland and Labrador, A1C 2H6, Canada</t>
  </si>
  <si>
    <t>https://www.google.com/maps/place/47%C2%B033'26.4%22N+52%C2%B043'17.7%22W/@47.5584906,-52.7213351,3a,75y,149.75h,89.99t/data=!3m7!1e1!3m5!1squ_2MJ_Gsp77Y5XtqI-R7Q!2e0!6shttps:%2F%2Fstreetviewpixels-pa.googleapis.com%2Fv1%2Fthumbnail%3Fcb_client%3Dmaps_sv.tactile%26w%3D900%26h%3D600%26pitch%3D0.01000328998070188%26panoid%3Dqu_2MJ_Gsp77Y5XtqI-R7Q%26yaw%3D149.74537118077964!7i16384!8i8192!4m4!3m3!8m2!3d47.5573444!4d-52.7215722?entry=ttu&amp;g_ep=EgoyMDI2MDExMy4wIKXMDSoASAFQAw%3D%3D</t>
  </si>
  <si>
    <t>St. Claires Mercy Hospital</t>
  </si>
  <si>
    <t>No anwer</t>
  </si>
  <si>
    <r>
      <rPr>
        <sz val="11"/>
        <color rgb="FF000000"/>
        <rFont val="Calibri"/>
      </rPr>
      <t xml:space="preserve">1709-777-5000 - </t>
    </r>
    <r>
      <rPr>
        <sz val="11"/>
        <color rgb="FFFF0000"/>
        <rFont val="Calibri"/>
      </rPr>
      <t>next call, try to get direct number</t>
    </r>
  </si>
  <si>
    <r>
      <rPr>
        <sz val="11"/>
        <color rgb="FFFF0000"/>
        <rFont val="Calibri"/>
        <scheme val="minor"/>
      </rPr>
      <t xml:space="preserve">Tyler Gordon </t>
    </r>
    <r>
      <rPr>
        <sz val="11"/>
        <color rgb="FF000000"/>
        <rFont val="Calibri"/>
        <scheme val="minor"/>
      </rPr>
      <t>- Hospital manager. Didnt LAM. Call back later.</t>
    </r>
  </si>
  <si>
    <t>49.057586111</t>
  </si>
  <si>
    <t>-58.375313889</t>
  </si>
  <si>
    <t>49 - 3 - 27.31</t>
  </si>
  <si>
    <t>58 - 22 - 31.13</t>
  </si>
  <si>
    <t>Main Road, York Harbour, Unincorporated Newfoundland, Newfoundland, Newfoundland and Labrador, A0L 1L0, Canada</t>
  </si>
  <si>
    <t>49.5016666670001</t>
  </si>
  <si>
    <t>-55.8202777779999</t>
  </si>
  <si>
    <t>49 - 30 - 6.0</t>
  </si>
  <si>
    <t>55 - 49 - 13.0</t>
  </si>
  <si>
    <t>Water Pond Road, Robert's Arm, Newfoundland, Newfoundland and Labrador, Canada</t>
  </si>
  <si>
    <t>47.524658333</t>
  </si>
  <si>
    <t>-52.7974972219999</t>
  </si>
  <si>
    <t>47 - 31 - 28.77</t>
  </si>
  <si>
    <t>52 - 47 - 50.99</t>
  </si>
  <si>
    <t>Majestic Salon Suites, 910, Topsail Road, Mount Pearl, Newfoundland, Newfoundland and Labrador, A1N 3G9, Canada</t>
  </si>
  <si>
    <t>Majestic Salon Suites; Deej the Barber ; X-Static Salon</t>
  </si>
  <si>
    <t xml:space="preserve">The tower is located behind Majestic Salon Suites; Cannot determine in ONX (no red line) </t>
  </si>
  <si>
    <r>
      <rPr>
        <sz val="11"/>
        <color rgb="FF000000"/>
        <rFont val="Calibri"/>
      </rPr>
      <t xml:space="preserve">Majestic Salon Suites -+17099999999;  Deej the Barber - 17097652329 ; X-Static Salon - +17095796111 </t>
    </r>
    <r>
      <rPr>
        <sz val="11"/>
        <color rgb="FFFF0000"/>
        <rFont val="Calibri"/>
      </rPr>
      <t>Majestic and xstatic salon - unreachable, Deej the barber  hung up the phone , tried to find another nearby  building they don't have contact info of the owner.</t>
    </r>
  </si>
  <si>
    <t>Wait to see if Salon replies to Msg left 1/22/2026</t>
  </si>
  <si>
    <t>47.7199972220001</t>
  </si>
  <si>
    <t>-53.223888889</t>
  </si>
  <si>
    <t>47 - 43 - 11.99</t>
  </si>
  <si>
    <t>53 - 13 - 26.0</t>
  </si>
  <si>
    <t>Bell Aliant Cellular Communication Tower, Scarlet Ridge, Carbonear, Newfoundland, Newfoundland and Labrador, A1Y 1A5, Canada</t>
  </si>
  <si>
    <t>CDO/No Visual</t>
  </si>
  <si>
    <t xml:space="preserve">The tower is located behind Bell Aliant; Cannot determine in ONX (no red line) </t>
  </si>
  <si>
    <t>47.2425555560001</t>
  </si>
  <si>
    <t>-53.311277778</t>
  </si>
  <si>
    <t>47 - 14 - 33.2</t>
  </si>
  <si>
    <t>53 - 18 - 40.6</t>
  </si>
  <si>
    <t>Salmonier Line, Mount Carmel-Mitchells Brook-St. Catherine's, Newfoundland, Newfoundland and Labrador, Canada</t>
  </si>
  <si>
    <t xml:space="preserve">The tower is located on the rural area; No nearest proprty except for THE WILDS; Cannot determine in ONX (no red line) </t>
  </si>
  <si>
    <t>The Wilds Resort at Salmonier River - +17092295444</t>
  </si>
  <si>
    <t>47.5257083330001</t>
  </si>
  <si>
    <t>-52.8170666669999</t>
  </si>
  <si>
    <t>47 - 31 - 32.55</t>
  </si>
  <si>
    <t>52 - 49 - 1.44</t>
  </si>
  <si>
    <t>1095, Topsail Road, Mount Pearl, Newfoundland, Newfoundland and Labrador, A1N 5E8, Canada</t>
  </si>
  <si>
    <t>47.5739500000001</t>
  </si>
  <si>
    <t>-52.734436111</t>
  </si>
  <si>
    <t>47 - 34 - 26.22</t>
  </si>
  <si>
    <t>52 - 44 - 3.97</t>
  </si>
  <si>
    <t>Geological Assn of Canada ; Department of Earth Sciences</t>
  </si>
  <si>
    <r>
      <rPr>
        <sz val="11"/>
        <color rgb="FF000000"/>
        <rFont val="Calibri"/>
      </rPr>
      <t>PID: 319501660; It's a government building with mounted panels on top of it. /</t>
    </r>
    <r>
      <rPr>
        <sz val="11"/>
        <color rgb="FFFF0000"/>
        <rFont val="Calibri"/>
      </rPr>
      <t xml:space="preserve"> facilities management 7098647600 sacman@mun.ca for  department of earth and sciences</t>
    </r>
  </si>
  <si>
    <r>
      <rPr>
        <sz val="11"/>
        <color rgb="FF000000"/>
        <rFont val="Calibri"/>
        <scheme val="minor"/>
      </rPr>
      <t xml:space="preserve">Geological Assn of Canada - </t>
    </r>
    <r>
      <rPr>
        <strike/>
        <sz val="11"/>
        <color rgb="FF000000"/>
        <rFont val="Calibri"/>
        <scheme val="minor"/>
      </rPr>
      <t>+17098647660</t>
    </r>
    <r>
      <rPr>
        <sz val="11"/>
        <color rgb="FF000000"/>
        <rFont val="Calibri"/>
        <scheme val="minor"/>
      </rPr>
      <t xml:space="preserve">; Department of Earth Sciences- +17098648142; </t>
    </r>
  </si>
  <si>
    <t>47.5241694440001</t>
  </si>
  <si>
    <t>-52.832772222</t>
  </si>
  <si>
    <t>47 - 31 - 27.01</t>
  </si>
  <si>
    <t>52 - 49 - 57.98</t>
  </si>
  <si>
    <t>24, Clyde Avenue, Donovans, Mount Pearl, Newfoundland, Newfoundland and Labrador, A1N 4R8, Canada</t>
  </si>
  <si>
    <r>
      <rPr>
        <sz val="11"/>
        <color rgb="FF000000"/>
        <rFont val="Calibri"/>
        <scheme val="minor"/>
      </rPr>
      <t>East Coast Converters Ltd ; Saputo Dairy Products</t>
    </r>
    <r>
      <rPr>
        <sz val="11"/>
        <color rgb="FFFF0000"/>
        <rFont val="Calibri"/>
        <scheme val="minor"/>
      </rPr>
      <t>BE SURE TO CONFIRM IF THE WATER TOWERS ARE BEING USED</t>
    </r>
  </si>
  <si>
    <t xml:space="preserve">The tower is owned by East Coast Converters; Cannot determine in ONX (no red line) </t>
  </si>
  <si>
    <r>
      <rPr>
        <sz val="11"/>
        <color rgb="FF000000"/>
        <rFont val="Calibri"/>
      </rPr>
      <t xml:space="preserve">East Coast Converters Ltd - +17097470860 ; Saputo Dairy Products - +17097475365/ </t>
    </r>
    <r>
      <rPr>
        <sz val="11"/>
        <color rgb="FFFF0000"/>
        <rFont val="Calibri"/>
      </rPr>
      <t>worker did not provide his name. he said the name of the owner is Chris chutton@hutbag.nf.ca, no phone number provided.</t>
    </r>
  </si>
  <si>
    <t>NikkiBrett to send email together to this guy, Brett to followup by phone if no response</t>
  </si>
  <si>
    <t>47.5511083330001</t>
  </si>
  <si>
    <t>-52.730277778</t>
  </si>
  <si>
    <t>47 - 33 - 3.99</t>
  </si>
  <si>
    <t>52 - 43 - 49.0</t>
  </si>
  <si>
    <t>St. Pat's Bowling Lanes &amp; Lounge, Blackmarsh Road, The Blocks, Pennywell, St. John's, Newfoundland, Newfoundland and Labrador, A1E 1S5, Canada</t>
  </si>
  <si>
    <r>
      <rPr>
        <sz val="11"/>
        <color rgb="FF000000"/>
        <rFont val="Calibri"/>
        <scheme val="minor"/>
      </rPr>
      <t>Royal Canadian Legion Branch 1; Deeper Life Bible Church, St. John's NL</t>
    </r>
    <r>
      <rPr>
        <sz val="11"/>
        <color rgb="FFFF0000"/>
        <rFont val="Calibri"/>
        <scheme val="minor"/>
      </rPr>
      <t>Manager from Royal Canadian said the owner of the tower is bell Aliant.</t>
    </r>
  </si>
  <si>
    <t>According to ONX, it looks like the tower is owned by Royal Canadian Legion Branch 1</t>
  </si>
  <si>
    <t>Royal Canadian Legion Branch 1 - +17095798281 ; Deeper Life Bible Church, St. John's NL - +17096907120</t>
  </si>
  <si>
    <t>Nikki - CHECK Column E, we already know its a Bell tower. But who owns the lease?Maybe Royal Canadian?</t>
  </si>
  <si>
    <t>48.4033166670001</t>
  </si>
  <si>
    <t>-53.3913777779999</t>
  </si>
  <si>
    <t>48 - 24 - 11.94</t>
  </si>
  <si>
    <t>53 - 23 - 28.96</t>
  </si>
  <si>
    <t>Discovery Trail, Newfoundland, Newfoundland and Labrador, Canada</t>
  </si>
  <si>
    <t>Looks like owned by the city/ Municipality</t>
  </si>
  <si>
    <t>47.9696027780001</t>
  </si>
  <si>
    <t>-58.966702778</t>
  </si>
  <si>
    <t>47 - 58 - 10.57</t>
  </si>
  <si>
    <t>58 - 58 - 0.13</t>
  </si>
  <si>
    <r>
      <rPr>
        <sz val="11"/>
        <color rgb="FF000000"/>
        <rFont val="Calibri"/>
        <scheme val="minor"/>
      </rPr>
      <t xml:space="preserve">Bell Aliant  </t>
    </r>
    <r>
      <rPr>
        <sz val="11"/>
        <color rgb="FFFF0000"/>
        <rFont val="Calibri"/>
        <scheme val="minor"/>
      </rPr>
      <t>BELL OWNED TOWER</t>
    </r>
  </si>
  <si>
    <t xml:space="preserve">The tower is located on the rural area; No nearest property; however it looks like it's owned by Bell Aliant; Cannot determine in ONX (no red line) </t>
  </si>
  <si>
    <t>47.5330777780001</t>
  </si>
  <si>
    <t>-52.7905777779999</t>
  </si>
  <si>
    <t>47 - 31 - 59.08</t>
  </si>
  <si>
    <t>52 - 47 - 26.08</t>
  </si>
  <si>
    <t>George's Pond Road, St. John's, Newfoundland, Newfoundland and Labrador, A1B 4G1, Canada</t>
  </si>
  <si>
    <t>https://www.google.com/maps/place/CBC+Broadcast+Tower/@47.5284294,-52.7865416,3a,15y,330.54h,108.3t/data=!3m7!1e1!3m5!1sTllWGCZ-Fnp7YklgsrEkzQ!2e0!6shttps:%2F%2Fstreetviewpixels-pa.googleapis.com%2Fv1%2Fthumbnail%3Fcb_client%3Dmaps_sv.tactile%26w%3D900%26h%3D600%26pitch%3D-18.295292907959677%26panoid%3DTllWGCZ-Fnp7YklgsrEkzQ%26yaw%3D330.53704615249876!7i13312!8i6656!4m12!1m5!3m4!2zNDfCsDMxJzU5LjEiTiA1MsKwNDcnMjYuMSJX!8m2!3d47.5330778!4d-52.7905778!3m5!1s0x4b0cbd00496c1fd3:0x3e8803310c53bed6!8m2!3d47.5331555!4d-52.7905149!16s%2Fg%2F11ldv9ljvd?entry=ttu&amp;g_ep=EgoyMDI2MDExMy4wIKXMDSoASAFQAw%3D%3D</t>
  </si>
  <si>
    <t>CBC Broadcast Tower- Brett to handle</t>
  </si>
  <si>
    <t>PID:106503800; Likely owned by CBC Broadcast tower according to ONX</t>
  </si>
  <si>
    <t>CBC Broadcarst Tower - (709) 576-5000</t>
  </si>
  <si>
    <t>47.558033333</t>
  </si>
  <si>
    <t>-52.762961111</t>
  </si>
  <si>
    <t>47 - 33 - 28.92</t>
  </si>
  <si>
    <t>52 - 45 - 46.66</t>
  </si>
  <si>
    <t>Harvey &amp; Company Ltd, 88, Kenmount Road, St. John's, Newfoundland, Newfoundland and Labrador, A1B 3R1, Canada</t>
  </si>
  <si>
    <r>
      <rPr>
        <sz val="11"/>
        <color rgb="FF000000"/>
        <rFont val="Calibri"/>
        <scheme val="minor"/>
      </rPr>
      <t xml:space="preserve">Notre Dame Seafoods Inc ; Montana’s BBQ &amp; Bar; Eastern Fine Motors </t>
    </r>
    <r>
      <rPr>
        <b/>
        <sz val="11"/>
        <color rgb="FFFF0000"/>
        <rFont val="Calibri"/>
        <scheme val="minor"/>
      </rPr>
      <t>Oceanic Cannabis &amp; Coffee</t>
    </r>
    <r>
      <rPr>
        <sz val="11"/>
        <color rgb="FF000000"/>
        <rFont val="Calibri"/>
        <scheme val="minor"/>
      </rPr>
      <t>; Binz 4 Less</t>
    </r>
  </si>
  <si>
    <r>
      <rPr>
        <sz val="11"/>
        <color rgb="FF000000"/>
        <rFont val="Calibri"/>
      </rPr>
      <t xml:space="preserve">PID: 670510370 ; The cell tower is located on a commercial area/worker said he's not allowed to provide any info, </t>
    </r>
    <r>
      <rPr>
        <sz val="11"/>
        <color rgb="FFFF0000"/>
        <rFont val="Calibri"/>
      </rPr>
      <t>he said we can call back the same phone number Eastern Fine Motors - +17092199070 around 3pm , the owner will be on  thearea.</t>
    </r>
  </si>
  <si>
    <r>
      <rPr>
        <sz val="11"/>
        <color rgb="FF000000"/>
        <rFont val="Calibri"/>
        <scheme val="minor"/>
      </rPr>
      <t>Notre Dame Seafoods Inc - +17097580034;  Montana’s BBQ &amp; Bar - +17097541111 ; Eastern Fine Motors - +17092199070;</t>
    </r>
    <r>
      <rPr>
        <b/>
        <sz val="11"/>
        <color rgb="FFFF0000"/>
        <rFont val="Calibri"/>
        <scheme val="minor"/>
      </rPr>
      <t xml:space="preserve"> Oceanic Cannabis &amp; Coffee - +17095792554;</t>
    </r>
    <r>
      <rPr>
        <sz val="11"/>
        <color rgb="FF000000"/>
        <rFont val="Calibri"/>
        <scheme val="minor"/>
      </rPr>
      <t xml:space="preserve"> Binz 4 Less - +17092212223</t>
    </r>
  </si>
  <si>
    <r>
      <rPr>
        <sz val="11"/>
        <color rgb="FF000000"/>
        <rFont val="Calibri"/>
        <scheme val="minor"/>
      </rPr>
      <t xml:space="preserve">Nikki- </t>
    </r>
    <r>
      <rPr>
        <sz val="11"/>
        <color rgb="FFFF0000"/>
        <rFont val="Calibri"/>
        <scheme val="minor"/>
      </rPr>
      <t>we need to review this one</t>
    </r>
  </si>
  <si>
    <t>47.6177777780001</t>
  </si>
  <si>
    <t>47 - 37 - 4.0</t>
  </si>
  <si>
    <t>Portugal Cove Road, Portugal Cove - St. Philips, Newfoundland, Newfoundland and Labrador, A1M 3G3, Canada</t>
  </si>
  <si>
    <r>
      <rPr>
        <sz val="11"/>
        <color rgb="FF000000"/>
        <rFont val="Calibri"/>
      </rPr>
      <t xml:space="preserve">Call R.E. Agent </t>
    </r>
    <r>
      <rPr>
        <b/>
        <sz val="11"/>
        <color rgb="FF000000"/>
        <rFont val="Calibri"/>
      </rPr>
      <t>Greg French 709-770-2870/</t>
    </r>
    <r>
      <rPr>
        <b/>
        <sz val="11"/>
        <color rgb="FFFF0000"/>
        <rFont val="Calibri"/>
      </rPr>
      <t>Cp# is unreachable</t>
    </r>
  </si>
  <si>
    <t xml:space="preserve">PID: 142161; The tower is located in residential area. </t>
  </si>
  <si>
    <r>
      <rPr>
        <sz val="11"/>
        <color rgb="FF000000"/>
        <rFont val="Calibri"/>
      </rPr>
      <t xml:space="preserve">The Grounds Cafe - +17098952800; Murray's Landscape Services - +17098952800; FedEx OnSite - +18004633339/ </t>
    </r>
    <r>
      <rPr>
        <sz val="11"/>
        <color rgb="FFFF0000"/>
        <rFont val="Calibri"/>
      </rPr>
      <t>The Grounds Cafe and muray landscape has the same phone number and they said they don't know owner of the tower, Fedex # voice recording.</t>
    </r>
  </si>
  <si>
    <t>47.573888889</t>
  </si>
  <si>
    <t>-52.723886111</t>
  </si>
  <si>
    <t>47 - 34 - 26.0</t>
  </si>
  <si>
    <t>52 - 43 - 25.99</t>
  </si>
  <si>
    <t>Aliant Telecom, 48;50, Allandale Road, Churchill Park, St. John's, Newfoundland, Newfoundland and Labrador, A1B 2X2, Canada</t>
  </si>
  <si>
    <r>
      <rPr>
        <sz val="11"/>
        <color rgb="FF000000"/>
        <rFont val="Calibri"/>
        <scheme val="minor"/>
      </rPr>
      <t xml:space="preserve">Bell Aliant; Marie's Mini Mart; Subway </t>
    </r>
    <r>
      <rPr>
        <sz val="11"/>
        <color rgb="FFFF0000"/>
        <rFont val="Calibri"/>
        <scheme val="minor"/>
      </rPr>
      <t>BELL OWNED TOWER</t>
    </r>
  </si>
  <si>
    <t>There are mounted panels on top of Bell Aliant property</t>
  </si>
  <si>
    <t>47.6431000000001</t>
  </si>
  <si>
    <t>-53.2728</t>
  </si>
  <si>
    <t>47 - 38 - 35.16</t>
  </si>
  <si>
    <t>53 - 16 - 22.08</t>
  </si>
  <si>
    <t>Ridge Road, Spaniard's Bay, Newfoundland, Newfoundland and Labrador, A0A 3X0, Canada</t>
  </si>
  <si>
    <t>It can only viewed using the 3D feature of google map. It could not be seen in street view; No ONX data</t>
  </si>
  <si>
    <t>49.051702778</t>
  </si>
  <si>
    <t>-58.358416667</t>
  </si>
  <si>
    <t>49 - 3 - 6.13</t>
  </si>
  <si>
    <t>58 - 21 - 30.3</t>
  </si>
  <si>
    <t>47.580411111</t>
  </si>
  <si>
    <t>-52.736352778</t>
  </si>
  <si>
    <t>47 - 34 - 49.48</t>
  </si>
  <si>
    <t>52 - 44 - 10.87</t>
  </si>
  <si>
    <t>Avalon Loop, Pippy Park, St. John's, Newfoundland, Newfoundland and Labrador, A1B 4B8, Canada</t>
  </si>
  <si>
    <t>Pippy Park Commission Headquarters; The Fluvarium</t>
  </si>
  <si>
    <t>PID: 645110400; The tower is likely owned by the Pippy Park or the municipality</t>
  </si>
  <si>
    <r>
      <rPr>
        <sz val="11"/>
        <color rgb="FF000000"/>
        <rFont val="Calibri"/>
      </rPr>
      <t xml:space="preserve">Pippy Park Commission Headquarters -+17097373655 </t>
    </r>
    <r>
      <rPr>
        <sz val="11"/>
        <color rgb="FFFF0000"/>
        <rFont val="Calibri"/>
      </rPr>
      <t>She said she would transfer me to the Executive Director, but there was no answer. I called again, gave our phone number, and was told the Director would contact us.</t>
    </r>
    <r>
      <rPr>
        <sz val="11"/>
        <color rgb="FF000000"/>
        <rFont val="Calibri"/>
      </rPr>
      <t xml:space="preserve"> ; The Fluvarium - +17097543474</t>
    </r>
    <r>
      <rPr>
        <sz val="11"/>
        <color rgb="FFFF0000"/>
        <rFont val="Calibri"/>
      </rPr>
      <t xml:space="preserve"> no answer</t>
    </r>
  </si>
  <si>
    <t>47.457261111</t>
  </si>
  <si>
    <t>-52.769255556</t>
  </si>
  <si>
    <t>47 - 27 - 26.14</t>
  </si>
  <si>
    <t>52 - 46 - 9.32</t>
  </si>
  <si>
    <t>Bonnie Drive, Goulds, St. John's, Newfoundland, Newfoundland and Labrador, A1S 1G7, Canada</t>
  </si>
  <si>
    <t>47.4147194440001</t>
  </si>
  <si>
    <t>-53.8188888889999</t>
  </si>
  <si>
    <t>47 - 24 - 52.99</t>
  </si>
  <si>
    <t>53 - 49 - 8.0</t>
  </si>
  <si>
    <t>Long Harbour-Mount Arlington Heights, Newfoundland, Newfoundland and Labrador, Canada</t>
  </si>
  <si>
    <t>The tower is really far from google map view. It's on the mountain</t>
  </si>
  <si>
    <t>48.9943222220001</t>
  </si>
  <si>
    <t>-57.877708333</t>
  </si>
  <si>
    <t>48 - 59 - 39.56</t>
  </si>
  <si>
    <t>57 - 52 - 39.75</t>
  </si>
  <si>
    <t>North Shore Highway, Hughes Brook, Newfoundland, Newfoundland and Labrador, A2H 6W8, Canada</t>
  </si>
  <si>
    <t>47.6494611110001</t>
  </si>
  <si>
    <t>-52.763127778</t>
  </si>
  <si>
    <t>47 - 38 - 58.06</t>
  </si>
  <si>
    <t>52 - 45 - 47.26</t>
  </si>
  <si>
    <t>Indian Meal Line, Torbay, Newfoundland, Newfoundland and Labrador, A1K 0A7, Canada</t>
  </si>
  <si>
    <t>https://www.google.com/maps/place/47%C2%B038'58.1%22N+52%C2%B045'47.3%22W/@47.6491396,-52.7610732,3a,17.3y,297.18h,107.14t/data=!3m7!1e1!3m5!1s6OrVH7Lz9Xg5gjnLwrDnDw!2e0!6shttps:%2F%2Fstreetviewpixels-pa.googleapis.com%2Fv1%2Fthumbnail%3Fcb_client%3Dmaps_sv.tactile%26w%3D900%26h%3D600%26pitch%3D-17.1350568363313%26panoid%3D6OrVH7Lz9Xg5gjnLwrDnDw%26yaw%3D297.17558740730084!7i16384!8i8192!4m4!3m3!8m2!3d47.6494611!4d-52.7631278?entry=ttu&amp;g_ep=EgoyMDI2MDExMy4wIKXMDSoASAFQAw%3D%3D</t>
  </si>
  <si>
    <t>Trails End Convenience</t>
  </si>
  <si>
    <t>It's far from the google map view, the nearest property is Trials End Covenient Store. No ONX data (no red line)</t>
  </si>
  <si>
    <t>Trails End Convenience - +17094377273</t>
  </si>
  <si>
    <t>47.6389833330001</t>
  </si>
  <si>
    <t>-52.7220694439999</t>
  </si>
  <si>
    <t>47 - 38 - 20.34</t>
  </si>
  <si>
    <t>52 - 43 - 19.45</t>
  </si>
  <si>
    <t>Kennedy's Brook Drive, Torbay, Newfoundland, Newfoundland and Labrador, A1K 1A5, Canada</t>
  </si>
  <si>
    <t>Century 21 Seller's Choice Inc</t>
  </si>
  <si>
    <t>It's far from the google map view, the nearest property is Century 21. No ONX data (no red line)</t>
  </si>
  <si>
    <t>Century 21 Seller's Choice Inc - 1707464999</t>
  </si>
  <si>
    <t>48.9833305560001</t>
  </si>
  <si>
    <t>-57.9322194439999</t>
  </si>
  <si>
    <t>48 - 58 - 59.99</t>
  </si>
  <si>
    <t>57 - 55 - 55.99</t>
  </si>
  <si>
    <t>North Shore Highway, Irishtown-Summerside, Newfoundland, Newfoundland and Labrador, A2H 1K9, Canada</t>
  </si>
  <si>
    <t>https://www.google.com/maps/place/48%C2%B058'60.0%22N+57%C2%B055'56.0%22W/@48.9842355,-57.9323791,3a,54.8y,206.13h,99.55t/data=!3m7!1e1!3m5!1siJanavBEvEMU5iVvPUafyQ!2e0!6shttps:%2F%2Fstreetviewpixels-pa.googleapis.com%2Fv1%2Fthumbnail%3Fcb_client%3Dmaps_sv.tactile%26w%3D900%26h%3D600%26pitch%3D-9.550598257832561%26panoid%3DiJanavBEvEMU5iVvPUafyQ%26yaw%3D206.13263861280848!7i16384!8i8192!4m4!3m3!8m2!3d48.9833306!4d-57.9322194?entry=ttu&amp;g_ep=EgoyMDI2MDExMy4wIKXMDSoASAFQAw%3D%3D</t>
  </si>
  <si>
    <t>Irishtown-Summerside Community Hall</t>
  </si>
  <si>
    <t xml:space="preserve">It looks like owned by city/ municipality. </t>
  </si>
  <si>
    <t>Irishtown-Summerside Community Hall - +17097832146</t>
  </si>
  <si>
    <t>47.502219444</t>
  </si>
  <si>
    <t>-52.814613889</t>
  </si>
  <si>
    <t>47 - 30 - 7.99</t>
  </si>
  <si>
    <t>52 - 48 - 52.61</t>
  </si>
  <si>
    <t>60, Merchant Drive, Pearlgate Shopping Centre, Mount Pearl, Newfoundland, Newfoundland and Labrador, A1N 4Y9, Canada</t>
  </si>
  <si>
    <t>No cell tower or mounted panel on top of the building according to google maps</t>
  </si>
  <si>
    <t>47.53835</t>
  </si>
  <si>
    <t>-52.737461111</t>
  </si>
  <si>
    <t>47 - 32 - 18.06</t>
  </si>
  <si>
    <t>52 - 44 - 14.86</t>
  </si>
  <si>
    <t>St. Luke's Home, 24, Road De Luxe, Waterford Valley, St. John's, Newfoundland, Newfoundland and Labrador, A1E 3J1, Canada</t>
  </si>
  <si>
    <t>47.577472222</t>
  </si>
  <si>
    <t>-52.6986666669999</t>
  </si>
  <si>
    <t>47 - 34 - 38.9</t>
  </si>
  <si>
    <t>52 - 41 - 55.2</t>
  </si>
  <si>
    <t>Clancey Drive, Mount Cashel, St. John's, Newfoundland, Newfoundland and Labrador, A1A 1K2, Canada</t>
  </si>
  <si>
    <t xml:space="preserve">It has small square thing attached to the post but not sure if it's cell site. No cell tower. </t>
  </si>
  <si>
    <t>47.5078</t>
  </si>
  <si>
    <t>-53.7247</t>
  </si>
  <si>
    <t>47 - 30 - 28.08</t>
  </si>
  <si>
    <t>53 - 43 - 28.92</t>
  </si>
  <si>
    <t>Unincorporated Newfoundland, Newfoundland, Newfoundland and Labrador, Canada</t>
  </si>
  <si>
    <t>CDO/ No visual</t>
  </si>
  <si>
    <t>It looks like an electricity tower not a cell site tower (no google street view) . No cell tower .</t>
  </si>
  <si>
    <t>47.3086027780001</t>
  </si>
  <si>
    <t>-53.974669444</t>
  </si>
  <si>
    <t>47 - 18 - 30.97</t>
  </si>
  <si>
    <t>53 - 58 - 28.81</t>
  </si>
  <si>
    <t>Placentia Pike, Placentia, Newfoundland, Newfoundland and Labrador, Canada</t>
  </si>
  <si>
    <t>No cell tower</t>
  </si>
  <si>
    <t>47.5425388890001</t>
  </si>
  <si>
    <t>-52.7139</t>
  </si>
  <si>
    <t>47 - 32 - 33.14</t>
  </si>
  <si>
    <t>52 - 42 - 50.04</t>
  </si>
  <si>
    <t>Warford Road, Shea Heights, St. John's, Newfoundland, Newfoundland and Labrador, A1C 5J2, Canada</t>
  </si>
  <si>
    <t>Shea Heights Pharmacy; Executive Transportation</t>
  </si>
  <si>
    <t xml:space="preserve">PID: 918510010; The location of the cell tower is behind a private house. It is nearby the commercial area. </t>
  </si>
  <si>
    <t xml:space="preserve">Shea Heights Pharmacy- +17097397432; Executive Transportation - +17097262600 </t>
  </si>
  <si>
    <t>48.0833388890001</t>
  </si>
  <si>
    <t>-52.8969861109999</t>
  </si>
  <si>
    <t>48 - 5 - 0.02</t>
  </si>
  <si>
    <t>52 - 53 - 49.15</t>
  </si>
  <si>
    <t>Emberley's Point Road, Bay De Verde, Newfoundland, Newfoundland and Labrador, Canada</t>
  </si>
  <si>
    <t>48.163336111</t>
  </si>
  <si>
    <t>-53.976016667</t>
  </si>
  <si>
    <t>48 - 9 - 48.01</t>
  </si>
  <si>
    <t>53 - 58 - 33.66</t>
  </si>
  <si>
    <t>Cabot PharmaChoice, Manitoba Drive, Clarenville, Newfoundland, Newfoundland and Labrador, A5A 1K3, Canada</t>
  </si>
  <si>
    <t xml:space="preserve">Cabot Pharmacy </t>
  </si>
  <si>
    <t>NO ONX data (no red line); it somehowe located beside the pharmacy</t>
  </si>
  <si>
    <t xml:space="preserve">Cabot Pharmacy - +17094663236; </t>
  </si>
  <si>
    <t>47.561544444</t>
  </si>
  <si>
    <t>-52.7312138889999</t>
  </si>
  <si>
    <t>47 - 33 - 41.56</t>
  </si>
  <si>
    <t>52 - 43 - 52.37</t>
  </si>
  <si>
    <t>263, Empire Avenue, Pennywell, St. John's, Newfoundland, Newfoundland and Labrador, A1C 3H9, Canada</t>
  </si>
  <si>
    <t>https://www.google.com/maps/place/47%C2%B033'41.6%22N+52%C2%B043'52.4%22W/@47.5622919,-52.73097,3a,75y,34.9h,101.42t/data=!3m7!1e1!3m5!1sNmQ7e-V0BstmgkhawE7nqw!2e0!6shttps:%2F%2Fstreetviewpixels-pa.googleapis.com%2Fv1%2Fthumbnail%3Fcb_client%3Dmaps_sv.tactile%26w%3D900%26h%3D600%26pitch%3D-11.42287028498086%26panoid%3DNmQ7e-V0BstmgkhawE7nqw%26yaw%3D34.89858369735908!7i16384!8i8192!4m4!3m3!8m2!3d47.5615444!4d-52.7312139?entry=ttu&amp;g_ep=EgoyMDI2MDExMy4wIKXMDSoASAFQAw%3D%3D</t>
  </si>
  <si>
    <t>Newfoundland and Labrador Legal Aid Commission</t>
  </si>
  <si>
    <t>PID: 325511835 ; the panel were mounted on the building</t>
  </si>
  <si>
    <t>Newfoundland and Labrador Legal Aid Commission - +17097537860</t>
  </si>
  <si>
    <t>48.947830556</t>
  </si>
  <si>
    <t>-57.9162277779999</t>
  </si>
  <si>
    <t>48 - 56 - 52.19</t>
  </si>
  <si>
    <t>57 - 54 - 58.42</t>
  </si>
  <si>
    <t>Maple Valley Road, Corner Brook, Newfoundland, Newfoundland and Labrador, A2H 7K5, Canada</t>
  </si>
  <si>
    <t>48.6758</t>
  </si>
  <si>
    <t>-54.0756</t>
  </si>
  <si>
    <t>48 - 40 - 32.88</t>
  </si>
  <si>
    <t>54 - 4 - 32.16</t>
  </si>
  <si>
    <t>Glovertown, Newfoundland, Newfoundland and Labrador, A0G 2L0, Canada</t>
  </si>
  <si>
    <t>47.5609694440001</t>
  </si>
  <si>
    <t>-52.711213889</t>
  </si>
  <si>
    <t>47 - 33 - 39.49</t>
  </si>
  <si>
    <t>52 - 42 - 40.37</t>
  </si>
  <si>
    <t>30, George Street, Downtown, St. John's, Newfoundland, Newfoundland and Labrador, A1C 1H7, Canada</t>
  </si>
  <si>
    <t>47.578858333</t>
  </si>
  <si>
    <t>-52.7171722219999</t>
  </si>
  <si>
    <t>47 - 34 - 43.89</t>
  </si>
  <si>
    <t>52 - 43 - 1.82</t>
  </si>
  <si>
    <t>15, Vaughan Place, Glenridge Crescent, Churchill Park, St. John's, Newfoundland, Newfoundland and Labrador, A1B 1S3, Canada</t>
  </si>
  <si>
    <t>47.589166667</t>
  </si>
  <si>
    <t>-53.525277778</t>
  </si>
  <si>
    <t>47 - 35 - 21.0</t>
  </si>
  <si>
    <t>53 - 31 - 31.0</t>
  </si>
  <si>
    <t>New Harbour, Newfoundland, Newfoundland and Labrador, A0A 1L0, Canada</t>
  </si>
  <si>
    <t>47.5166694440001</t>
  </si>
  <si>
    <t>-52.963611111</t>
  </si>
  <si>
    <t>47 - 31 - 0.01</t>
  </si>
  <si>
    <t>52 - 57 - 49.0</t>
  </si>
  <si>
    <t>Bell Aliant, 11, Bishops Road, Long Pond, Conception Bay South, Newfoundland, Newfoundland and Labrador, A1W 3A6, Canada</t>
  </si>
  <si>
    <r>
      <rPr>
        <sz val="11"/>
        <color rgb="FF000000"/>
        <rFont val="Calibri"/>
        <scheme val="minor"/>
      </rPr>
      <t xml:space="preserve">Bell Aliant ; TD Canada Trust Branch and ATM ; Dominion Conception Bay Highway- </t>
    </r>
    <r>
      <rPr>
        <sz val="11"/>
        <color rgb="FFFF0000"/>
        <rFont val="Calibri"/>
        <scheme val="minor"/>
      </rPr>
      <t>BELL OWNED TOWER</t>
    </r>
  </si>
  <si>
    <t>No ONX (no red line). It's behind the Bell Aliant property.</t>
  </si>
  <si>
    <t>Bell Aliant - +1 709-834-2898 ; TD Canada Trust Branch and ATM -+17098340705 ; Dominion Conception Bay Highway - +17098342053</t>
  </si>
  <si>
    <t>48.4034</t>
  </si>
  <si>
    <t>-53.3910999999999</t>
  </si>
  <si>
    <t>48 - 24 - 12.24</t>
  </si>
  <si>
    <t>53 - 23 - 27.96</t>
  </si>
  <si>
    <t>2 guyed cell tower</t>
  </si>
  <si>
    <t>47.2616694440001</t>
  </si>
  <si>
    <t>-53.980277778</t>
  </si>
  <si>
    <t>47 - 15 - 42.01</t>
  </si>
  <si>
    <t>53 - 58 - 49.0</t>
  </si>
  <si>
    <t>Old Settlement Hill, Placentia, Newfoundland, Newfoundland and Labrador, A0B 2Y0, Canada</t>
  </si>
  <si>
    <t>49.1418972220001</t>
  </si>
  <si>
    <t>-55.0842</t>
  </si>
  <si>
    <t>49 - 8 - 30.83</t>
  </si>
  <si>
    <t>55 - 5 - 3.12</t>
  </si>
  <si>
    <t>F. G. Bursey Tabernacle, Route 340, Lewisporte, Newfoundland, Newfoundland and Labrador, Canada</t>
  </si>
  <si>
    <t>https://www.google.com/maps/place/49%C2%B008'30.8%22N+55%C2%B005'03.1%22W/@49.145282,-55.0765935,3a,71y,353.71h,92.55t/data=!3m7!1e1!3m5!1smZijSEWYOuQ4wGasUpdPAQ!2e0!6shttps:%2F%2Fstreetviewpixels-pa.googleapis.com%2Fv1%2Fthumbnail%3Fcb_client%3Dmaps_sv.tactile%26w%3D900%26h%3D600%26pitch%3D-2.5498738488591783%26panoid%3DmZijSEWYOuQ4wGasUpdPAQ%26yaw%3D353.712913746956!7i16384!8i8192!4m4!3m3!8m2!3d49.1418972!4d-55.0842?entry=ttu&amp;g_ep=EgoyMDI2MDExMy4wIKXMDSoASAFQAw%3D%3D</t>
  </si>
  <si>
    <t>49.2561000000001</t>
  </si>
  <si>
    <t>-57.5053</t>
  </si>
  <si>
    <t>49 - 15 - 21.96</t>
  </si>
  <si>
    <t>57 - 30 - 19.08</t>
  </si>
  <si>
    <t>The Viking Trail, Cormack, Newfoundland, Newfoundland and Labrador, A8A 2P8, Canada</t>
  </si>
  <si>
    <t>49.0133000000001</t>
  </si>
  <si>
    <t>-57.6244</t>
  </si>
  <si>
    <t>49 - 0 - 47.88</t>
  </si>
  <si>
    <t>57 - 37 - 27.84</t>
  </si>
  <si>
    <t>Main Street, South Brook, Pasadena, Newfoundland, Newfoundland and Labrador, A0L 1K0, Canada</t>
  </si>
  <si>
    <t>West Haven Camp</t>
  </si>
  <si>
    <t xml:space="preserve">no ONX (no red line); the nearby property is the West Haven Camp </t>
  </si>
  <si>
    <t>West Haven Camp - tonya.stuckless@gmail.com ; brenda.mosher@hotmail.com</t>
  </si>
  <si>
    <t>48.948408333</t>
  </si>
  <si>
    <t>-57.9307527779999</t>
  </si>
  <si>
    <t>48 - 56 - 54.27</t>
  </si>
  <si>
    <t>57 - 55 - 50.71</t>
  </si>
  <si>
    <t>Western Memorial Regional Hospital, 1, Brookfield Avenue, Corner Brook, Newfoundland, Newfoundland and Labrador, A2H 6J7, Canada</t>
  </si>
  <si>
    <t>47.391388889</t>
  </si>
  <si>
    <t>-53.120833333</t>
  </si>
  <si>
    <t>47 - 23 - 29.0</t>
  </si>
  <si>
    <t>53 - 7 - 15.0</t>
  </si>
  <si>
    <t>Conception Bay Highway, Holyrood, Newfoundland, Newfoundland and Labrador, A0A 2R0, Canada</t>
  </si>
  <si>
    <t>48.9336000000001</t>
  </si>
  <si>
    <t>-57.9657999999999</t>
  </si>
  <si>
    <t>48 - 56 - 0.96</t>
  </si>
  <si>
    <t>57 - 57 - 56.88</t>
  </si>
  <si>
    <t>Corner Brook, Newfoundland, Newfoundland and Labrador, Canada</t>
  </si>
  <si>
    <t>51.018052778</t>
  </si>
  <si>
    <t>-56.8111083329999</t>
  </si>
  <si>
    <t>51 - 1 - 4.99</t>
  </si>
  <si>
    <t>56 - 48 - 39.99</t>
  </si>
  <si>
    <t>47.546038889</t>
  </si>
  <si>
    <t>-52.784588889</t>
  </si>
  <si>
    <t>47 - 32 - 45.74</t>
  </si>
  <si>
    <t>52 - 47 - 4.52</t>
  </si>
  <si>
    <t>The Model Shop, 415, Kenmount Road, St. John's, Newfoundland, Newfoundland and Labrador, A1B 3P9, Canada</t>
  </si>
  <si>
    <t>Capital Glass Experts ; The Model Shop ; Long &amp; McQuade Musical Instruments</t>
  </si>
  <si>
    <t>PID: 492013070 ; Located in commercial area ; behind the capital glass experts property</t>
  </si>
  <si>
    <t>Capital Glass Experts - 709-752-3353 ; The Model Shop - +17097537576 ; Long &amp; McQuade Musical Instruments - +17097531885</t>
  </si>
  <si>
    <t>47.520780556</t>
  </si>
  <si>
    <t>-52.7763166669999</t>
  </si>
  <si>
    <t>47 - 31 - 14.81</t>
  </si>
  <si>
    <t>52 - 46 - 34.74</t>
  </si>
  <si>
    <t>Park Avenue, Glendale, Mount Pearl, Newfoundland, Newfoundland and Labrador, A1N 1J7, Canada</t>
  </si>
  <si>
    <t>Hotel Mount Pearl ; Pop Up Clothing Boutique</t>
  </si>
  <si>
    <t>No ONX (no red line) Close to Hotel Mount Pearl</t>
  </si>
  <si>
    <t>Hotel Mount Pearl - +17093647725 ; Pop Up Clothing Boutique -1706313887</t>
  </si>
  <si>
    <t>47.5586000000001</t>
  </si>
  <si>
    <t>-52.7859999999999</t>
  </si>
  <si>
    <t>47 - 33 - 30.96</t>
  </si>
  <si>
    <t>52 - 47 - 9.6</t>
  </si>
  <si>
    <t>Messenger Drive, St. John's, Newfoundland, Newfoundland and Labrador, A1B 4R1, Canada</t>
  </si>
  <si>
    <t>CDO/Bad hyperlink</t>
  </si>
  <si>
    <t>PID
601610130</t>
  </si>
  <si>
    <t>47.5474194440001</t>
  </si>
  <si>
    <t>-52.7096999999999</t>
  </si>
  <si>
    <t>47 - 32 - 50.71</t>
  </si>
  <si>
    <t>52 - 42 - 34.92</t>
  </si>
  <si>
    <t>Linegar Avenue, Shea Heights, St. John's, Newfoundland, Newfoundland and Labrador, A1C 5J2, Canada</t>
  </si>
  <si>
    <t>47.5319000000001</t>
  </si>
  <si>
    <t>-53.226808333</t>
  </si>
  <si>
    <t>47 - 31 - 54.84</t>
  </si>
  <si>
    <t>53 - 13 - 36.51</t>
  </si>
  <si>
    <t>Conception Bay Highway, Brigus, Newfoundland, Newfoundland and Labrador, A0A 2Z0, Canada</t>
  </si>
  <si>
    <t>BELL OWNED TOWER</t>
  </si>
  <si>
    <t>48.1077194440001</t>
  </si>
  <si>
    <t>-52.920569444</t>
  </si>
  <si>
    <t>48 - 6 - 27.79</t>
  </si>
  <si>
    <t>52 - 55 - 14.05</t>
  </si>
  <si>
    <t>Main Road, Bay De Verde, Newfoundland, Newfoundland and Labrador, Canada</t>
  </si>
  <si>
    <t>49.0288861110001</t>
  </si>
  <si>
    <t>-53.902777778</t>
  </si>
  <si>
    <t>49 - 1 - 43.99</t>
  </si>
  <si>
    <t>53 - 54 - 10.0</t>
  </si>
  <si>
    <t>Centreville-Wareham-Trinity, Newfoundland, Newfoundland and Labrador, Canada</t>
  </si>
  <si>
    <t>49.388052778</t>
  </si>
  <si>
    <t>-54.8627749999999</t>
  </si>
  <si>
    <t>49 - 23 - 16.99</t>
  </si>
  <si>
    <t>54 - 51 - 45.99</t>
  </si>
  <si>
    <t>Comfort Cove Road, Comfort Cove-Newstead, Newfoundland, Newfoundland and Labrador, Canada</t>
  </si>
  <si>
    <t>47.7519500000001</t>
  </si>
  <si>
    <t>-52.7499999999999</t>
  </si>
  <si>
    <t>47 - 45 - 7.02</t>
  </si>
  <si>
    <t>52 - 44 - 60.0</t>
  </si>
  <si>
    <t>Micnoel Place, Pouch Cove, Newfoundland, Newfoundland and Labrador, A0A 3L0, Canada</t>
  </si>
  <si>
    <t>47.6739000000001</t>
  </si>
  <si>
    <t>-53.8613999999999</t>
  </si>
  <si>
    <t>47 - 40 - 26.04</t>
  </si>
  <si>
    <t>53 - 51 - 41.04</t>
  </si>
  <si>
    <t>47.602094444</t>
  </si>
  <si>
    <t>47 - 36 - 7.54</t>
  </si>
  <si>
    <t>Autumn Drive, Airport Heights, St. John's, Newfoundland, Newfoundland and Labrador, A1A 5Y2, Canada</t>
  </si>
  <si>
    <t>PID
732013820</t>
  </si>
  <si>
    <t>47.8047</t>
  </si>
  <si>
    <t>-59.289997222</t>
  </si>
  <si>
    <t>47 - 48 - 16.92</t>
  </si>
  <si>
    <t>59 - 17 - 23.99</t>
  </si>
  <si>
    <t>407, Unincorporated Newfoundland, Newfoundland, Newfoundland and Labrador, Canada</t>
  </si>
  <si>
    <t>West Valley Farm Ltd</t>
  </si>
  <si>
    <t>No ONX (no red line) ; It's nearby West Valley Farm</t>
  </si>
  <si>
    <t>West Valley Farm Ltd - +17099552140</t>
  </si>
  <si>
    <t>53.301433333</t>
  </si>
  <si>
    <t>-60.3144</t>
  </si>
  <si>
    <t>53 - 18 - 5.16</t>
  </si>
  <si>
    <t>60 - 18 - 51.84</t>
  </si>
  <si>
    <t>Palliser Crescent, Happy Valley, Happy Valley-Goose Bay, Labrador, Newfoundland and Labrador, A0P 1E0, Canada</t>
  </si>
  <si>
    <t>Pep's Diner and Takeout</t>
  </si>
  <si>
    <t>No ONX (no red line) ; It's behind Pep's Diner</t>
  </si>
  <si>
    <t>Pep's Diner and Takeout - +17098962543</t>
  </si>
  <si>
    <t>52.9391305560001</t>
  </si>
  <si>
    <t>-66.910902778</t>
  </si>
  <si>
    <t>52 - 56 - 20.87</t>
  </si>
  <si>
    <t>66 - 54 - 39.25</t>
  </si>
  <si>
    <t>Duplessis Avenue, Labrador City, Labrador, Newfoundland and Labrador, A2V 2W8, Canada</t>
  </si>
  <si>
    <t>Embassy Apartments Northview</t>
  </si>
  <si>
    <t>No ONX (no red line); Likely owned by Embassy apartments since the panel are mounted on the same building</t>
  </si>
  <si>
    <t>Embassy Apartments Northview - 7099447704</t>
  </si>
  <si>
    <t>47.585555556</t>
  </si>
  <si>
    <t>-53.2919416669999</t>
  </si>
  <si>
    <t>47 - 35 - 8.0</t>
  </si>
  <si>
    <t>53 - 17 - 30.99</t>
  </si>
  <si>
    <t>Badcock Boulevard, Bay Roberts, Newfoundland, Newfoundland and Labrador, A0A 1G0, Canada</t>
  </si>
  <si>
    <t>It's far (let me go back with this)</t>
  </si>
  <si>
    <t>46.937219444</t>
  </si>
  <si>
    <t>-55.3652749999999</t>
  </si>
  <si>
    <t>46 - 56 - 13.99</t>
  </si>
  <si>
    <t>55 - 21 - 54.99</t>
  </si>
  <si>
    <t>Burke's Road, Newfoundland, Newfoundland and Labrador, A0E 2V0, Canada</t>
  </si>
  <si>
    <t>47.5303944440001</t>
  </si>
  <si>
    <t>-52.8106722219999</t>
  </si>
  <si>
    <t>47 - 31 - 49.42</t>
  </si>
  <si>
    <t>52 - 48 - 38.42</t>
  </si>
  <si>
    <t>Maisonneuve Drive, Mount Pearl, Newfoundland, Newfoundland and Labrador, A1N 3G9, Canada</t>
  </si>
  <si>
    <t>47.620497222</t>
  </si>
  <si>
    <t>-52.9614</t>
  </si>
  <si>
    <t>47 - 37 - 13.79</t>
  </si>
  <si>
    <t>52 - 57 - 41.04</t>
  </si>
  <si>
    <t>Cummings Lane, Unincorporated Newfoundland, Newfoundland, Newfoundland and Labrador, Canada</t>
  </si>
  <si>
    <t>Heather's Haven</t>
  </si>
  <si>
    <t>No ONX (no red line); The tower is really far from the google map view. Nearest property is Heather's Haven</t>
  </si>
  <si>
    <t>Heather's Haven - +17094883363</t>
  </si>
  <si>
    <t>46.9092388890001</t>
  </si>
  <si>
    <t>-53.5629777779999</t>
  </si>
  <si>
    <t>46 - 54 - 33.26</t>
  </si>
  <si>
    <t>53 - 33 - 46.72</t>
  </si>
  <si>
    <t>Path End Road, St. Mary's, Newfoundland, Newfoundland and Labrador, A0B 3B0, Canada</t>
  </si>
  <si>
    <t>47.5244416670001</t>
  </si>
  <si>
    <t>-53.3155555559999</t>
  </si>
  <si>
    <t>47 - 31 - 27.99</t>
  </si>
  <si>
    <t>53 - 18 - 56.0</t>
  </si>
  <si>
    <t>Clarke's Beach, Newfoundland, Newfoundland and Labrador, Canada</t>
  </si>
  <si>
    <t>49.070883333</t>
  </si>
  <si>
    <t>-55.278541667</t>
  </si>
  <si>
    <t>49 - 4 - 15.18</t>
  </si>
  <si>
    <t>55 - 16 - 42.75</t>
  </si>
  <si>
    <t>Norris Arm, Newfoundland, Newfoundland and Labrador, Canada</t>
  </si>
  <si>
    <t>Rural guyed tower,</t>
  </si>
  <si>
    <t>49.5033333330001</t>
  </si>
  <si>
    <t>-56.069997222</t>
  </si>
  <si>
    <t>49 - 30 - 12.0</t>
  </si>
  <si>
    <t>56 - 4 - 11.99</t>
  </si>
  <si>
    <t>Springdale, Newfoundland, Newfoundland and Labrador, A0J 1T0, Canada</t>
  </si>
  <si>
    <t>https://www.google.com/maps/place/49%C2%B030'12.0%22N+56%C2%B004'12.0%22W/@49.5023591,-56.0677615,3a,41.4y,307.1h,106.49t/data=!3m7!1e1!3m5!1syQtHp55Cm9ulIvCx1hMrTg!2e0!6shttps:%2F%2Fstreetviewpixels-pa.googleapis.com%2Fv1%2Fthumbnail%3Fcb_client%3Dmaps_sv.tactile%26w%3D900%26h%3D600%26pitch%3D-16.48888376466431%26panoid%3DyQtHp55Cm9ulIvCx1hMrTg%26yaw%3D307.0958517855913!7i13312!8i6656!4m4!3m3!8m2!3d49.5033333!4d-56.0699972?entry=ttu&amp;g_ep=EgoyMDI2MDExMy4wIKXMDSoASAFQAw%3D%3D</t>
  </si>
  <si>
    <t>Colemans Food Centre ; Bubbles and Bows</t>
  </si>
  <si>
    <t>No ONX (no red line) ; far from google maps view; the nearest property I found is Colemans Food Centre</t>
  </si>
  <si>
    <t>Colemans Food Centre - +17096734577 ; Bubbles and Bows - +1 506-329-0151</t>
  </si>
  <si>
    <t>48.0277972220001</t>
  </si>
  <si>
    <t>-53.8833</t>
  </si>
  <si>
    <t>48 - 1 - 40.07</t>
  </si>
  <si>
    <t>53 - 52 - 59.88</t>
  </si>
  <si>
    <t>Main Road, Newfoundland, Newfoundland and Labrador, Canada</t>
  </si>
  <si>
    <t>New Horizons Random Fifty Plus Club of Hillview</t>
  </si>
  <si>
    <t>No ONX (no red line); It's r==kinda located in a rural area; nearest property we can contact is New Horizons</t>
  </si>
  <si>
    <t>New Horizons Random Fifty Plus Club of Hillview - +17095462245</t>
  </si>
  <si>
    <t xml:space="preserve"> </t>
  </si>
  <si>
    <t>48.2732194440001</t>
  </si>
  <si>
    <t>-54.178288889</t>
  </si>
  <si>
    <t>48 - 16 - 23.59</t>
  </si>
  <si>
    <t>54 - 10 - 41.84</t>
  </si>
  <si>
    <t>Southwest River Resource Road, Newfoundland, Newfoundland and Labrador, Canada</t>
  </si>
  <si>
    <t>47.5840833330001</t>
  </si>
  <si>
    <t>-52.7067611109999</t>
  </si>
  <si>
    <t>47 - 35 - 2.7</t>
  </si>
  <si>
    <t>52 - 42 - 24.34</t>
  </si>
  <si>
    <t>91, Berteau Avenue, Glenridge Crescent, Churchill Park, St. John's, Newfoundland, Newfoundland and Labrador, A1A 1W6, Canada</t>
  </si>
  <si>
    <t>47.5014722220001</t>
  </si>
  <si>
    <t>-52.761686111</t>
  </si>
  <si>
    <t>47 - 30 - 5.3</t>
  </si>
  <si>
    <t>52 - 45 - 42.07</t>
  </si>
  <si>
    <t>Connolly's Lane, St. John's, Newfoundland, Newfoundland and Labrador, A1E 2E3, Canada</t>
  </si>
  <si>
    <t>47.5780583330001</t>
  </si>
  <si>
    <t>-52.8652749999999</t>
  </si>
  <si>
    <t>47 - 34 - 41.01</t>
  </si>
  <si>
    <t>52 - 51 - 54.99</t>
  </si>
  <si>
    <t>Skinners Road, Portugal Cove - St. Philip's, Portugal Cove - St. Philips, Newfoundland, Newfoundland and Labrador, A1M 1L8, Canada</t>
  </si>
  <si>
    <t>47.5627777780001</t>
  </si>
  <si>
    <t>-52.8088888889999</t>
  </si>
  <si>
    <t>47 - 33 - 46.0</t>
  </si>
  <si>
    <t>52 - 48 - 32.0</t>
  </si>
  <si>
    <t>Thorburn Road, St. John's, Newfoundland, Newfoundland and Labrador, A1B 4R1, Canada</t>
  </si>
  <si>
    <t>https://www.google.com/maps/place/47%C2%B033'46.0%22N+52%C2%B048'32.0%22W/@47.5660563,-52.8077593,3a,36.9y,195.71h,95.28t/data=!3m8!1e1!3m6!1sCIHM0ogKEICAgIDaq7jM9AE!2e10!3e11!6shttps:%2F%2Flh3.googleusercontent.com%2Fgpms-cs-s%2FAPRy3c8KXGbKCFVhTAAHF5U7m0kUZ6woSCiHFBodc7lUGPBQDBw0QMseahY4awGkT-NBhcxY6cgsaBLs6lLYF3GJGZfbdNyz54unJFKAI52LVdTC7BoZKQjlWza9GYEiL0vCjYMObtmpXw%3Dw900-h600-k-no-pi-5.284160818188468-ya233.08868987788046-ro0-fo100!7i7680!8i3840!4m4!3m3!8m2!3d47.5627778!4d-52.8088889?entry=ttu&amp;g_ep=EgoyMDI2MDExMy4wIKXMDSoASAFQAw%3D%3D</t>
  </si>
  <si>
    <t>U-Haul Moving &amp; Storage of Thorburn</t>
  </si>
  <si>
    <t xml:space="preserve">PID: 873013010 ; It's really far from the google maps view. Nearest property is U-Haul. </t>
  </si>
  <si>
    <t>U-Haul Moving &amp; Storage of Thorburn - +17097532413</t>
  </si>
  <si>
    <t>47.6144472220001</t>
  </si>
  <si>
    <t>-52.719175</t>
  </si>
  <si>
    <t>47 - 36 - 52.01</t>
  </si>
  <si>
    <t>52 - 43 - 9.03</t>
  </si>
  <si>
    <t>Stavanger Drive, Stavanger Drive Power Centre, St. John's, Newfoundland, Newfoundland and Labrador, A1A 5E8, Canada</t>
  </si>
  <si>
    <t>Kent Building Supplies ;  Dragonfly</t>
  </si>
  <si>
    <t>It's located on a commercial area</t>
  </si>
  <si>
    <t>Kent Building Supplies - +17097582500 ; Dragonfly - +15148076086</t>
  </si>
  <si>
    <t>47.6205</t>
  </si>
  <si>
    <t>47 - 37 - 13.8</t>
  </si>
  <si>
    <t>47.614438889</t>
  </si>
  <si>
    <t>-52.7191694439999</t>
  </si>
  <si>
    <t>47 - 36 - 51.98</t>
  </si>
  <si>
    <t>52 - 43 - 9.01</t>
  </si>
  <si>
    <t>47.507777778</t>
  </si>
  <si>
    <t>-52.7916638889999</t>
  </si>
  <si>
    <t>47 - 30 - 28.0</t>
  </si>
  <si>
    <t>52 - 47 - 29.99</t>
  </si>
  <si>
    <t>Bell Aliant Mount Pearl MTPRNF01DS1, 314, Brookfield Road, Brookfield, Mount Pearl, Newfoundland, Newfoundland and Labrador, A1N 2C4, Canada</t>
  </si>
  <si>
    <t>Metro Self-Storage</t>
  </si>
  <si>
    <t>No ONX (no red line) ; Likely owned by Metro Self-storage</t>
  </si>
  <si>
    <t xml:space="preserve">Metro Self-Storage - 7097414165 /+18774527942 ; </t>
  </si>
  <si>
    <t>47.578055556</t>
  </si>
  <si>
    <t>-52.8652777779999</t>
  </si>
  <si>
    <t>47 - 34 - 41.0</t>
  </si>
  <si>
    <t>52 - 51 - 55.0</t>
  </si>
  <si>
    <t xml:space="preserve">Town of Portugal COve-St. Philips </t>
  </si>
  <si>
    <t>PID: 191686; Likely owned by Town of Portugal Cove</t>
  </si>
  <si>
    <t>Town of Portugal Cove-St. Philips -  (709) 895-8000</t>
  </si>
  <si>
    <t>47.517063889</t>
  </si>
  <si>
    <t>-52.871141667</t>
  </si>
  <si>
    <t>47 - 31 - 1.43</t>
  </si>
  <si>
    <t>52 - 52 - 16.11</t>
  </si>
  <si>
    <t>McNamara Drive, Valley Ridge, Paradise, Newfoundland, Newfoundland and Labrador, A1L 0H8, Canada</t>
  </si>
  <si>
    <t>Millennium Express</t>
  </si>
  <si>
    <t>No ONX (no red line); behind Millenium Express property</t>
  </si>
  <si>
    <t>Millennium Express - +17097477874</t>
  </si>
  <si>
    <t>49.1435277780001</t>
  </si>
  <si>
    <t>-55.3640722219999</t>
  </si>
  <si>
    <t>49 - 8 - 36.7</t>
  </si>
  <si>
    <t>55 - 21 - 50.66</t>
  </si>
  <si>
    <t>Botwood Highway, Botwood, Newfoundland, Newfoundland and Labrador, A0H 1E0, Canada</t>
  </si>
  <si>
    <t>Colemans Food Centre ; Botwood Collegiate</t>
  </si>
  <si>
    <t>No ONX (no red line); Located in a rural area; nearest property I fund is Colemans</t>
  </si>
  <si>
    <t>Colemans Food Centre - +17092574230 ; Botwood Collegiate - +17092572497</t>
  </si>
  <si>
    <t>47.5332750000001</t>
  </si>
  <si>
    <t>-52.790713889</t>
  </si>
  <si>
    <t>47 - 31 - 59.79</t>
  </si>
  <si>
    <t>52 - 47 - 26.57</t>
  </si>
  <si>
    <t>CBC Broadcast Tower</t>
  </si>
  <si>
    <t>PID: 106503800 ; likely owned by CBC Broadcast Tower</t>
  </si>
  <si>
    <t>CBC Broadcast Tower -(709) 576-5000</t>
  </si>
  <si>
    <t>47.6547194440001</t>
  </si>
  <si>
    <t>-52.728888889</t>
  </si>
  <si>
    <t>47 - 39 - 16.99</t>
  </si>
  <si>
    <t>52 - 43 - 44.0</t>
  </si>
  <si>
    <t>Bell Aliant Torbay, 15, North Pond Road, Torbay, Newfoundland, Newfoundland and Labrador, A1K 1K8, Canada</t>
  </si>
  <si>
    <t>North Pond Personal Care Home</t>
  </si>
  <si>
    <t>No ONX (red line); The tower is located accross North Pond Personal Care Home</t>
  </si>
  <si>
    <t>North Pond Personal Care Home - +17094371415</t>
  </si>
  <si>
    <t>47.765233333</t>
  </si>
  <si>
    <t>-53.4775444439999</t>
  </si>
  <si>
    <t>47 - 45 - 54.84</t>
  </si>
  <si>
    <t>53 - 28 - 39.16</t>
  </si>
  <si>
    <t>Baccalieu Trail, Heart's Delight-Islington, Newfoundland, Newfoundland and Labrador, A0B 2A0, Canada</t>
  </si>
  <si>
    <t>48.657147222</t>
  </si>
  <si>
    <t>-53.0972055559999</t>
  </si>
  <si>
    <t>48 - 39 - 25.73</t>
  </si>
  <si>
    <t>53 - 5 - 49.94</t>
  </si>
  <si>
    <t>Spillars Cove Road, Bonavista, Newfoundland, Newfoundland and Labrador, A0C 1B0, Canada</t>
  </si>
  <si>
    <t>Crewes Garage Limited ; Crewe's Automotive &amp; Emergency Towing</t>
  </si>
  <si>
    <t>No ONX (red line); The tower is located accross Crewe's Automotive &amp; Emergency Towing</t>
  </si>
  <si>
    <t>Crewes Garage Limited - +17094681580 ; Crewe's Automotive &amp; Emergency Towing - +17094686235</t>
  </si>
  <si>
    <t>47.662238889</t>
  </si>
  <si>
    <t>-54.7322</t>
  </si>
  <si>
    <t>47 - 39 - 44.06</t>
  </si>
  <si>
    <t>54 - 43 - 55.92</t>
  </si>
  <si>
    <t>Ocean View Drive, Terrenceville, Newfoundland, Newfoundland and Labrador, Canada</t>
  </si>
  <si>
    <t>Fauvette Enterprises</t>
  </si>
  <si>
    <t>No ONX (red line); Nearest property I found is Fauvette Enterprises</t>
  </si>
  <si>
    <t>Fauvette Enterprises - +17096872343</t>
  </si>
  <si>
    <t>47.561766667</t>
  </si>
  <si>
    <t>-52.711333333</t>
  </si>
  <si>
    <t>47 - 33 - 42.36</t>
  </si>
  <si>
    <t>52 - 42 - 40.8</t>
  </si>
  <si>
    <t>Rob Roy Pub, 391, Duckworth Street, Downtown, St. John's, Newfoundland, Newfoundland and Labrador, A1C 1H7, Canada</t>
  </si>
  <si>
    <t>CDO/ No Visual</t>
  </si>
  <si>
    <t>47.4538805560001</t>
  </si>
  <si>
    <t>-52.774919444</t>
  </si>
  <si>
    <t>47 - 27 - 13.97</t>
  </si>
  <si>
    <t>52 - 46 - 29.71</t>
  </si>
  <si>
    <t>Soper Crescent, Goulds, St. John's, Newfoundland, Newfoundland and Labrador, A1S 1G7, Canada</t>
  </si>
  <si>
    <t>51.3689000000001</t>
  </si>
  <si>
    <t>-55.594388889</t>
  </si>
  <si>
    <t>51 - 22 - 8.04</t>
  </si>
  <si>
    <t>55 - 35 - 39.8</t>
  </si>
  <si>
    <t>fire department, West Street, St. Anthony, Newfoundland, Newfoundland and Labrador, A0K 4S0, Canada</t>
  </si>
  <si>
    <t>47.6900666670001</t>
  </si>
  <si>
    <t>-53.2283027779999</t>
  </si>
  <si>
    <t>47 - 41 - 24.24</t>
  </si>
  <si>
    <t>53 - 13 - 41.89</t>
  </si>
  <si>
    <t>Harvey Street, Harbour Grace, Newfoundland, Newfoundland and Labrador, A0A 2M0, Canada</t>
  </si>
  <si>
    <t>47.5600000000001</t>
  </si>
  <si>
    <t>-52.7114</t>
  </si>
  <si>
    <t>47 - 33 - 36.0</t>
  </si>
  <si>
    <t>52 - 42 - 41.04</t>
  </si>
  <si>
    <t>The Cotton Club, 16, Queen Street, Downtown, St. John's, Newfoundland, Newfoundland and Labrador, A1C 5M2, Canada</t>
  </si>
  <si>
    <t>Eclipse Stores Inc ; St John's City Councillors</t>
  </si>
  <si>
    <t>PID
933000881; The cell panels are mounted to the Eclipse building property</t>
  </si>
  <si>
    <t>Eclipse Stores Inc - +17097220311 ; St John's City Councillors - +17095762332</t>
  </si>
  <si>
    <t>48.3381277780001</t>
  </si>
  <si>
    <t>-58.505711111</t>
  </si>
  <si>
    <t>48 - 20 - 17.26</t>
  </si>
  <si>
    <t>58 - 30 - 20.56</t>
  </si>
  <si>
    <t>47.2359500000001</t>
  </si>
  <si>
    <t>-52.8742333329999</t>
  </si>
  <si>
    <t>47 - 14 - 9.42</t>
  </si>
  <si>
    <t>52 - 52 - 27.24</t>
  </si>
  <si>
    <t>Mom's Little White Chapel</t>
  </si>
  <si>
    <t>No ONX (no red line); I couldn' see it on google map street view; try the 3d satellite view; Nearest proopert I found is Mom's Little WHite Chapel</t>
  </si>
  <si>
    <t>Mom's Little White Chapel - +17096997772</t>
  </si>
  <si>
    <t>49.287713889</t>
  </si>
  <si>
    <t>-53.580494444</t>
  </si>
  <si>
    <t>49 - 17 - 15.77</t>
  </si>
  <si>
    <t>53 - 34 - 49.78</t>
  </si>
  <si>
    <t>Highway 330, Templeman, Lumsden, Newfoundland, Newfoundland and Labrador, Canada</t>
  </si>
  <si>
    <t>D D's Bar &amp; Grill</t>
  </si>
  <si>
    <t>No ONX (red line); The tower is located behind D D's Bar &amp; Grill</t>
  </si>
  <si>
    <t>D D's Bar &amp; Grill - 709-530-1034</t>
  </si>
  <si>
    <t>46.7394444440001</t>
  </si>
  <si>
    <t>-53.387777778</t>
  </si>
  <si>
    <t>46 - 44 - 22.0</t>
  </si>
  <si>
    <t>53 - 23 - 16.0</t>
  </si>
  <si>
    <t>Trepassey, Newfoundland, Newfoundland and Labrador, Canada</t>
  </si>
  <si>
    <t>49.4200888890001</t>
  </si>
  <si>
    <t>-54.2893472219999</t>
  </si>
  <si>
    <t>49 - 25 - 12.32</t>
  </si>
  <si>
    <t>54 - 17 - 21.65</t>
  </si>
  <si>
    <t>Tower Road, Carmanville, Newfoundland, Newfoundland and Labrador, Canada</t>
  </si>
  <si>
    <t>47.5739055560001</t>
  </si>
  <si>
    <t>-52.733913889</t>
  </si>
  <si>
    <t>47 - 34 - 26.06</t>
  </si>
  <si>
    <t>52 - 44 - 2.09</t>
  </si>
  <si>
    <t>47.583666667</t>
  </si>
  <si>
    <t>-52.742308333</t>
  </si>
  <si>
    <t>47 - 35 - 1.2</t>
  </si>
  <si>
    <t>52 - 44 - 32.31</t>
  </si>
  <si>
    <t>Allandale Road, Bells Turn, Pippy Park, St. John's, Newfoundland, Newfoundland and Labrador, A1B 4B8, Canada</t>
  </si>
  <si>
    <t>Pippy Park Driving Range</t>
  </si>
  <si>
    <t>PID: 778500500; Likely owned by Pippy Park</t>
  </si>
  <si>
    <t>Pippy Park Driving Range - +17096828152</t>
  </si>
  <si>
    <t>49.2866638890001</t>
  </si>
  <si>
    <t>-56.760830556</t>
  </si>
  <si>
    <t>49 - 17 - 11.99</t>
  </si>
  <si>
    <t>56 - 45 - 38.99</t>
  </si>
  <si>
    <t>47.770277778</t>
  </si>
  <si>
    <t>-53.9887277779999</t>
  </si>
  <si>
    <t>47 - 46 - 13.0</t>
  </si>
  <si>
    <t>53 - 59 - 19.42</t>
  </si>
  <si>
    <t>Whiffens Head Road, Arnold's Cove, Newfoundland, Newfoundland and Labrador, Canada</t>
  </si>
  <si>
    <t>SGS - Canada - Arnold`s Cove ; Hilltop Manor Inc</t>
  </si>
  <si>
    <t>no ONX (no red line); the tower is located in a rural area; nearest property I found is SGS</t>
  </si>
  <si>
    <t>SGS - Canada - Arnold`s Cove - +17094632540 ; Hilltop Manor Inc - +17094635000</t>
  </si>
  <si>
    <t>48.9847</t>
  </si>
  <si>
    <t>-54.8502999999999</t>
  </si>
  <si>
    <t>48 - 59 - 4.92</t>
  </si>
  <si>
    <t>54 - 51 - 1.08</t>
  </si>
  <si>
    <t>Appleton, Newfoundland, Newfoundland and Labrador, Canada</t>
  </si>
  <si>
    <t>Petroleum &amp; Environmental Services Inc.</t>
  </si>
  <si>
    <t>no ONX (no red line); It's nearby from Petroleum &amp; Environmental Services Inc.</t>
  </si>
  <si>
    <t>Petroleum &amp; Environmental Services Inc. - +18774492335</t>
  </si>
  <si>
    <t>49.6451027780001</t>
  </si>
  <si>
    <t>-54.76185</t>
  </si>
  <si>
    <t>49 - 38 - 42.37</t>
  </si>
  <si>
    <t>54 - 45 - 42.66</t>
  </si>
  <si>
    <t>Rink Road, Durrell, Twillingate, Newfoundland, Newfoundland and Labrador, A0G 4M0, Canada</t>
  </si>
  <si>
    <t>52.5474305560001</t>
  </si>
  <si>
    <t>-56.302613889</t>
  </si>
  <si>
    <t>52 - 32 - 50.75</t>
  </si>
  <si>
    <t>56 - 18 - 9.41</t>
  </si>
  <si>
    <t>Port Hope Simpson, Labrador, Newfoundland and Labrador, A0K 4E0, Canada</t>
  </si>
  <si>
    <t>47.587008333</t>
  </si>
  <si>
    <t>-52.720238889</t>
  </si>
  <si>
    <t>47 - 35 - 13.23</t>
  </si>
  <si>
    <t>52 - 43 - 12.86</t>
  </si>
  <si>
    <t>College of the North Atlantic, 1, Prince Phillip Drive, Churchill Park, St. John's, Newfoundland, Newfoundland and Labrador, A1C 5P7, Canada</t>
  </si>
  <si>
    <t>49.4203000000001</t>
  </si>
  <si>
    <t>-54.2895</t>
  </si>
  <si>
    <t>49 - 25 - 13.08</t>
  </si>
  <si>
    <t>54 - 17 - 22.2</t>
  </si>
  <si>
    <t>48.940763889</t>
  </si>
  <si>
    <t>-57.972813889</t>
  </si>
  <si>
    <t>48 - 56 - 26.75</t>
  </si>
  <si>
    <t>57 - 58 - 22.13</t>
  </si>
  <si>
    <t>Western Petroleum, 337, O'Connell Drive, Corner Brook, Newfoundland, Newfoundland and Labrador, A2H 4M9, Canada</t>
  </si>
  <si>
    <t>Family Pharmachoice</t>
  </si>
  <si>
    <t xml:space="preserve">No ONX (No red line); It's really far from the google map view. </t>
  </si>
  <si>
    <t>Family Pharmachoice - +17096398777</t>
  </si>
  <si>
    <t>49.1141416670001</t>
  </si>
  <si>
    <t>-58.068747222</t>
  </si>
  <si>
    <t>49 - 6 - 50.91</t>
  </si>
  <si>
    <t>58 - 4 - 7.49</t>
  </si>
  <si>
    <t>Country Road, Cox Cove, Cox's Cove, Newfoundland, Newfoundland and Labrador, Canada</t>
  </si>
  <si>
    <t>Crane's Legacy</t>
  </si>
  <si>
    <t xml:space="preserve">No ONX (No red line); Behind Cranes legacy </t>
  </si>
  <si>
    <t>Cranes Legacy - +1 709-638-5138</t>
  </si>
  <si>
    <t>-54.838611111</t>
  </si>
  <si>
    <t>54 - 50 - 19.0</t>
  </si>
  <si>
    <t>Highway 212, St. Bernard's-Jacques Fontaine, Newfoundland, Newfoundland and Labrador, Canada</t>
  </si>
  <si>
    <t>49.085438889</t>
  </si>
  <si>
    <t>-58.374041667</t>
  </si>
  <si>
    <t>49 - 5 - 7.58</t>
  </si>
  <si>
    <t>58 - 22 - 26.55</t>
  </si>
  <si>
    <t>Highway 450, Lark Harbour, Newfoundland, Newfoundland and Labrador, Canada</t>
  </si>
  <si>
    <t>47.5905500000001</t>
  </si>
  <si>
    <t>-52.718055556</t>
  </si>
  <si>
    <t>47 - 35 - 25.98</t>
  </si>
  <si>
    <t>52 - 43 - 5.0</t>
  </si>
  <si>
    <t>180, Portugal Cove Road, Mount Cashel, St. John's, Newfoundland, Newfoundland and Labrador, A1A 4B3, Canada</t>
  </si>
  <si>
    <t>Holiday Inn</t>
  </si>
  <si>
    <t xml:space="preserve">PID 732000920; The panels are mounted at Holiday Inn </t>
  </si>
  <si>
    <t>Holiday Inn - 1 709-722-0506</t>
  </si>
  <si>
    <t>47.5788805560001</t>
  </si>
  <si>
    <t>-52.724366667</t>
  </si>
  <si>
    <t>47 - 34 - 43.97</t>
  </si>
  <si>
    <t>52 - 43 - 27.72</t>
  </si>
  <si>
    <t>21, Smithville Crescent, Churchill Park neighbourhood, Churchill Park, St. John's, Newfoundland, Newfoundland and Labrador, A1B 4J6, Canada</t>
  </si>
  <si>
    <t>47.506397222</t>
  </si>
  <si>
    <t>-52.7914</t>
  </si>
  <si>
    <t>47 - 30 - 23.03</t>
  </si>
  <si>
    <t>52 - 47 - 29.04</t>
  </si>
  <si>
    <t>47.386666667</t>
  </si>
  <si>
    <t>-53.3188888889999</t>
  </si>
  <si>
    <t>47 - 23 - 12.0</t>
  </si>
  <si>
    <t>53 - 19 - 8.0</t>
  </si>
  <si>
    <t>Jack’s Pond Road, Newfoundland, Newfoundland and Labrador, Canada</t>
  </si>
  <si>
    <t>CDO / No Visual</t>
  </si>
  <si>
    <t>47.7935861110001</t>
  </si>
  <si>
    <t>-59.285475</t>
  </si>
  <si>
    <t>47 - 47 - 36.91</t>
  </si>
  <si>
    <t>59 - 17 - 7.71</t>
  </si>
  <si>
    <t>47.693302778</t>
  </si>
  <si>
    <t>-53.469469444</t>
  </si>
  <si>
    <t>47 - 41 - 35.89</t>
  </si>
  <si>
    <t>53 - 28 - 10.09</t>
  </si>
  <si>
    <t>Baccalieu Trail, Whiteway, Newfoundland, Newfoundland and Labrador, A0B 3L0, Canada</t>
  </si>
  <si>
    <t>https://www.google.com/maps/place/47%C2%B041'35.9%22N+53%C2%B028'10.1%22W/@47.6915638,-53.478489,3a,15y,74.55h,102.19t/data=!3m7!1e1!3m5!1sFieR373PlIjmhOwhKXXjag!2e0!6shttps:%2F%2Fstreetviewpixels-pa.googleapis.com%2Fv1%2Fthumbnail%3Fcb_client%3Dmaps_sv.tactile%26w%3D900%26h%3D600%26pitch%3D-12.185354022588328%26panoid%3DFieR373PlIjmhOwhKXXjag%26yaw%3D74.54665429886009!7i13312!8i6656!4m4!3m3!8m2!3d47.6933028!4d-53.4694694?entry=ttu&amp;g_ep=EgoyMDI2MDExMy4wIKXMDSoASAFQAw%3D%3D</t>
  </si>
  <si>
    <t>Shag Rock Manor Personal Care Home</t>
  </si>
  <si>
    <t xml:space="preserve">No ONX (no red line); really far from google maps view. </t>
  </si>
  <si>
    <t>Shag Rock Manor Personal Care Home - +1 709-588-2884</t>
  </si>
  <si>
    <t>47.5696888890001</t>
  </si>
  <si>
    <t>-52.71645</t>
  </si>
  <si>
    <t>47 - 34 - 10.88</t>
  </si>
  <si>
    <t>52 - 42 - 59.22</t>
  </si>
  <si>
    <t>48, Bonaventure Avenue, Ecclesiastical District, Georgestown, St. John's, Newfoundland, Newfoundland and Labrador, A1C 3Z3, Canada</t>
  </si>
  <si>
    <t>53.220163889</t>
  </si>
  <si>
    <t>-60.6111999999999</t>
  </si>
  <si>
    <t>53 - 13 - 12.59</t>
  </si>
  <si>
    <t>60 - 36 - 40.32</t>
  </si>
  <si>
    <t>Labrador, Newfoundland and Labrador, Canada</t>
  </si>
  <si>
    <t>51.3486083330001</t>
  </si>
  <si>
    <t>-55.6102722219999</t>
  </si>
  <si>
    <t>51 - 20 - 54.99</t>
  </si>
  <si>
    <t>55 - 36 - 36.98</t>
  </si>
  <si>
    <t>Saint Anthony Air Station, American Drive, St. Anthony, Newfoundland, Newfoundland and Labrador, A0K 4S0, Canada</t>
  </si>
  <si>
    <t>47.5108777780001</t>
  </si>
  <si>
    <t>-52.9463222219999</t>
  </si>
  <si>
    <t>47 - 30 - 39.16</t>
  </si>
  <si>
    <t>52 - 56 - 46.76</t>
  </si>
  <si>
    <t>Talcville, Conception Bay South, Newfoundland, Newfoundland and Labrador, A1W 3A1, Canada</t>
  </si>
  <si>
    <t>48.9781</t>
  </si>
  <si>
    <t>-57.9766999999999</t>
  </si>
  <si>
    <t>48 - 58 - 41.16</t>
  </si>
  <si>
    <t>57 - 58 - 36.12</t>
  </si>
  <si>
    <t>North Shore Highway, Irishtown-Summerside, Newfoundland, Newfoundland and Labrador, A2H 3P5, Canada</t>
  </si>
  <si>
    <t>49.705622222</t>
  </si>
  <si>
    <t>-56.094827778</t>
  </si>
  <si>
    <t>49 - 42 - 20.24</t>
  </si>
  <si>
    <t>56 - 5 - 41.38</t>
  </si>
  <si>
    <t>Robinson's Lane, Middle Arm, Newfoundland, Newfoundland and Labrador, Canada</t>
  </si>
  <si>
    <t>48.959641667</t>
  </si>
  <si>
    <t>-57.924730556</t>
  </si>
  <si>
    <t>48 - 57 - 34.71</t>
  </si>
  <si>
    <t>57 - 55 - 29.03</t>
  </si>
  <si>
    <t>St. Marks Avenue, Corner Brook, Newfoundland, Newfoundland and Labrador, A2H 1K9, Canada</t>
  </si>
  <si>
    <t>47.588969444</t>
  </si>
  <si>
    <t>-58.9712472219999</t>
  </si>
  <si>
    <t>47 - 35 - 20.29</t>
  </si>
  <si>
    <t>58 - 58 - 16.49</t>
  </si>
  <si>
    <t>Route 470, Isle aux Morts, Unincorporated Newfoundland, Newfoundland, Newfoundland and Labrador, A0M 1J0, Canada</t>
  </si>
  <si>
    <t>48.1505527780001</t>
  </si>
  <si>
    <t>-58.776108333</t>
  </si>
  <si>
    <t>48 - 9 - 1.99</t>
  </si>
  <si>
    <t>58 - 46 - 33.99</t>
  </si>
  <si>
    <t>48.9963805560001</t>
  </si>
  <si>
    <t>-57.9029805559999</t>
  </si>
  <si>
    <t>48 - 59 - 46.97</t>
  </si>
  <si>
    <t>57 - 54 - 10.73</t>
  </si>
  <si>
    <t>North Shore Highway, Irishtown-Summerside, Newfoundland, Newfoundland and Labrador, A2H 6W8, Canada</t>
  </si>
  <si>
    <t>47.5270472220001</t>
  </si>
  <si>
    <t>-52.862280556</t>
  </si>
  <si>
    <t>47 - 31 - 37.37</t>
  </si>
  <si>
    <t>52 - 51 - 44.21</t>
  </si>
  <si>
    <t>Valley Ridge, Paradise, Newfoundland, Newfoundland and Labrador, A1L 1R1, Canada</t>
  </si>
  <si>
    <t>47.6277916670001</t>
  </si>
  <si>
    <t>-53.834544444</t>
  </si>
  <si>
    <t>47 - 37 - 40.05</t>
  </si>
  <si>
    <t>53 - 50 - 4.36</t>
  </si>
  <si>
    <t>47.615216667</t>
  </si>
  <si>
    <t>-52.717469444</t>
  </si>
  <si>
    <t>47 - 36 - 54.78</t>
  </si>
  <si>
    <t>52 - 43 - 2.89</t>
  </si>
  <si>
    <t xml:space="preserve">Old Navy; Marshalls </t>
  </si>
  <si>
    <t>PID: 836000050; Located in a commercial area</t>
  </si>
  <si>
    <t>Old Navy - +17097386281 ;Marshalls- +17095795262</t>
  </si>
  <si>
    <t>48.9395805560001</t>
  </si>
  <si>
    <t>-57.9397999999999</t>
  </si>
  <si>
    <t>48 - 56 - 22.49</t>
  </si>
  <si>
    <t>57 - 56 - 23.28</t>
  </si>
  <si>
    <t>Pepsi Centre, Canada Games Drive, Corner Brook, Newfoundland, Newfoundland and Labrador, A2H 6J8, Canada</t>
  </si>
  <si>
    <t>49.2993222220001</t>
  </si>
  <si>
    <t>-53.608297222</t>
  </si>
  <si>
    <t>49 - 17 - 57.56</t>
  </si>
  <si>
    <t>53 - 36 - 29.87</t>
  </si>
  <si>
    <t>Memorial Drive, Robbins Trucking, Lumsden, Newfoundland, Newfoundland and Labrador, A0G 3E0, Canada</t>
  </si>
  <si>
    <t>47.5634055560001</t>
  </si>
  <si>
    <t>-52.722244444</t>
  </si>
  <si>
    <t>47 - 33 - 48.26</t>
  </si>
  <si>
    <t>52 - 43 - 20.08</t>
  </si>
  <si>
    <t>Linscott Street, Pennywell, St. John's, Newfoundland, Newfoundland and Labrador, A1C 2L4, Canada</t>
  </si>
  <si>
    <t>48.938766667</t>
  </si>
  <si>
    <t>-57.935511111</t>
  </si>
  <si>
    <t>48 - 56 - 19.56</t>
  </si>
  <si>
    <t>57 - 56 - 7.84</t>
  </si>
  <si>
    <t>47.581336111</t>
  </si>
  <si>
    <t>-52.695744444</t>
  </si>
  <si>
    <t>47 - 34 - 52.81</t>
  </si>
  <si>
    <t>52 - 41 - 44.68</t>
  </si>
  <si>
    <t>102, The Boulevard, Pleasantville, St. John's, Newfoundland, Newfoundland and Labrador, A1A 0N9, Canada</t>
  </si>
  <si>
    <t>47.604172222</t>
  </si>
  <si>
    <t>-52.718627778</t>
  </si>
  <si>
    <t>47 - 36 - 15.02</t>
  </si>
  <si>
    <t>52 - 43 - 7.06</t>
  </si>
  <si>
    <t>Penney Lane, Spruce Meadows, St. John's, Newfoundland, Newfoundland and Labrador, A1E 2B6, Canada</t>
  </si>
  <si>
    <t>48.972144444</t>
  </si>
  <si>
    <t>-54.6207277779999</t>
  </si>
  <si>
    <t>48 - 58 - 19.72</t>
  </si>
  <si>
    <t>54 - 37 - 14.62</t>
  </si>
  <si>
    <t>Magee Road, Gander, Newfoundland, Newfoundland and Labrador, A1V 2C8, Canada</t>
  </si>
  <si>
    <t>Kingdom Hall of Jehovah's Witnesses</t>
  </si>
  <si>
    <t>No ONX (no red line) ; The tower is accross Kingdom of Jehovah &amp; Evangel</t>
  </si>
  <si>
    <t>Kingdom Hall of Jehovah's Witnesses - +17096512099 ; Evangel Pentecostal Community Church - +17092564762</t>
  </si>
  <si>
    <t>49.5864527780001</t>
  </si>
  <si>
    <t>-56.180508333</t>
  </si>
  <si>
    <t>49 - 35 - 11.23</t>
  </si>
  <si>
    <t>56 - 10 - 49.83</t>
  </si>
  <si>
    <t>Main Street, King's Point, Newfoundland, Newfoundland and Labrador, A0J 1H0, Canada</t>
  </si>
  <si>
    <t>47.485405556</t>
  </si>
  <si>
    <t>-52.8244749999999</t>
  </si>
  <si>
    <t>47 - 29 - 7.46</t>
  </si>
  <si>
    <t>52 - 49 - 28.11</t>
  </si>
  <si>
    <t>Sequoia Drive, Southlands, St. John's, Newfoundland, Newfoundland and Labrador, A1H 0G5, Canada</t>
  </si>
  <si>
    <t>47.606366667</t>
  </si>
  <si>
    <t>-52.735427778</t>
  </si>
  <si>
    <t>47 - 36 - 22.92</t>
  </si>
  <si>
    <t>52 - 44 - 7.54</t>
  </si>
  <si>
    <t>178, Major's Path, St. John's, Newfoundland, Newfoundland and Labrador, A1A 4Y3, Canada</t>
  </si>
  <si>
    <t>48.818888889</t>
  </si>
  <si>
    <t>-56.721388889</t>
  </si>
  <si>
    <t>48 - 49 - 8.0</t>
  </si>
  <si>
    <t>56 - 43 - 17.0</t>
  </si>
  <si>
    <t>49.5285555560001</t>
  </si>
  <si>
    <t>-56.8686083329999</t>
  </si>
  <si>
    <t>49 - 31 - 42.8</t>
  </si>
  <si>
    <t>56 - 52 - 6.99</t>
  </si>
  <si>
    <t>Tower Road, Bayside, Hampden, Newfoundland, Newfoundland and Labrador, A0K 2Y0, Canada</t>
  </si>
  <si>
    <t>49.7136083330001</t>
  </si>
  <si>
    <t>-54.1130555559999</t>
  </si>
  <si>
    <t>49 - 42 - 48.99</t>
  </si>
  <si>
    <t>54 - 6 - 47.0</t>
  </si>
  <si>
    <t>Joe Batt's Arm Road, Tilting, Newfoundland, Newfoundland and Labrador, Canada</t>
  </si>
  <si>
    <t>50.8375</t>
  </si>
  <si>
    <t>-56.1080527779999</t>
  </si>
  <si>
    <t>50 - 50 - 15.0</t>
  </si>
  <si>
    <t>56 - 6 - 28.99</t>
  </si>
  <si>
    <t>Bide Arm, Roddickton-Bide Arm, Newfoundland, Newfoundland and Labrador, A0K 4P0, Canada</t>
  </si>
  <si>
    <t>48.5897194440001</t>
  </si>
  <si>
    <t>-58.667219444</t>
  </si>
  <si>
    <t>48 - 35 - 22.99</t>
  </si>
  <si>
    <t>58 - 40 - 1.99</t>
  </si>
  <si>
    <t>Hynes Road, Port au Port, Port au Port East, Newfoundland, Newfoundland and Labrador, Canada</t>
  </si>
  <si>
    <t>52.3691666670001</t>
  </si>
  <si>
    <t>-55.6838888889999</t>
  </si>
  <si>
    <t>52 - 22 - 9.0</t>
  </si>
  <si>
    <t>55 - 41 - 2.0</t>
  </si>
  <si>
    <t>Main Road, St. Lewis, Labrador, Newfoundland and Labrador, Canada</t>
  </si>
  <si>
    <t>47.6155000000001</t>
  </si>
  <si>
    <t>-52.7122527779999</t>
  </si>
  <si>
    <t>47 - 36 - 55.8</t>
  </si>
  <si>
    <t>52 - 42 - 44.11</t>
  </si>
  <si>
    <t>Bell, Aberdeen Avenue, Stavanger Drive, St. John's, Newfoundland, Newfoundland and Labrador, A1A 5E8, Canada</t>
  </si>
  <si>
    <t>47.5475138890001</t>
  </si>
  <si>
    <t>-52.743127778</t>
  </si>
  <si>
    <t>47 - 32 - 51.05</t>
  </si>
  <si>
    <t>52 - 44 - 35.26</t>
  </si>
  <si>
    <t>Twin Rinks, 53, Blackler Avenue, Mundy Pond, St. John's, Newfoundland, Newfoundland and Labrador, A1E 4T2, Canada</t>
  </si>
  <si>
    <t>48.1842472220001</t>
  </si>
  <si>
    <t>-53.936027778</t>
  </si>
  <si>
    <t>48 - 11 - 3.29</t>
  </si>
  <si>
    <t>53 - 56 - 9.7</t>
  </si>
  <si>
    <t>Newfoundland, Newfoundland and Labrador, A5A 4B3, Canada</t>
  </si>
  <si>
    <t>48.9628000000001</t>
  </si>
  <si>
    <t>-54.6747</t>
  </si>
  <si>
    <t>48 - 57 - 46.08</t>
  </si>
  <si>
    <t>54 - 40 - 28.92</t>
  </si>
  <si>
    <t>Trans Canada Highway, Gander, Newfoundland, Newfoundland and Labrador, Canada</t>
  </si>
  <si>
    <t>Airport Nordic Ski Club</t>
  </si>
  <si>
    <t>No ONX (no red line) ; Likely located in a rural area.</t>
  </si>
  <si>
    <t>Airport Nordic Ski Club - +17096513169</t>
  </si>
  <si>
    <t>49.5531</t>
  </si>
  <si>
    <t>-57.8892</t>
  </si>
  <si>
    <t>49 - 33 - 11.16</t>
  </si>
  <si>
    <t>57 - 53 - 21.12</t>
  </si>
  <si>
    <t>Pond Road, Rocky Harbour, Unincorporated Newfoundland, Newfoundland, Newfoundland and Labrador, A0K 4N0, Canada</t>
  </si>
  <si>
    <t>48.9572000000001</t>
  </si>
  <si>
    <t>-54.6086</t>
  </si>
  <si>
    <t>48 - 57 - 25.92</t>
  </si>
  <si>
    <t>54 - 36 - 30.96</t>
  </si>
  <si>
    <t>Bell Aliant Gander, 185, Airport Boulevard, Gander, Newfoundland, Newfoundland and Labrador, A1V 1L6, Canada</t>
  </si>
  <si>
    <t>47.233058333</t>
  </si>
  <si>
    <t>-52.838052778</t>
  </si>
  <si>
    <t>47 - 13 - 59.01</t>
  </si>
  <si>
    <t>52 - 50 - 16.99</t>
  </si>
  <si>
    <t>Mama B’s Bakery</t>
  </si>
  <si>
    <t xml:space="preserve">No ONX (No red line) </t>
  </si>
  <si>
    <t>Mama B’s Bakery - +17097258890</t>
  </si>
  <si>
    <t>47.7716694440001</t>
  </si>
  <si>
    <t>-53.214441667</t>
  </si>
  <si>
    <t>47 - 46 - 18.01</t>
  </si>
  <si>
    <t>53 - 12 - 51.99</t>
  </si>
  <si>
    <t>Power House Road, Victoria, Newfoundland, Newfoundland and Labrador, A0A 4G0, Canada</t>
  </si>
  <si>
    <t>Victoria Heritage Village</t>
  </si>
  <si>
    <t xml:space="preserve">No ONX (No red line) Nearby Victpria Heritage Village </t>
  </si>
  <si>
    <t>Victoria Heritage Village - +17096902565</t>
  </si>
  <si>
    <t>48.599633333</t>
  </si>
  <si>
    <t>-59.131369444</t>
  </si>
  <si>
    <t>48 - 35 - 58.68</t>
  </si>
  <si>
    <t>59 - 7 - 52.93</t>
  </si>
  <si>
    <t>Highway 463, Lourdes, Unincorporated Newfoundland, Newfoundland, Newfoundland and Labrador, Canada</t>
  </si>
  <si>
    <t>https://www.google.com/maps/place/48%C2%B035'58.7%22N+59%C2%B007'52.9%22W/@48.5988479,-59.1333813,3a,75y,122.01h,111.24t/data=!3m7!1e1!3m5!1sSYuXRb3-M0lLv5OYif1TmA!2e0!6shttps:%2F%2Fstreetviewpixels-pa.googleapis.com%2Fv1%2Fthumbnail%3Fcb_client%3Dmaps_sv.tactile%26w%3D900%26h%3D600%26pitch%3D-21.24216342777207%26panoid%3DSYuXRb3-M0lLv5OYif1TmA%26yaw%3D122.0062318580585!7i16384!8i8192!4m4!3m3!8m2!3d48.5996333!4d-59.1313694?entry=ttu&amp;g_ep=EgoyMDI2MDExMy4wIKXMDSoASAFQAw%3D%3D</t>
  </si>
  <si>
    <t>48.9298527780001</t>
  </si>
  <si>
    <t>-57.9195722219999</t>
  </si>
  <si>
    <t>48 - 55 - 47.47</t>
  </si>
  <si>
    <t>57 - 55 - 10.46</t>
  </si>
  <si>
    <t>Health Care Crescent, Corner Brook, Newfoundland, Newfoundland and Labrador, A2H 7K5, Canada</t>
  </si>
  <si>
    <t>47.5387277780001</t>
  </si>
  <si>
    <t>-52.713597222</t>
  </si>
  <si>
    <t>47 - 32 - 19.42</t>
  </si>
  <si>
    <t>52 - 42 - 48.95</t>
  </si>
  <si>
    <t>Blackhead Road, Shea Heights, St. John's, Newfoundland, Newfoundland and Labrador, A1C 5J2, Canada</t>
  </si>
  <si>
    <t>Aspen Auto Body</t>
  </si>
  <si>
    <t xml:space="preserve">No ONX (No red line); The tower is far from google map view. </t>
  </si>
  <si>
    <t>Aspen Auto Body - +17093685162</t>
  </si>
  <si>
    <t>47.520702778</t>
  </si>
  <si>
    <t>-52.7511</t>
  </si>
  <si>
    <t>47 - 31 - 14.53</t>
  </si>
  <si>
    <t>52 - 45 - 3.96</t>
  </si>
  <si>
    <t>Bay Bulls Road, St. John's, Newfoundland, Newfoundland and Labrador, A1G 1G3, Canada</t>
  </si>
  <si>
    <t>47.598533333</t>
  </si>
  <si>
    <t>-52.7144888889999</t>
  </si>
  <si>
    <t>47 - 35 - 54.72</t>
  </si>
  <si>
    <t>52 - 42 - 52.16</t>
  </si>
  <si>
    <t>466, Newfoundland Drive, Spruce Meadows, St. John's, Newfoundland, Newfoundland and Labrador, A1A 2K9, Canada</t>
  </si>
  <si>
    <t>50.6494416670001</t>
  </si>
  <si>
    <t>-57.2952749999999</t>
  </si>
  <si>
    <t>50 - 38 - 57.99</t>
  </si>
  <si>
    <t>57 - 17 - 42.99</t>
  </si>
  <si>
    <t>Pond Road, Port Saunders, Newfoundland, Newfoundland and Labrador, Canada</t>
  </si>
  <si>
    <t>https://www.google.com/maps/place/50%C2%B038'58.0%22N+57%C2%B017'43.0%22W/@50.6471075,-57.2908134,3a,60.8y,328.39h,114.62t/data=!3m7!1e1!3m5!1s0UVBto5m8NavgNmFmhRBGA!2e0!6shttps:%2F%2Fstreetviewpixels-pa.googleapis.com%2Fv1%2Fthumbnail%3Fcb_client%3Dmaps_sv.tactile%26w%3D900%26h%3D600%26pitch%3D-24.617481223659013%26panoid%3D0UVBto5m8NavgNmFmhRBGA%26yaw%3D328.39126037502393!7i16384!8i8192!4m4!3m3!8m2!3d50.6494417!4d-57.295275?entry=ttu&amp;g_ep=EgoyMDI2MDExMy4wIKXMDSoASAFQAw%3D%3D</t>
  </si>
  <si>
    <t>Good Tidings Pentecostal Assembly ; Paint Shop</t>
  </si>
  <si>
    <t>Good Tidings Pentecostal Assembly - +17098613681 ; Paint Shop - +17092485337</t>
  </si>
  <si>
    <t>47.167305556</t>
  </si>
  <si>
    <t>-55.156205556</t>
  </si>
  <si>
    <t>47 - 10 - 2.3</t>
  </si>
  <si>
    <t>55 - 9 - 22.34</t>
  </si>
  <si>
    <t>Marystown, Newfoundland, Newfoundland and Labrador, A0E 2M0, Canada</t>
  </si>
  <si>
    <t>https://www.google.com/maps/place/47%C2%B010'02.3%22N+55%C2%B009'22.3%22W/@47.1663492,-55.1543658,3a,37.6y,296.77h,91.9t/data=!3m7!1e1!3m5!1sZ8oE7Zy1WgNsOOu-GUJ4Cw!2e0!6shttps:%2F%2Fstreetviewpixels-pa.googleapis.com%2Fv1%2Fthumbnail%3Fcb_client%3Dmaps_sv.tactile%26w%3D900%26h%3D600%26pitch%3D-1.8952059361895692%26panoid%3DZ8oE7Zy1WgNsOOu-GUJ4Cw%26yaw%3D296.7688236760023!7i13312!8i6656!4m4!3m3!8m2!3d47.1673056!4d-55.1562056?entry=ttu&amp;g_ep=EgoyMDI2MDExMy4wIKXMDSoASAFQAw%3D%3D</t>
  </si>
  <si>
    <t>Fairstone ; Subway</t>
  </si>
  <si>
    <t>No ONX (No red line);  A bit far from google map view but it's located in a commercial area.</t>
  </si>
  <si>
    <t>Fairstone - +17092791050 ; Subway - +17092790777</t>
  </si>
  <si>
    <t>47.0947194440001</t>
  </si>
  <si>
    <t>-53.4824972219999</t>
  </si>
  <si>
    <t>47 - 5 - 40.99</t>
  </si>
  <si>
    <t>53 - 28 - 56.99</t>
  </si>
  <si>
    <t>Salmonier Line, St. Joseph's, Newfoundland, Newfoundland and Labrador, Canada</t>
  </si>
  <si>
    <t>47.530938889</t>
  </si>
  <si>
    <t>-52.8283916669999</t>
  </si>
  <si>
    <t>47 - 31 - 51.38</t>
  </si>
  <si>
    <t>52 - 49 - 42.21</t>
  </si>
  <si>
    <t>Auto Parts Network, 6, Corey King Drive, Donovans, Mount Pearl, Newfoundland, Newfoundland and Labrador, A1N 0A5, Canada</t>
  </si>
  <si>
    <t>47.5203805560001</t>
  </si>
  <si>
    <t>-52.807627778</t>
  </si>
  <si>
    <t>47 - 31 - 13.37</t>
  </si>
  <si>
    <t>52 - 48 - 27.46</t>
  </si>
  <si>
    <t>Commonwealth Avenue, Glendale, Mount Pearl, Newfoundland, Newfoundland and Labrador, A1N 1W6, Canada</t>
  </si>
  <si>
    <t>46.731947222</t>
  </si>
  <si>
    <t>-53.412497222</t>
  </si>
  <si>
    <t>46 - 43 - 55.01</t>
  </si>
  <si>
    <t>53 - 24 - 44.99</t>
  </si>
  <si>
    <t>Southern Shore Highway, Peter's River, Trepassey, Newfoundland, Newfoundland and Labrador, Canada</t>
  </si>
  <si>
    <t>49.010686111</t>
  </si>
  <si>
    <t>-58.1362694439999</t>
  </si>
  <si>
    <t>49 - 0 - 38.47</t>
  </si>
  <si>
    <t>58 - 8 - 10.57</t>
  </si>
  <si>
    <t>450, Humber Arm South, Newfoundland, Newfoundland and Labrador, Canada</t>
  </si>
  <si>
    <t>53.295522222</t>
  </si>
  <si>
    <t>-60.539694444</t>
  </si>
  <si>
    <t>53 - 17 - 43.88</t>
  </si>
  <si>
    <t>60 - 32 - 22.9</t>
  </si>
  <si>
    <t>Track to South Branch Rod, Happy Valley-Goose Bay, Labrador, Newfoundland and Labrador, Canada</t>
  </si>
  <si>
    <t>Dome Mountain Lookout</t>
  </si>
  <si>
    <t xml:space="preserve">No ONX (no red line) ; Likely owned by Dome Mountain? </t>
  </si>
  <si>
    <t>Dome Mountain Lookout - no phone number</t>
  </si>
  <si>
    <t>49.5878638890001</t>
  </si>
  <si>
    <t>-56.180225</t>
  </si>
  <si>
    <t>49 - 35 - 16.31</t>
  </si>
  <si>
    <t>56 - 10 - 48.81</t>
  </si>
  <si>
    <t>47.5654000000001</t>
  </si>
  <si>
    <t>-52.714427778</t>
  </si>
  <si>
    <t>47 - 33 - 55.44</t>
  </si>
  <si>
    <t>52 - 42 - 51.94</t>
  </si>
  <si>
    <t>Fort Townshend RNC, 1, Fort Townshend, Ecclesiastical District, St. John's, Newfoundland, Newfoundland and Labrador, A1C 2E9, Canada</t>
  </si>
  <si>
    <t>Royal Newfoundland Constabulary; Royal Newfoundland Constabulary Historical Society Museum</t>
  </si>
  <si>
    <t>PID: 366100010; likely owned by the Royal Newfoundland</t>
  </si>
  <si>
    <t>Royal Newfoundland Constabulary - +17097298000; Royal Newfoundland Constabulary Historical Society Museum - +17097267545</t>
  </si>
  <si>
    <t>47.566108333</t>
  </si>
  <si>
    <t>-52.705552778</t>
  </si>
  <si>
    <t>47 - 33 - 57.99</t>
  </si>
  <si>
    <t>52 - 42 - 19.99</t>
  </si>
  <si>
    <t>Passport Office, 140, Water Street, Downtown, St. John's, Newfoundland, Newfoundland and Labrador, A1C 1G9, Canada</t>
  </si>
  <si>
    <t xml:space="preserve">Canada-Newfoundland and Labrador Offshore Energy ; TD Canada Trust </t>
  </si>
  <si>
    <t>PID: 933000480 The panels are mounted at C-NLOPB Building</t>
  </si>
  <si>
    <t>Canada-Newfoundland and Labrador Offshore Energy - +1 709-778-1400;  - TD Canada Trust  - +17097585000</t>
  </si>
  <si>
    <t>48.9581000000001</t>
  </si>
  <si>
    <t>-57.9005999999999</t>
  </si>
  <si>
    <t>48 - 57 - 29.16</t>
  </si>
  <si>
    <t>57 - 54 - 2.16</t>
  </si>
  <si>
    <t>Former Trans Canada Highway, Corner Brook, Newfoundland, Newfoundland and Labrador, A2H 6W8, Canada</t>
  </si>
  <si>
    <t>47.602858333</t>
  </si>
  <si>
    <t>-52.736538889</t>
  </si>
  <si>
    <t>47 - 36 - 10.29</t>
  </si>
  <si>
    <t>52 - 44 - 11.54</t>
  </si>
  <si>
    <t>Virginia River Trail, St. John's, Newfoundland, Newfoundland and Labrador, A1A 5J8, Canada</t>
  </si>
  <si>
    <t>47.5820277780001</t>
  </si>
  <si>
    <t>-52.712091667</t>
  </si>
  <si>
    <t>47 - 34 - 55.3</t>
  </si>
  <si>
    <t>52 - 42 - 43.53</t>
  </si>
  <si>
    <t>Circle K, 71, Elizabeth Avenue, Glenridge Crescent, Churchill Park, St. John's, Newfoundland, Newfoundland and Labrador, A1A 1W8, Canada</t>
  </si>
  <si>
    <t>Parkdale Family Dental Clinic ; The Uniform Shop</t>
  </si>
  <si>
    <t>PID: 319510425; Located in a commercial area</t>
  </si>
  <si>
    <t>Parkdale Family Dental Clinic - +17097225700 ; The Uniform Shop - +17095762228</t>
  </si>
  <si>
    <t>48.952461111</t>
  </si>
  <si>
    <t>-57.952827778</t>
  </si>
  <si>
    <t>48 - 57 - 8.86</t>
  </si>
  <si>
    <t>57 - 57 - 10.18</t>
  </si>
  <si>
    <t>Herald Towers, 4, Herald Avenue, Corner Brook, Newfoundland, Newfoundland and Labrador, A2H 6G7, Canada</t>
  </si>
  <si>
    <t>BDC - Business Development Bank of Canada - +1 888-463-6232</t>
  </si>
  <si>
    <t>No ONX (no red line); Likely owned by BDC since the panels are mounted on the same building</t>
  </si>
  <si>
    <t>47.583611111</t>
  </si>
  <si>
    <t>-52.742222222</t>
  </si>
  <si>
    <t>47 - 35 - 1.0</t>
  </si>
  <si>
    <t>52 - 44 - 32.0</t>
  </si>
  <si>
    <t xml:space="preserve">PID: 778500500; Likely onwed by Pippy Park </t>
  </si>
  <si>
    <t>48.914186111</t>
  </si>
  <si>
    <t>-57.918347222</t>
  </si>
  <si>
    <t>48 - 54 - 51.07</t>
  </si>
  <si>
    <t>57 - 55 - 6.05</t>
  </si>
  <si>
    <t>Lewin Parkway, Corner Brook, Newfoundland, Newfoundland and Labrador, A2H 2R5, Canada</t>
  </si>
  <si>
    <t>Parts for Trucks</t>
  </si>
  <si>
    <t>NO Onx (no red line) ; Really far from google map view</t>
  </si>
  <si>
    <t>Parts for Trucks - +17096340044</t>
  </si>
  <si>
    <t>47.520277778</t>
  </si>
  <si>
    <t>-52.8674999999999</t>
  </si>
  <si>
    <t>47 - 31 - 13.0</t>
  </si>
  <si>
    <t>52 - 52 - 3.0</t>
  </si>
  <si>
    <t>Dianne Whalen Drive, Valley Ridge, Paradise, Newfoundland, Newfoundland and Labrador, A1L 0H8, Canada</t>
  </si>
  <si>
    <t>Certificate of Conduct (Fingerprint) ; Mount Pearl Painting Ltd ; City Concrete; Pride Pak Newfoundland Ltd</t>
  </si>
  <si>
    <t>NO Onx (no red line) ; It's nearly located in a commercial area</t>
  </si>
  <si>
    <t>Certificate of Conduct (Fingerprint) - 7093682441; Mount Pearl Painting Ltd - +17097826201 ; City Concrete - +17097822222 ; Pride Pak Newfoundland Ltd - +1 709-782-8000</t>
  </si>
  <si>
    <t>47.6442361110001</t>
  </si>
  <si>
    <t>-52.850419444</t>
  </si>
  <si>
    <t>47 - 38 - 39.25</t>
  </si>
  <si>
    <t>52 - 51 - 1.51</t>
  </si>
  <si>
    <t>Blast Hole Pond Road, Portugal Cove - St. Philips, Newfoundland, Newfoundland and Labrador, A1M 2N2, Canada</t>
  </si>
  <si>
    <t>48.952497222</t>
  </si>
  <si>
    <t>-57.946108333</t>
  </si>
  <si>
    <t>48 - 57 - 8.99</t>
  </si>
  <si>
    <t>57 - 56 - 45.99</t>
  </si>
  <si>
    <t>Main Street, Corner Brook, Newfoundland, Newfoundland and Labrador, A2H 6C2, Canada</t>
  </si>
  <si>
    <t>46.9074972220001</t>
  </si>
  <si>
    <t>-55.960555556</t>
  </si>
  <si>
    <t>46 - 54 - 26.99</t>
  </si>
  <si>
    <t>55 - 57 - 38.0</t>
  </si>
  <si>
    <t>220-22-1, Point May, Newfoundland, Newfoundland and Labrador, Canada</t>
  </si>
  <si>
    <t>Community Council Point May</t>
  </si>
  <si>
    <t xml:space="preserve">No ONX (no red line) ; It's really far from google maps view. You can view it using the satellite 3D. </t>
  </si>
  <si>
    <t>Community Council Point May - +17098572640</t>
  </si>
  <si>
    <t>47.5748222220001</t>
  </si>
  <si>
    <t>-52.713902778</t>
  </si>
  <si>
    <t>47 - 34 - 29.36</t>
  </si>
  <si>
    <t>52 - 42 - 50.05</t>
  </si>
  <si>
    <t>10, Reeves Place, St. Patrick's Park, Churchill Park, St. John's, Newfoundland, Newfoundland and Labrador, A1B 1N4, Canada</t>
  </si>
  <si>
    <t>53.3094</t>
  </si>
  <si>
    <t>-60.3763999999999</t>
  </si>
  <si>
    <t>53 - 18 - 33.84</t>
  </si>
  <si>
    <t>60 - 22 - 35.04</t>
  </si>
  <si>
    <t>Bell Aliant Happy Valley-Goose Bay, 376, Hamilton River Road, MOT, Happy Valley-Goose Bay, Labrador, Newfoundland and Labrador, A0P 1C0, Canada</t>
  </si>
  <si>
    <t>52.541447222</t>
  </si>
  <si>
    <t>-56.297380556</t>
  </si>
  <si>
    <t>52 - 32 - 29.21</t>
  </si>
  <si>
    <t>56 - 17 - 50.57</t>
  </si>
  <si>
    <t>Bowater Avenue, Port Hope Simpson, Labrador, Newfoundland and Labrador, A0K 4E0, Canada</t>
  </si>
  <si>
    <t>47.5778472220001</t>
  </si>
  <si>
    <t>-52.699952778</t>
  </si>
  <si>
    <t>47 - 34 - 40.25</t>
  </si>
  <si>
    <t>52 - 41 - 59.83</t>
  </si>
  <si>
    <t>15, Carnell Drive, Mount Cashel, St. John's, Newfoundland, Newfoundland and Labrador, A1A 1K2, Canada</t>
  </si>
  <si>
    <t>47.5641722220001</t>
  </si>
  <si>
    <t>-52.762247222</t>
  </si>
  <si>
    <t>47 - 33 - 51.02</t>
  </si>
  <si>
    <t>52 - 45 - 44.09</t>
  </si>
  <si>
    <t>Thorburn Road - Wedgewood Insurance, Thorburn Road, Wigmore, St. John's, Newfoundland, Newfoundland and Labrador, A1B 3M2, Canada</t>
  </si>
  <si>
    <t>47.5744194440001</t>
  </si>
  <si>
    <t>-52.7221</t>
  </si>
  <si>
    <t>47 - 34 - 27.91</t>
  </si>
  <si>
    <t>52 - 43 - 19.56</t>
  </si>
  <si>
    <t>Terrace on the Square, 8, Rowan Street, Churchill Park, St. John's, Newfoundland, Newfoundland and Labrador, A1B 2X2, Canada</t>
  </si>
  <si>
    <t>https://www.google.com/maps/place/47%C2%B034'27.9%22N+52%C2%B043'19.6%22W/@47.5738621,-52.724921,3a,47y,84.07h,106.07t/data=!3m7!1e1!3m5!1slGcLO_0evDMXMTC3QrGchQ!2e0!6shttps:%2F%2Fstreetviewpixels-pa.googleapis.com%2Fv1%2Fthumbnail%3Fcb_client%3Dmaps_sv.tactile%26w%3D900%26h%3D600%26pitch%3D-16.073275292922844%26panoid%3DlGcLO_0evDMXMTC3QrGchQ%26yaw%3D84.06549911405195!7i13312!8i6656!4m4!3m3!8m2!3d47.5744194!4d-52.7221?entry=ttu&amp;g_ep=EgoyMDI2MDExOS4wIKXMDSoASAFQAw%3D%3D</t>
  </si>
  <si>
    <t>49.0915416670001</t>
  </si>
  <si>
    <t>-57.500733333</t>
  </si>
  <si>
    <t>49 - 5 - 29.55</t>
  </si>
  <si>
    <t>57 - 30 - 2.64</t>
  </si>
  <si>
    <t>49.4449527780001</t>
  </si>
  <si>
    <t>-53.9625694439999</t>
  </si>
  <si>
    <t>49 - 26 - 41.83</t>
  </si>
  <si>
    <t>53 - 57 - 45.25</t>
  </si>
  <si>
    <t>Tower Road, Musgrave Harbour, Newfoundland, Newfoundland and Labrador, A0G 3J0, Canada</t>
  </si>
  <si>
    <t>HillCrest Manor</t>
  </si>
  <si>
    <t>No ONX (no red line); The tower is accross HillCrest Manor</t>
  </si>
  <si>
    <t>HillCrest Manor - 7096552777</t>
  </si>
  <si>
    <t>53.0711111110001</t>
  </si>
  <si>
    <t>-66.203055556</t>
  </si>
  <si>
    <t>53 - 4 - 16.0</t>
  </si>
  <si>
    <t>66 - 12 - 11.0</t>
  </si>
  <si>
    <t>Emeril, Trans-Labrador Highway, Labrador, Newfoundland and Labrador, Canada</t>
  </si>
  <si>
    <t>48.585977778</t>
  </si>
  <si>
    <t>-54.381608333</t>
  </si>
  <si>
    <t>48 - 35 - 9.52</t>
  </si>
  <si>
    <t>54 - 22 - 53.79</t>
  </si>
  <si>
    <t>Not sure if it has a cell site tower, street view is really blurred and I could not tell if it's also a tower in 3D view</t>
  </si>
  <si>
    <t>48.396666667</t>
  </si>
  <si>
    <t>-54.095830556</t>
  </si>
  <si>
    <t>48 - 23 - 48.0</t>
  </si>
  <si>
    <t>54 - 5 - 44.99</t>
  </si>
  <si>
    <t>Route 233, Port Blandford, Newfoundland, Newfoundland and Labrador, Canada</t>
  </si>
  <si>
    <t>It has a cell tower; not visible in google street view; You can view it using the 3D view</t>
  </si>
  <si>
    <t>52.9583277780001</t>
  </si>
  <si>
    <t>52 - 57 - 29.98</t>
  </si>
  <si>
    <t>Old Trail leads to Smoky Mountain Road, Labrador City, Labrador, Newfoundland and Labrador, A2V 1W5, Canada</t>
  </si>
  <si>
    <t>47.7166750000001</t>
  </si>
  <si>
    <t>-52.709441667</t>
  </si>
  <si>
    <t>47 - 43 - 0.03</t>
  </si>
  <si>
    <t>52 - 42 - 33.99</t>
  </si>
  <si>
    <t>Mike's Crescent, Flatrock, Newfoundland, Newfoundland and Labrador, A1K 1C9, Canada</t>
  </si>
  <si>
    <t>47.6008</t>
  </si>
  <si>
    <t>-52.690322222</t>
  </si>
  <si>
    <t>47 - 36 - 2.88</t>
  </si>
  <si>
    <t>52 - 41 - 25.16</t>
  </si>
  <si>
    <t>47, Harding Road, White Hill Industrial Park, St. John's, Newfoundland, Newfoundland and Labrador, A1A 3H9, Canada</t>
  </si>
  <si>
    <t>47.5553194440001</t>
  </si>
  <si>
    <t>-52.732413889</t>
  </si>
  <si>
    <t>47 - 33 - 19.15</t>
  </si>
  <si>
    <t>52 - 43 - 56.69</t>
  </si>
  <si>
    <t>3-7, Cashin Avenue, Mundy Pond, St. John's, Newfoundland, Newfoundland and Labrador, A1C 6E4, Canada</t>
  </si>
  <si>
    <t>48.9338750000001</t>
  </si>
  <si>
    <t>-57.966172222</t>
  </si>
  <si>
    <t>48 - 56 - 1.95</t>
  </si>
  <si>
    <t>57 - 57 - 58.22</t>
  </si>
  <si>
    <t>Speedy Glass Corner Brook O'Connell ; Joanne's Fine Fabrics</t>
  </si>
  <si>
    <t>No ONX (no red line); It's likely owned by CBC Transmission Tower ; You can only see the tower in 3D view</t>
  </si>
  <si>
    <t>Speedy Glass Corner Brook O'Connell - +17096325185 ; Joanne's Fine Fabrics - +17096327025</t>
  </si>
  <si>
    <t>47.6930472220001</t>
  </si>
  <si>
    <t>-53.469163889</t>
  </si>
  <si>
    <t>47 - 41 - 34.97</t>
  </si>
  <si>
    <t>53 - 28 - 8.99</t>
  </si>
  <si>
    <t>Pitcher's Pond Golf Course</t>
  </si>
  <si>
    <t>No ONX (no red line); It's nearby Pitcher's Pond Golf Course; You can only see the tower in 3D view</t>
  </si>
  <si>
    <t>Pitcher's Pond Golf Course - +17095884653</t>
  </si>
  <si>
    <t>49.1659916670001</t>
  </si>
  <si>
    <t>-57.423280556</t>
  </si>
  <si>
    <t>49 - 9 - 57.57</t>
  </si>
  <si>
    <t>57 - 25 - 23.81</t>
  </si>
  <si>
    <t>Main Dam Road, Deer Lake, Newfoundland, Newfoundland and Labrador, A8A 1W8, Canada</t>
  </si>
  <si>
    <t>Deer Lake Automotive ; Sansom Equipment Ltd.</t>
  </si>
  <si>
    <t>No ONX (no red line); Nearest property is Deer Lake Automative</t>
  </si>
  <si>
    <t>Deer Lake Automotive - +17096353340 ; Sansom Equipment Ltd. - +17096353558</t>
  </si>
  <si>
    <t>47.5606000000001</t>
  </si>
  <si>
    <t>-52.7431</t>
  </si>
  <si>
    <t>47 - 33 - 38.16</t>
  </si>
  <si>
    <t>52 - 44 - 35.16</t>
  </si>
  <si>
    <t>Crosbie Road, Wishingwell Park, St. John's, Newfoundland, Newfoundland and Labrador, A1B 4B4, Canada</t>
  </si>
  <si>
    <t>Ricoh Canada Inc; Jay Patel REALTOR®️ - Local Real Estate Expert ; Coldwell banker commercial</t>
  </si>
  <si>
    <t xml:space="preserve">PID: 256500750; Likely owned by Ricoh Canada Inc.? </t>
  </si>
  <si>
    <t>Ricoh Canada Inc - +17095790067; Jay Patel REALTOR®️ - Local Real Estate Expert - 17097636297 ; Coldwell banker commercial - TIM Crosbie 7096826609 ; Jerry Boyles -7096930588</t>
  </si>
  <si>
    <t>47.0486083330001</t>
  </si>
  <si>
    <t>-55.217775</t>
  </si>
  <si>
    <t>47 - 2 - 54.99</t>
  </si>
  <si>
    <t>55 - 13 - 3.99</t>
  </si>
  <si>
    <t>Highway 220, Newfoundland, Newfoundland and Labrador, Canada</t>
  </si>
  <si>
    <t>48.9414055560001</t>
  </si>
  <si>
    <t>-54.5770638889999</t>
  </si>
  <si>
    <t>48 - 56 - 29.06</t>
  </si>
  <si>
    <t>54 - 34 - 37.43</t>
  </si>
  <si>
    <t>Old Runway 09/27, Gander, Newfoundland, Newfoundland and Labrador, A1V 0A9, Canada</t>
  </si>
  <si>
    <t>47.3212500000001</t>
  </si>
  <si>
    <t>-53.908847222</t>
  </si>
  <si>
    <t>47 - 19 - 16.5</t>
  </si>
  <si>
    <t>53 - 54 - 31.85</t>
  </si>
  <si>
    <t>Fox Harbour Road, Fox Harbour, Newfoundland, Newfoundland and Labrador, Canada</t>
  </si>
  <si>
    <t>48.999402778</t>
  </si>
  <si>
    <t>-57.896094444</t>
  </si>
  <si>
    <t>48 - 59 - 57.85</t>
  </si>
  <si>
    <t>57 - 53 - 45.94</t>
  </si>
  <si>
    <t>Irishtown-Summerside, Newfoundland, Newfoundland and Labrador, A2H 6W8, Canada</t>
  </si>
  <si>
    <t>47.534258333</t>
  </si>
  <si>
    <t>-52.806283333</t>
  </si>
  <si>
    <t>47 - 32 - 3.33</t>
  </si>
  <si>
    <t>52 - 48 - 22.62</t>
  </si>
  <si>
    <t>Mount Carson Avenue, Mount Pearl, Newfoundland, Newfoundland and Labrador, A1N 0E6, Canada</t>
  </si>
  <si>
    <t>47.600319444</t>
  </si>
  <si>
    <t>-52.694111111</t>
  </si>
  <si>
    <t>47 - 36 - 1.15</t>
  </si>
  <si>
    <t>52 - 41 - 38.8</t>
  </si>
  <si>
    <t>Logy Bay Road, White Hills, St. John's, Newfoundland, Newfoundland and Labrador, A1A 3V2, Canada</t>
  </si>
  <si>
    <t>47.5577083330001</t>
  </si>
  <si>
    <t>-52.7550388889999</t>
  </si>
  <si>
    <t>47 - 33 - 27.75</t>
  </si>
  <si>
    <t>52 - 45 - 18.14</t>
  </si>
  <si>
    <t>Toyota Plaza, 73, Kenmount Road, St. John's, Newfoundland, Newfoundland and Labrador, A1B 3N7, Canada</t>
  </si>
  <si>
    <t>47.490136111</t>
  </si>
  <si>
    <t>-52.828527778</t>
  </si>
  <si>
    <t>47 - 29 - 24.49</t>
  </si>
  <si>
    <t>52 - 49 - 42.7</t>
  </si>
  <si>
    <t>Gabriel Road, Southlands, St. John's, Newfoundland, Newfoundland and Labrador, A1H 1A3, Canada</t>
  </si>
  <si>
    <t>47.459102778</t>
  </si>
  <si>
    <t>-52.771891667</t>
  </si>
  <si>
    <t>47 - 27 - 32.77</t>
  </si>
  <si>
    <t>52 - 46 - 18.81</t>
  </si>
  <si>
    <t>Main Road, Goulds, St. John's, Newfoundland, Newfoundland and Labrador, A1S 1G7, Canada</t>
  </si>
  <si>
    <t>-52.9756</t>
  </si>
  <si>
    <t>52 - 58 - 32.16</t>
  </si>
  <si>
    <t>Incinerator Road, St. John's, Newfoundland, Newfoundland and Labrador, Canada</t>
  </si>
  <si>
    <t>47.531116667</t>
  </si>
  <si>
    <t>-52.830430556</t>
  </si>
  <si>
    <t>47 - 31 - 52.02</t>
  </si>
  <si>
    <t>52 - 49 - 49.55</t>
  </si>
  <si>
    <t>Coastal Outdoors, 1256, Topsail Road, Donovans, Mount Pearl, Newfoundland, Newfoundland and Labrador, A1N 5E8, Canada</t>
  </si>
  <si>
    <t>https://www.google.com/maps/place/47%C2%B031'52.0%22N+52%C2%B049'49.6%22W/@47.5346178,-52.8257916,3a,49.6y,89.3h,97.11t/data=!3m7!1e1!3m5!1s7Vii88Dfs1WKr5LUSkf57w!2e0!6shttps:%2F%2Fstreetviewpixels-pa.googleapis.com%2Fv1%2Fthumbnail%3Fcb_client%3Dmaps_sv.tactile%26w%3D900%26h%3D600%26pitch%3D-7.106154796836137%26panoid%3D7Vii88Dfs1WKr5LUSkf57w%26yaw%3D89.29634515155938!7i16384!8i8192!4m4!3m3!8m2!3d47.5311167!4d-52.8304306?entry=ttu&amp;g_ep=EgoyMDI2MDExOS4wIKXMDSoASAFQAw%3D%3D</t>
  </si>
  <si>
    <t>ALL-TECH Environmental Services ; FASTSIGNS of Mount Pearl/ St. John's NL</t>
  </si>
  <si>
    <t>No ONX (No red line) ; It's far from google map view, however, you can view it nearby All-tech and Fastsigns property (commercial area)</t>
  </si>
  <si>
    <t>ALL-TECH Environmental Services - +17097544146 ; FASTSIGNS of Mount Pearl/ St. John's NL - +17097042461</t>
  </si>
  <si>
    <t>47.9694416670001</t>
  </si>
  <si>
    <t>-58.966666667</t>
  </si>
  <si>
    <t>47 - 58 - 9.99</t>
  </si>
  <si>
    <t>58 - 58 - 0.0</t>
  </si>
  <si>
    <t>47.645263889</t>
  </si>
  <si>
    <t>-52.941527778</t>
  </si>
  <si>
    <t>47 - 38 - 42.95</t>
  </si>
  <si>
    <t>52 - 56 - 29.5</t>
  </si>
  <si>
    <t>Main Street, Wabana, Newfoundland, Newfoundland and Labrador, Canada</t>
  </si>
  <si>
    <t>Princess Pub</t>
  </si>
  <si>
    <t>No ONX (no red line); the tower is somehow accross Princess Pub</t>
  </si>
  <si>
    <t>Princess Pub - +17094883030</t>
  </si>
  <si>
    <t>47.2482694440001</t>
  </si>
  <si>
    <t>-52.843594444</t>
  </si>
  <si>
    <t>47 - 14 - 53.77</t>
  </si>
  <si>
    <t>52 - 50 - 36.94</t>
  </si>
  <si>
    <t>Riverhead Road, Newfoundland, Newfoundland and Labrador, Canada</t>
  </si>
  <si>
    <t>49.178105556</t>
  </si>
  <si>
    <t>-55.045930556</t>
  </si>
  <si>
    <t>49 - 10 - 41.18</t>
  </si>
  <si>
    <t>55 - 2 - 45.35</t>
  </si>
  <si>
    <t>T’Railway Provincial Park, Newfoundland, Newfoundland and Labrador, Canada</t>
  </si>
  <si>
    <t xml:space="preserve">CDO </t>
  </si>
  <si>
    <t>47.5294222220001</t>
  </si>
  <si>
    <t>-52.8049972219999</t>
  </si>
  <si>
    <t>47 - 31 - 45.92</t>
  </si>
  <si>
    <t>52 - 48 - 17.99</t>
  </si>
  <si>
    <t>Castlehaven Place, Mount Pearl, Newfoundland, Newfoundland and Labrador, A1N 3G9, Canada</t>
  </si>
  <si>
    <t xml:space="preserve">Mount Pearl Y Park </t>
  </si>
  <si>
    <t>considered as CDO</t>
  </si>
  <si>
    <t>Mount Pearl Y Park - no phone number</t>
  </si>
  <si>
    <t>49.687086111</t>
  </si>
  <si>
    <t>-54.802169444</t>
  </si>
  <si>
    <t>49 - 41 - 13.51</t>
  </si>
  <si>
    <t>54 - 48 - 7.81</t>
  </si>
  <si>
    <t>Route 340, Crow Head, Newfoundland, Newfoundland and Labrador, A0G 4M0, Canada</t>
  </si>
  <si>
    <t>Lightkeeper's Fudgery &amp; Gift Shop ;  Canada Coast Guard Lghtstns</t>
  </si>
  <si>
    <t xml:space="preserve">No ONX (no red line) ; Nearest property is Lightkeepers Fudgery </t>
  </si>
  <si>
    <t>Lightkeeper's Fudgery &amp; Gift Shop - +17097660170 ;  Canada Coast Guard Lghtstns - +17098841010</t>
  </si>
  <si>
    <t>48.4002750000001</t>
  </si>
  <si>
    <t>-53.9169416669999</t>
  </si>
  <si>
    <t>48 - 24 - 0.99</t>
  </si>
  <si>
    <t>53 - 55 - 0.99</t>
  </si>
  <si>
    <t>Route 233, Musgravetown, Newfoundland, Newfoundland and Labrador, A0C 1A0, Canada</t>
  </si>
  <si>
    <t xml:space="preserve">Century </t>
  </si>
  <si>
    <t>No ONX (no red line); Likely located in a rural area; Nearest property I found is Century</t>
  </si>
  <si>
    <t>Century - 7095790021 / Melvin Humby - 7094277222</t>
  </si>
  <si>
    <t>52.9078638890001</t>
  </si>
  <si>
    <t>-66.868777778</t>
  </si>
  <si>
    <t>52 - 54 - 28.31</t>
  </si>
  <si>
    <t>66 - 52 - 7.6</t>
  </si>
  <si>
    <t>Bell Aliant Wabush, 25, Whiteway Drive, Wabush, Labrador, Newfoundland and Labrador, A0R 1B0, Canada</t>
  </si>
  <si>
    <t>ALIANT OWNED TOWER</t>
  </si>
  <si>
    <t>47.418327778</t>
  </si>
  <si>
    <t>-53.535277778</t>
  </si>
  <si>
    <t>47 - 25 - 5.98</t>
  </si>
  <si>
    <t>53 - 32 - 7.0</t>
  </si>
  <si>
    <t>Bond Road, Whitbourne, Newfoundland, Newfoundland and Labrador, A0B 3K0, Canada</t>
  </si>
  <si>
    <t>Piercey Adventure Rentals; Penny’s Pub</t>
  </si>
  <si>
    <t>No ONX (no red line); There are panels mounted on a big water tank like pole (not sure); The nearest properties I found are Piercey Adventure Rentals; Penny’s Pub</t>
  </si>
  <si>
    <t>Piercey Adventure Rentals - +17096311819 ; Penny’s Pub - +17097593972</t>
  </si>
  <si>
    <t>47.9465361110001</t>
  </si>
  <si>
    <t>-53.951730556</t>
  </si>
  <si>
    <t>47 - 56 - 47.53</t>
  </si>
  <si>
    <t>53 - 57 - 6.23</t>
  </si>
  <si>
    <t>Trans Canada Highway, Newfoundland, Newfoundland and Labrador, A0B 1N0, Canada</t>
  </si>
  <si>
    <t>49.935552778</t>
  </si>
  <si>
    <t>-56.217497222</t>
  </si>
  <si>
    <t>49 - 56 - 7.99</t>
  </si>
  <si>
    <t>56 - 13 - 2.99</t>
  </si>
  <si>
    <t>Baie Verte, Newfoundland, Newfoundland and Labrador, A0K 1B0, Canada</t>
  </si>
  <si>
    <t>47.4166638890001</t>
  </si>
  <si>
    <t>-53.3158333329999</t>
  </si>
  <si>
    <t>47 - 24 - 59.99</t>
  </si>
  <si>
    <t>53 - 18 - 57.0</t>
  </si>
  <si>
    <t>Veterans Memorial Highway, Newfoundland, Newfoundland and Labrador, Canada</t>
  </si>
  <si>
    <t>47.8272000000001</t>
  </si>
  <si>
    <t>-53.9342</t>
  </si>
  <si>
    <t>47 - 49 - 37.92</t>
  </si>
  <si>
    <t>53 - 56 - 3.12</t>
  </si>
  <si>
    <t xml:space="preserve">No ONX (no red line) ; really blurred in google map street view; Cannot determined what structure type even in 3D view. </t>
  </si>
  <si>
    <t>47.5584500000001</t>
  </si>
  <si>
    <t>-52.757397222</t>
  </si>
  <si>
    <t>47 - 33 - 30.42</t>
  </si>
  <si>
    <t>52 - 45 - 26.63</t>
  </si>
  <si>
    <t>A&amp;W, 68, Kenmount Road, St. John's, Newfoundland, Newfoundland and Labrador, A1B 3N7, Canada</t>
  </si>
  <si>
    <t>47.6248000000001</t>
  </si>
  <si>
    <t>-52.6625</t>
  </si>
  <si>
    <t>47 - 37 - 29.28</t>
  </si>
  <si>
    <t>52 - 39 - 45.0</t>
  </si>
  <si>
    <t>Ocean Sciences Centre (Memorial University), Sugarloaf Path, Robinhood Bay, Logy Bay-Middle Cove-Outer Cove, Newfoundland, Newfoundland and Labrador, A1K 3B3, Canada</t>
  </si>
  <si>
    <t>47.4816638890001</t>
  </si>
  <si>
    <t>-55.811383333</t>
  </si>
  <si>
    <t>47 - 28 - 53.99</t>
  </si>
  <si>
    <t>55 - 48 - 40.98</t>
  </si>
  <si>
    <t>Main Road North, Harbour Breton, Newfoundland, Newfoundland and Labrador, A0H 1P0, Canada</t>
  </si>
  <si>
    <t>47.4497388890001</t>
  </si>
  <si>
    <t>-52.9754444439999</t>
  </si>
  <si>
    <t>47 - 26 - 59.06</t>
  </si>
  <si>
    <t>52 - 58 - 31.6</t>
  </si>
  <si>
    <t>Beothuk Land &amp; Cattle Company; GFL Foxtrap Facility</t>
  </si>
  <si>
    <t>PID: 479400080 - likely located in a rural area; nearest companies are mentioned and might help us finding who's the owner of the cell tower</t>
  </si>
  <si>
    <t>Beothuk Land &amp; Cattle Company - +17097657308 ; GFL Foxtrap Facility - +18009335959</t>
  </si>
  <si>
    <t>47.559969444</t>
  </si>
  <si>
    <t>-52.745577778</t>
  </si>
  <si>
    <t>47 - 33 - 35.89</t>
  </si>
  <si>
    <t>52 - 44 - 44.08</t>
  </si>
  <si>
    <t>Wishingwell Road, Wishingwell Park, St. John's, Newfoundland, Newfoundland and Labrador, A1B 1G2, Canada</t>
  </si>
  <si>
    <t>https://www.google.com/maps/place/47%C2%B033'35.9%22N+52%C2%B044'44.1%22W/@47.5607071,-52.7441635,3a,75y,93.39h,96.62t/data=!3m7!1e1!3m5!1sCIHM0ogKEICAgIDa59DKPg!2e10!6shttps:%2F%2Flh3.googleusercontent.com%2Fgpms-cs-s%2FAPRy3c_EV9Hq1o9qrQF2tLxPLif7nUoegxiYLEh39iVWRNuq4202TXlzMnQr4aDD8wd6QWRcvHz0UI2BEaubqfSRnXyC4bfXYSqUBx1nteJm89_wfJjZd7lAd2UG5ftv196SoabbNX1C%3Dw900-h600-k-no-pi-6.620516700606359-ya90.44450845637478-ro0-fo100!7i7680!8i3840!4m4!3m3!8m2!3d47.5599694!4d-52.7455778?entry=ttu&amp;g_ep=EgoyMDI2MDExOS4wIKXMDSoASAFQAw%3D%3D</t>
  </si>
  <si>
    <t>PID: 256500750; Likely owned by Ricoh Canada Inc.?  (Duplicate line 244)</t>
  </si>
  <si>
    <t>47.5418222220001</t>
  </si>
  <si>
    <t>-52.919252778</t>
  </si>
  <si>
    <t>47 - 32 - 30.56</t>
  </si>
  <si>
    <t>52 - 55 - 9.31</t>
  </si>
  <si>
    <t>Topsail Beach Road, Conception Bay South, Newfoundland, Newfoundland and Labrador, A1W 5P9, Canada</t>
  </si>
  <si>
    <t>49.7052694440001</t>
  </si>
  <si>
    <t>-56.0855833329999</t>
  </si>
  <si>
    <t>49 - 42 - 18.97</t>
  </si>
  <si>
    <t>56 - 5 - 8.1</t>
  </si>
  <si>
    <t>Chips Lane, Middle Arm, Newfoundland, Newfoundland and Labrador, Canada</t>
  </si>
  <si>
    <t>-66.8687805559999</t>
  </si>
  <si>
    <t>66 - 52 - 7.61</t>
  </si>
  <si>
    <t>47.5070638890001</t>
  </si>
  <si>
    <t>-52.869555556</t>
  </si>
  <si>
    <t>47 - 30 - 25.43</t>
  </si>
  <si>
    <t>52 - 52 - 10.4</t>
  </si>
  <si>
    <t>Peacekeepers Way, St. John's, Newfoundland, Newfoundland and Labrador, A1L 1Z1, Canada</t>
  </si>
  <si>
    <t>Modern Paving Ltd; Weir's Construction Limited</t>
  </si>
  <si>
    <t>PID: 2147483647 ; Likely owned by Modern Paving Ltd.</t>
  </si>
  <si>
    <t>Modern Paving Ltd - +17093647283 ; Weir's Construction Limited - +17093684081</t>
  </si>
  <si>
    <t>48.127522222</t>
  </si>
  <si>
    <t>-53.941133333</t>
  </si>
  <si>
    <t>48 - 7 - 39.08</t>
  </si>
  <si>
    <t>53 - 56 - 28.08</t>
  </si>
  <si>
    <t>Trans Canada Highway, Clarenville, Newfoundland, Newfoundland and Labrador, A5A 1K2, Canada</t>
  </si>
  <si>
    <t>47.5656666670001</t>
  </si>
  <si>
    <t>-52.704986111</t>
  </si>
  <si>
    <t>47 - 33 - 56.4</t>
  </si>
  <si>
    <t>52 - 42 - 17.95</t>
  </si>
  <si>
    <t>Fortis Building, 139, Water Street, Downtown, St. John's, Newfoundland, Newfoundland and Labrador, A1C 1G9, Canada</t>
  </si>
  <si>
    <t>https://www.google.com/maps/place/47%C2%B033'56.4%22N+52%C2%B042'18.0%22W/@47.5660244,-52.7046549,3a,75.5y,279.12h,118.86t/data=!3m7!1e1!3m5!1sqIENDDTGJBsnDZb9pNnMdg!2e0!6shttps:%2F%2Fstreetviewpixels-pa.googleapis.com%2Fv1%2Fthumbnail%3Fcb_client%3Dmaps_sv.tactile%26w%3D900%26h%3D600%26pitch%3D-28.861987244627485%26panoid%3DqIENDDTGJBsnDZb9pNnMdg%26yaw%3D279.1166224165664!7i16384!8i8192!4m4!3m3!8m2!3d47.5656667!4d-52.7049861?entry=ttu&amp;g_ep=EgoyMDI2MDExOS4wIKXMDSoASAFQAw%3D%3D</t>
  </si>
  <si>
    <t>47.5637972220001</t>
  </si>
  <si>
    <t>-52.719136111</t>
  </si>
  <si>
    <t>47 - 33 - 49.67</t>
  </si>
  <si>
    <t>52 - 43 - 8.89</t>
  </si>
  <si>
    <t>Mayor Avenue, Rabbittown, St. John's, Newfoundland, Newfoundland and Labrador, A1C 2N1, Canada</t>
  </si>
  <si>
    <t>47.595</t>
  </si>
  <si>
    <t>-52.684444444</t>
  </si>
  <si>
    <t>47 - 35 - 42.0</t>
  </si>
  <si>
    <t>52 - 41 - 4.0</t>
  </si>
  <si>
    <t>Royal Canadian Mounted Police (RCMP)</t>
  </si>
  <si>
    <t xml:space="preserve">2 monopole tower PID: 313000790; Likely owned by Royal Canadian police? </t>
  </si>
  <si>
    <t>Royal Canadian Mounted Police (RCMP) - +1 709-772-5400</t>
  </si>
  <si>
    <t>52.27</t>
  </si>
  <si>
    <t>-65.6880555559999</t>
  </si>
  <si>
    <t>52 - 16 - 12.0</t>
  </si>
  <si>
    <t>65 - 41 - 17.0</t>
  </si>
  <si>
    <t>53.015833333</t>
  </si>
  <si>
    <t>-66.1880555559999</t>
  </si>
  <si>
    <t>53 - 0 - 57.0</t>
  </si>
  <si>
    <t>66 - 11 - 17.0</t>
  </si>
  <si>
    <t>Ross Bay Junction, Labrador, Newfoundland and Labrador, Canada</t>
  </si>
  <si>
    <t>49.0028222220001</t>
  </si>
  <si>
    <t>-58.133463889</t>
  </si>
  <si>
    <t>49 - 0 - 10.16</t>
  </si>
  <si>
    <t>58 - 8 - 0.47</t>
  </si>
  <si>
    <t>Webcon Road, Humber Arm South, Newfoundland, Newfoundland and Labrador, A0L 1A0, Canada</t>
  </si>
  <si>
    <t>48.939983333</t>
  </si>
  <si>
    <t>-57.891130556</t>
  </si>
  <si>
    <t>48 - 56 - 23.94</t>
  </si>
  <si>
    <t>57 - 53 - 28.07</t>
  </si>
  <si>
    <t>Sunset Boulevard, Massey Drive, Newfoundland, Newfoundland and Labrador, A2H 7K5, Canada</t>
  </si>
  <si>
    <t>47.3275</t>
  </si>
  <si>
    <t>-53.1286111109999</t>
  </si>
  <si>
    <t>47 - 19 - 39.0</t>
  </si>
  <si>
    <t>53 - 7 - 43.0</t>
  </si>
  <si>
    <t>Hawke Hill Path, Holyrood, Newfoundland, Newfoundland and Labrador, Canada</t>
  </si>
  <si>
    <t xml:space="preserve">No ONX (no red line) Really far from google map street view; </t>
  </si>
  <si>
    <t>49.6154472220001</t>
  </si>
  <si>
    <t>-54.176258333</t>
  </si>
  <si>
    <t>49 - 36 - 55.61</t>
  </si>
  <si>
    <t>54 - 10 - 34.53</t>
  </si>
  <si>
    <t>Seldom North Road, Seldom-Little Seldom, Fogo Island, Newfoundland, Newfoundland and Labrador, Canada</t>
  </si>
  <si>
    <t>https://www.google.com/maps/place/49%C2%B036'55.6%22N+54%C2%B010'34.5%22W/@49.6160278,-54.1740939,3a,15y,206.86h,103.66t/data=!3m7!1e1!3m5!1sCIHM0ogKEICAgIChxPDI3AE!2e10!6shttps:%2F%2Flh3.googleusercontent.com%2Fgpms-cs-s%2FAPRy3c9RNM_JDKqEb6jrfWIplkwcuN16poOV7mY8ixKWs1W77DTC3SQgNkk3bYVeDiQxrkA6zF3lKIZrAVxgYob6PyEQQpPsTXF8O61ynWBtDHPbP1pPU5LH7RGXIEkqgcOYnID5wFVe%3Dw900-h600-k-no-pi-13.65631941203111-ya149.86692433307098-ro0-fo100!7i3840!8i1920!4m4!3m3!8m2!3d49.6154472!4d-54.1762583?entry=ttu&amp;g_ep=EgoyMDI2MDExOS4wIKXMDSoASAFQAw%3D%3D</t>
  </si>
  <si>
    <t>47.478047222</t>
  </si>
  <si>
    <t>-53.053611111</t>
  </si>
  <si>
    <t>47 - 28 - 40.97</t>
  </si>
  <si>
    <t>53 - 3 - 13.0</t>
  </si>
  <si>
    <t>Saint Peters, Conception Bay Highway, Lance Cove, Conception Bay South, Newfoundland, Newfoundland and Labrador, A1X 6N9, Canada</t>
  </si>
  <si>
    <t>52.5450250000001</t>
  </si>
  <si>
    <t>-56.299711111</t>
  </si>
  <si>
    <t>52 - 32 - 42.09</t>
  </si>
  <si>
    <t>56 - 17 - 58.96</t>
  </si>
  <si>
    <t>47.727819444</t>
  </si>
  <si>
    <t>-53.244727778</t>
  </si>
  <si>
    <t>47 - 43 - 40.15</t>
  </si>
  <si>
    <t>53 - 14 - 41.02</t>
  </si>
  <si>
    <t>Trinity Conception Square Mall, 120, Columbus Drive, Carbonear, Newfoundland, Newfoundland and Labrador, A1Y 1B3, Canada</t>
  </si>
  <si>
    <t>48.3681527780001</t>
  </si>
  <si>
    <t>-53.722925</t>
  </si>
  <si>
    <t>48 - 22 - 5.35</t>
  </si>
  <si>
    <t>53 - 43 - 22.53</t>
  </si>
  <si>
    <t>https://www.google.com/maps/place/48%C2%B022'05.4%22N+53%C2%B043'22.5%22W/@48.3693772,-53.7205138,3a,90y,321.87h,103.14t/data=!3m7!1e1!3m5!1sQutIgATg0DmGq7w2Bj_qAg!2e0!6shttps:%2F%2Fstreetviewpixels-pa.googleapis.com%2Fv1%2Fthumbnail%3Fcb_client%3Dmaps_sv.tactile%26w%3D900%26h%3D600%26pitch%3D-13.137750290617348%26panoid%3DQutIgATg0DmGq7w2Bj_qAg%26yaw%3D321.86536661599143!7i13312!8i6656!4m4!3m3!8m2!3d48.3681528!4d-53.722925?entry=ttu&amp;g_ep=EgoyMDI2MDExOS4wIKXMDSoASAFQAw%3D%3D</t>
  </si>
  <si>
    <t>Cabot Hi-way Cabins and rv park</t>
  </si>
  <si>
    <t xml:space="preserve">No ONX (no red line). Cabot Hi-way property is somehow far from the cell tower, however, this is the only property I found nearest to it. </t>
  </si>
  <si>
    <t xml:space="preserve">Cabot Hi-way Cabins and rv park - +17094686768 ; </t>
  </si>
  <si>
    <t>53.0589722220001</t>
  </si>
  <si>
    <t>-66.931166667</t>
  </si>
  <si>
    <t>53 - 3 - 32.3</t>
  </si>
  <si>
    <t>66 - 55 - 52.2</t>
  </si>
  <si>
    <t>Carol Lake</t>
  </si>
  <si>
    <t>No ONX ( no red line). You can just see the tower in 3D view; Looks like it's located in a rural area. Carol Lake is the only nearest property I found to this cell tower</t>
  </si>
  <si>
    <t>Carol Lake - +17092823232</t>
  </si>
  <si>
    <t>48.6478000000001</t>
  </si>
  <si>
    <t>-59.000588889</t>
  </si>
  <si>
    <t>48 - 38 - 52.08</t>
  </si>
  <si>
    <t>59 - 0 - 2.12</t>
  </si>
  <si>
    <t>Main Street, Lourdes, Newfoundland, Newfoundland and Labrador, Canada</t>
  </si>
  <si>
    <t>49.254216667</t>
  </si>
  <si>
    <t>-55.062030556</t>
  </si>
  <si>
    <t>49 - 15 - 15.18</t>
  </si>
  <si>
    <t>55 - 3 - 43.31</t>
  </si>
  <si>
    <t>Die Trac Technical Institute, Premier Drive, Lewisporte, Newfoundland, Newfoundland and Labrador, A0G 3A0, Canada</t>
  </si>
  <si>
    <t>Dietrac Technical Institute</t>
  </si>
  <si>
    <t>No ONX (no red line); Possibly owned by Dietrac Technical Institute; It's located behind this school</t>
  </si>
  <si>
    <t>Dietrac Technical Institute - +17095350550</t>
  </si>
  <si>
    <t>48.9347138890001</t>
  </si>
  <si>
    <t>-57.892811111</t>
  </si>
  <si>
    <t>48 - 56 - 4.97</t>
  </si>
  <si>
    <t>57 - 53 - 34.12</t>
  </si>
  <si>
    <t>Bellwood Drive, Massey Drive, Newfoundland, Newfoundland and Labrador, A2H 7K5, Canada</t>
  </si>
  <si>
    <t>48.52</t>
  </si>
  <si>
    <t>-53.0561083329999</t>
  </si>
  <si>
    <t>48 - 31 - 12.0</t>
  </si>
  <si>
    <t>53 - 3 - 21.99</t>
  </si>
  <si>
    <t>Little Catalina, Trinity Bay North, Newfoundland, Newfoundland and Labrador, A0C 1J0, Canada</t>
  </si>
  <si>
    <t xml:space="preserve">No ONX (no red line) ; It's blurry in street view, better to use the 3D view; Likely located in a rural area. </t>
  </si>
  <si>
    <t>Poppy's place anchors away - no phone number</t>
  </si>
  <si>
    <t>47.142219444</t>
  </si>
  <si>
    <t>-55.149997222</t>
  </si>
  <si>
    <t>47 - 8 - 31.99</t>
  </si>
  <si>
    <t>55 - 8 - 59.99</t>
  </si>
  <si>
    <t>Tolt Road, Marystown, Newfoundland, Newfoundland and Labrador, A0E 2M0, Canada</t>
  </si>
  <si>
    <t>Shrine of Marymount Statue</t>
  </si>
  <si>
    <t xml:space="preserve">No ONX (no red line) ;It cannot be seen in street view, better to use the 3D view; Likely located in a rural area. </t>
  </si>
  <si>
    <t>Shrine of Marymount Statue -  +17092791625</t>
  </si>
  <si>
    <t>48.5472194440001</t>
  </si>
  <si>
    <t>-58.581383333</t>
  </si>
  <si>
    <t>48 - 32 - 49.99</t>
  </si>
  <si>
    <t>58 - 34 - 52.98</t>
  </si>
  <si>
    <t>Main Street, Stephenville, Newfoundland, Newfoundland and Labrador, A2N 1H3, Canada</t>
  </si>
  <si>
    <t>49.7040388890001</t>
  </si>
  <si>
    <t>-56.0920277779999</t>
  </si>
  <si>
    <t>49 - 42 - 14.54</t>
  </si>
  <si>
    <t>56 - 5 - 31.3</t>
  </si>
  <si>
    <t>Main Street, Middle Arm, Newfoundland, Newfoundland and Labrador, Canada</t>
  </si>
  <si>
    <t>48.943888889</t>
  </si>
  <si>
    <t>-55.651383333</t>
  </si>
  <si>
    <t>48 - 56 - 38.0</t>
  </si>
  <si>
    <t>55 - 39 - 4.98</t>
  </si>
  <si>
    <t>Pinsent Drive, Windsor, Grand Falls-Windsor, Newfoundland, Newfoundland and Labrador, A2A 2K5, Canada</t>
  </si>
  <si>
    <t xml:space="preserve">Subway ; McDonald’s ; Browning Harvey Ltd  ;Marsh Motorsports
</t>
  </si>
  <si>
    <t xml:space="preserve">No ONX (no red line) ; The tower can be viewed behind the commercial are properties </t>
  </si>
  <si>
    <t>Subway - +17094899090 ; McDonald’s - +17094897510 ; Browning Harvey Ltd - +17094892145; Marsh Motorsports - +1 709-489-2400</t>
  </si>
  <si>
    <t>48.9878</t>
  </si>
  <si>
    <t>-57.7819</t>
  </si>
  <si>
    <t>48 - 59 - 16.08</t>
  </si>
  <si>
    <t>57 - 46 - 54.84</t>
  </si>
  <si>
    <t>Newfoundland, Newfoundland and Labrador, A2H 2N2, Canada</t>
  </si>
  <si>
    <t>48.6713833330001</t>
  </si>
  <si>
    <t>-53.768052778</t>
  </si>
  <si>
    <t>48 - 40 - 16.98</t>
  </si>
  <si>
    <t>53 - 46 - 4.99</t>
  </si>
  <si>
    <t>310-32, Eastport, Newfoundland, Newfoundland and Labrador, A0G 1Z0, Canada</t>
  </si>
  <si>
    <t>53.516666667</t>
  </si>
  <si>
    <t>-60.146666667</t>
  </si>
  <si>
    <t>53 - 31 - 0.0</t>
  </si>
  <si>
    <t>60 - 8 - 48.0</t>
  </si>
  <si>
    <t>Peenamin Street, Sheshatshiu, Labrador, Newfoundland and Labrador, Canada</t>
  </si>
  <si>
    <t>Mary May Healing Centre ; Dee-Max Innu Tautshuap ; Community Youth Network Building</t>
  </si>
  <si>
    <t>It has red line in ONX but no PID no. ; The tower is located behind Mary May Healing Centre</t>
  </si>
  <si>
    <t>Mary May Healing Centre - +17094978231 ; Dee-Max Innu Tautshuap - +17094978488; Community Youth Network Building - +1 709-497-8877</t>
  </si>
  <si>
    <t>48.189397222</t>
  </si>
  <si>
    <t>-54.0368999999999</t>
  </si>
  <si>
    <t>48 - 11 - 21.83</t>
  </si>
  <si>
    <t>54 - 2 - 12.84</t>
  </si>
  <si>
    <t>47.546275</t>
  </si>
  <si>
    <t>-52.7685222219999</t>
  </si>
  <si>
    <t>47 - 32 - 46.59</t>
  </si>
  <si>
    <t>52 - 46 - 6.68</t>
  </si>
  <si>
    <t>Team Gushue Highway, Cowan Heights, St. John's, Newfoundland, Newfoundland and Labrador, A1E 5G9, Canada</t>
  </si>
  <si>
    <t>49.352422222</t>
  </si>
  <si>
    <t>-54.714575</t>
  </si>
  <si>
    <t>49 - 21 - 8.72</t>
  </si>
  <si>
    <t>54 - 42 - 52.47</t>
  </si>
  <si>
    <t>Horsechops Resource Road, Birchy Bay, Newfoundland, Newfoundland and Labrador, Canada</t>
  </si>
  <si>
    <t>Hi Way Convenience &amp; Gas Bar</t>
  </si>
  <si>
    <t>No ONX (no red line); It's located beside the convenience store</t>
  </si>
  <si>
    <t>Hi Way Convenience &amp; Gas Bar - +17096596111</t>
  </si>
  <si>
    <t>47.50735</t>
  </si>
  <si>
    <t>-52.829980556</t>
  </si>
  <si>
    <t>47 - 30 - 26.46</t>
  </si>
  <si>
    <t>52 - 49 - 47.93</t>
  </si>
  <si>
    <t>Danny Drive, The Shoppes at Galway, St. John's, Newfoundland, Newfoundland and Labrador, A1N 4Y1, Canada</t>
  </si>
  <si>
    <t>https://www.google.com/maps/place/Starbucks+Coffee+Company/@47.5075657,-52.8312624,3a,90y,69.31h,88.68t/data=!3m7!1e1!3m5!1sCIHM0ogKEICAgICTwJfzZA!2e10!6shttps:%2F%2Flh3.googleusercontent.com%2Fgpms-cs-s%2FAPRy3c89fh7AITjMVxPCw0s4homZ8HAors92mHRukblKeVt5XOAWfsYjESb4VMnM4TkFMWujWYGoDRj-1EKRv-GYLzIjXJ0DYDb4Ki0KphlBvwV-eAfdgcH8sjhiXaeS7o6r-LVED9No%3Dw900-h600-k-no-pi1.3184602554007654-ya265.9999136493321-ro0-fo100!7i7680!8i3840!4m12!1m5!3m4!2zNDfCsDMwJzI2LjUiTiA1MsKwNDknNDcuOSJX!8m2!3d47.50735!4d-52.8299806!3m5!1s0x4b0cbd8b38d23217:0x7d764b4b5d9f433c!8m2!3d47.50766!4d-52.83188!16s%2Fg%2F11fr3b6wx5?entry=ttu&amp;g_ep=EgoyMDI2MDEyMC4wIKXMDSoASAFQAw%3D%3D</t>
  </si>
  <si>
    <t>School of Rock ; Expedia Cruises ;Starbucks Coffee Company; Pizza Hut</t>
  </si>
  <si>
    <t>PID: 774400200; Likely located in a commercial area; however, Pizza Hut is not there when you check the street view (not sure why). :)</t>
  </si>
  <si>
    <t xml:space="preserve">School of Rock - +17097487625; Expedia Cruises - +17097487447;  Starbucks Coffee Company - +17093512793; Pizza Hut - +17093647788 </t>
  </si>
  <si>
    <t>49.1225000000001</t>
  </si>
  <si>
    <t>-57.5011</t>
  </si>
  <si>
    <t>49 - 7 - 21.0</t>
  </si>
  <si>
    <t>57 - 30 - 3.96</t>
  </si>
  <si>
    <t>Trans Canada Highway, Pynns Brook, Newfoundland, Newfoundland and Labrador, Canada</t>
  </si>
  <si>
    <t>48.928766667</t>
  </si>
  <si>
    <t>-57.9317722219999</t>
  </si>
  <si>
    <t>48 - 55 - 43.56</t>
  </si>
  <si>
    <t>57 - 55 - 54.38</t>
  </si>
  <si>
    <t>47.5880638890001</t>
  </si>
  <si>
    <t>-52.700552778</t>
  </si>
  <si>
    <t>47 - 35 - 17.03</t>
  </si>
  <si>
    <t>52 - 42 - 1.99</t>
  </si>
  <si>
    <t>Bally Haly Golf Club, 100, Logy Bay Road, Bally Haly, St. John's, Newfoundland, Newfoundland and Labrador, A1A 2K1, Canada</t>
  </si>
  <si>
    <t>53.528652778</t>
  </si>
  <si>
    <t>-64.016119444</t>
  </si>
  <si>
    <t>53 - 31 - 43.15</t>
  </si>
  <si>
    <t>64 - 0 - 58.03</t>
  </si>
  <si>
    <t>Ressegieu Drive, Churchill Falls, Labrador, Newfoundland and Labrador, Canada</t>
  </si>
  <si>
    <t>Northern Lights Ski Club ; PERFORMANCE EDGE SKATE SHARPENING; Circuit Restobar</t>
  </si>
  <si>
    <t>No ONX (no red line); Likely located in a rural area; You can find it between Northern Lights Ski Club and Performance Edge</t>
  </si>
  <si>
    <t>Northern Lights Ski Club - +17099253742 ; PERFORMANCE EDGE SKATE SHARPENING - +17092804432 ; Circuit Restobar - +17092880600</t>
  </si>
  <si>
    <t>47.314636111</t>
  </si>
  <si>
    <t>-53.787775</t>
  </si>
  <si>
    <t>47 - 18 - 52.69</t>
  </si>
  <si>
    <t>53 - 47 - 15.99</t>
  </si>
  <si>
    <t>Argentia Access Road, Dunville, Placentia, Newfoundland, Newfoundland and Labrador, Canada</t>
  </si>
  <si>
    <t>47.5335138890001</t>
  </si>
  <si>
    <t>-52.79855</t>
  </si>
  <si>
    <t>47 - 32 - 0.65</t>
  </si>
  <si>
    <t>52 - 47 - 54.78</t>
  </si>
  <si>
    <t>Montclair Street, Mount Pearl, Newfoundland, Newfoundland and Labrador, A1N 0E6, Canada</t>
  </si>
  <si>
    <t>Mount Pearl Kids Park</t>
  </si>
  <si>
    <t xml:space="preserve">no ONX ( no red line); Likely owned by Mount Pearl Kids park </t>
  </si>
  <si>
    <t>Mount Pearl Kids Park - +1 709-748-1047</t>
  </si>
  <si>
    <t>48.0839472220001</t>
  </si>
  <si>
    <t>-53.003827778</t>
  </si>
  <si>
    <t>48 - 5 - 2.21</t>
  </si>
  <si>
    <t>53 - 0 - 13.78</t>
  </si>
  <si>
    <t>Main Street, Old Perlican, Newfoundland, Newfoundland and Labrador, Canada</t>
  </si>
  <si>
    <t>47.583516667</t>
  </si>
  <si>
    <t>-53.544727778</t>
  </si>
  <si>
    <t>47 - 35 - 0.66</t>
  </si>
  <si>
    <t>53 - 32 - 41.02</t>
  </si>
  <si>
    <t>Baccalieu Trail, South Dildo, Dildo, Unincorporated Newfoundland, Newfoundland, Newfoundland and Labrador, A0B 1P0, Canada</t>
  </si>
  <si>
    <t>47.6101944440001</t>
  </si>
  <si>
    <t>-52.724777778</t>
  </si>
  <si>
    <t>47 - 36 - 36.7</t>
  </si>
  <si>
    <t>52 - 43 - 29.2</t>
  </si>
  <si>
    <t>Woodland Medical Clinic, 35, Major's Path, Glenvilla Court, St. John's, Newfoundland, Newfoundland and Labrador, A1A 4Z9, Canada</t>
  </si>
  <si>
    <t>48.9398444440001</t>
  </si>
  <si>
    <t>-57.935769444</t>
  </si>
  <si>
    <t>48 - 56 - 23.44</t>
  </si>
  <si>
    <t>57 - 56 - 8.77</t>
  </si>
  <si>
    <t>48.7889000000001</t>
  </si>
  <si>
    <t>-54.2069</t>
  </si>
  <si>
    <t>48 - 47 - 20.04</t>
  </si>
  <si>
    <t>54 - 12 - 24.84</t>
  </si>
  <si>
    <t>Bell Aliant Gambo, 5, Mill Road, Gambo, Newfoundland, Newfoundland and Labrador, A0G 1T0, Canada</t>
  </si>
  <si>
    <t>https://www.google.com/maps/place/48%C2%B047'20.0%22N+54%C2%B012'24.8%22W/@48.789221,-54.2062857,3a,75.4y,242.61h,107.59t/data=!3m8!1e1!3m6!1sCIHM0ogKEICAgICe8dTuGw!2e10!3e11!6shttps:%2F%2Flh3.googleusercontent.com%2Fgpms-cs-s%2FAPRy3c8NKDLwhU778Huost6lpedWZf8aHAaThi0AGL2_PiCC2kUGHKrX8TwBTm8acn-_sDSuiRc1BGfAuLfe0IgJY6WfbmjFDA2k1rx6c1YCV4umzZ2uYdHLeYP6s2VzBgXtTt1ug-A%3Dw900-h600-k-no-pi-17.590933934684173-ya180.61338581687784-ro0-fo100!7i11264!8i5632!4m4!3m3!8m2!3d48.7889!4d-54.2069?entry=ttu&amp;g_ep=EgoyMDI2MDEyMC4wIKXMDSoASAFQAw%3D%3D</t>
  </si>
  <si>
    <t>Pritchett’s Funeral Home; Gambo Fire Dept</t>
  </si>
  <si>
    <t>no ONX ( no red line); The tower is nearby Pritchett's Funeral Home based on the 3D map view</t>
  </si>
  <si>
    <t>Pritchett’s Funeral Home - +17096744686 ; Gambo Fire Dept - +17096745050</t>
  </si>
  <si>
    <t>47.5781777780001</t>
  </si>
  <si>
    <t>-52.6950166669999</t>
  </si>
  <si>
    <t>47 - 34 - 41.44</t>
  </si>
  <si>
    <t>52 - 41 - 42.06</t>
  </si>
  <si>
    <t>Quidi Vidi Lake Trail, Hoylestown, Quidi Vidi, St. John's, Newfoundland, Newfoundland and Labrador, A1A 3T3, Canada</t>
  </si>
  <si>
    <t>47.4530583330001</t>
  </si>
  <si>
    <t>-52.768977778</t>
  </si>
  <si>
    <t>47 - 27 - 11.01</t>
  </si>
  <si>
    <t>52 - 46 - 8.32</t>
  </si>
  <si>
    <t>Fleming's Road, Goulds, St. John's, Newfoundland, Newfoundland and Labrador, A1S 1G7, Canada</t>
  </si>
  <si>
    <t>47.582244444</t>
  </si>
  <si>
    <t>-52.693288889</t>
  </si>
  <si>
    <t>47 - 34 - 56.08</t>
  </si>
  <si>
    <t>52 - 41 - 35.84</t>
  </si>
  <si>
    <t>Surgeon Lieutenant-Commander W. Anthony Paddon Building, 115, The Boulevard, Pleasantville, St. John's, Newfoundland, Newfoundland and Labrador, A1A 0N9, Canada</t>
  </si>
  <si>
    <t>47.6008944440001</t>
  </si>
  <si>
    <t>-52.684333333</t>
  </si>
  <si>
    <t>47 - 36 - 3.22</t>
  </si>
  <si>
    <t>52 - 41 - 3.6</t>
  </si>
  <si>
    <t>251, East White Hills Road, White Hills, St. John's, Newfoundland, Newfoundland and Labrador, A1A 3H9, Canada</t>
  </si>
  <si>
    <t>49.0977777780001</t>
  </si>
  <si>
    <t>-56.084719444</t>
  </si>
  <si>
    <t>49 - 5 - 52.0</t>
  </si>
  <si>
    <t>56 - 5 - 4.99</t>
  </si>
  <si>
    <t>Powderhorn Lake Road East, Newfoundland, Newfoundland and Labrador, Canada</t>
  </si>
  <si>
    <t>48.9972333330001</t>
  </si>
  <si>
    <t>-58.0398888889999</t>
  </si>
  <si>
    <t>48 - 59 - 50.04</t>
  </si>
  <si>
    <t>58 - 2 - 23.6</t>
  </si>
  <si>
    <t>Woodcrest Avenue, Meadows, Newfoundland, Newfoundland and Labrador, Canada</t>
  </si>
  <si>
    <t>Templeton Academy</t>
  </si>
  <si>
    <t>no ONX ( no red line); The nearest property I found is Templeton Academy</t>
  </si>
  <si>
    <t>Templeton Academy - +17097832780</t>
  </si>
  <si>
    <t>47.5212888890001</t>
  </si>
  <si>
    <t>-52.845527778</t>
  </si>
  <si>
    <t>47 - 31 - 16.64</t>
  </si>
  <si>
    <t>52 - 50 - 43.9</t>
  </si>
  <si>
    <t>68, Glencoe Drive, Donovans, Mount Pearl, Newfoundland, Newfoundland and Labrador, A1N 4R8, Canada</t>
  </si>
  <si>
    <t>48.9142000000001</t>
  </si>
  <si>
    <t>-57.9181</t>
  </si>
  <si>
    <t>48 - 54 - 51.12</t>
  </si>
  <si>
    <t>57 - 55 - 5.16</t>
  </si>
  <si>
    <t>https://www.google.com/maps/place/48%C2%B054'51.1%22N+57%C2%B055'05.2%22W/@48.9125556,-57.9001644,3a,30.1y,274.15h,95.31t/data=!3m7!1e1!3m5!1sYP75mmGgV73C8s-BwZozNg!2e0!6shttps:%2F%2Fstreetviewpixels-pa.googleapis.com%2Fv1%2Fthumbnail%3Fcb_client%3Dmaps_sv.tactile%26w%3D900%26h%3D600%26pitch%3D-5.312950355185166%26panoid%3DYP75mmGgV73C8s-BwZozNg%26yaw%3D274.1529672464442!7i16384!8i8192!4m4!3m3!8m2!3d48.9142!4d-57.9181?entry=ttu&amp;g_ep=EgoyMDI2MDEyMC4wIKXMDSoASAFQAw%3D%3D</t>
  </si>
  <si>
    <t>Parts for Trucks ; Day &amp; Ross Freight ; Armour Transportation Systems; City of Corner Brook Water Supply</t>
  </si>
  <si>
    <t xml:space="preserve">no ONX ( no red line); Likely located in a rural area, however, you see it from a far on the mentioned properties. </t>
  </si>
  <si>
    <t>Parts for Trucks - +17096340044 ; Day &amp; Ross Freight - +18663297677; Armour Transportation Systems - +17096344763; City of Corner Brook Water Supply - +17096371500</t>
  </si>
  <si>
    <t>49.011663889</t>
  </si>
  <si>
    <t>-55.4919416669999</t>
  </si>
  <si>
    <t>49 - 0 - 41.99</t>
  </si>
  <si>
    <t>55 - 29 - 30.99</t>
  </si>
  <si>
    <t>Exploits Valley and Beothuk Trail, Bishops Falls, Bishop's Falls, Newfoundland, Newfoundland and Labrador, A0H 1C0, Canada</t>
  </si>
  <si>
    <t>49.1566638890001</t>
  </si>
  <si>
    <t>-53.5875</t>
  </si>
  <si>
    <t>49 - 9 - 23.99</t>
  </si>
  <si>
    <t>53 - 35 - 15.0</t>
  </si>
  <si>
    <t>Highway 320, New-Wes-Valley, Newfoundland, Newfoundland and Labrador, A0G 4R0, Canada</t>
  </si>
  <si>
    <t>Royal Canadian Mounted Police (RCMP); Beothic Arena</t>
  </si>
  <si>
    <t>no ONX ( no red line); Likely located in a rural area. It is blurry from google street view. The nearest properties I found are Royal Canadian Mounted Police (RCMP); Beothic Arena</t>
  </si>
  <si>
    <t>Royal Canadian Mounted Police (RCMP) - +17095362419 ; Beothic Arena - +17095365883</t>
  </si>
  <si>
    <t>46.9636083330001</t>
  </si>
  <si>
    <t>-52.9483333329999</t>
  </si>
  <si>
    <t>46 - 57 - 48.99</t>
  </si>
  <si>
    <t>52 - 56 - 54.0</t>
  </si>
  <si>
    <t>Kingman's Cove Road, Fermeuse, Newfoundland, Newfoundland and Labrador, A0A 2G0, Canada</t>
  </si>
  <si>
    <t>https://www.google.com/maps/place/46%C2%B057'49.0%22N+52%C2%B056'54.0%22W/@46.967504,-52.9572675,3a,15.1y,126.85h,95.84t/data=!3m7!1e1!3m5!1sTY9NqQ4rX4YNXYKIwbe2DA!2e0!6shttps:%2F%2Fstreetviewpixels-pa.googleapis.com%2Fv1%2Fthumbnail%3Fcb_client%3Dmaps_sv.tactile%26w%3D900%26h%3D600%26pitch%3D-5.84315726708715%26panoid%3DTY9NqQ4rX4YNXYKIwbe2DA%26yaw%3D126.84930934359338!7i13312!8i6656!4m4!3m3!8m2!3d46.9636083!4d-52.9483333?entry=ttu&amp;g_ep=EgoyMDI2MDEyMC4wIKXMDSoASAFQAw%3D%3D</t>
  </si>
  <si>
    <t>Faheys Funeral Home</t>
  </si>
  <si>
    <t>no ONX (no red line); It looks like it has 2 lattice towers; Likely located in a rural area</t>
  </si>
  <si>
    <t>Faheys Funeral Home - +17093632850</t>
  </si>
  <si>
    <t>53.3138000000001</t>
  </si>
  <si>
    <t>-60.412777778</t>
  </si>
  <si>
    <t>53 - 18 - 49.68</t>
  </si>
  <si>
    <t>60 - 24 - 46.0</t>
  </si>
  <si>
    <t>Terminal, Dakota Drive, Happy Valley-Goose Bay, Labrador, Newfoundland and Labrador, Canada</t>
  </si>
  <si>
    <t>https://www.google.com/maps/place/Goose+Bay+Airport/@53.3135192,-60.412472,3a,15y,235.52h,94.7t/data=!3m7!1e1!3m5!1seCNncqufkP4qYsjc5KaWxA!2e0!6shttps:%2F%2Fstreetviewpixels-pa.googleapis.com%2Fv1%2Fthumbnail%3Fcb_client%3Dmaps_sv.tactile%26w%3D900%26h%3D600%26pitch%3D-4.697957950453414%26panoid%3DeCNncqufkP4qYsjc5KaWxA%26yaw%3D235.51509343809792!7i16384!8i8192!4m12!1m5!3m4!2zNTPCsDE4JzQ5LjciTiA2MMKwMjQnNDYuMCJX!8m2!3d53.3138!4d-60.4127778!3m5!1s0x4c7b7a517b64285d:0xe2ca4844211e6af6!8m2!3d53.313722!4d-60.4125075!16zL20vMDNyOG1m?entry=ttu&amp;g_ep=EgoyMDI2MDEyMC4wIKXMDSoASAFQAw%3D%3D</t>
  </si>
  <si>
    <t>National Car Rental ; Goose Bay Airport; Serco Facilities Management</t>
  </si>
  <si>
    <t>No ONX ( no red line); There are panels mounted at Serco</t>
  </si>
  <si>
    <t>National Car Rental - +17098965575; Goose Bay Airport - +17098965445 ; Serco Facilities Management - +17098965445</t>
  </si>
  <si>
    <t>49.966944444</t>
  </si>
  <si>
    <t>-55.603888889</t>
  </si>
  <si>
    <t>49 - 58 - 1.0</t>
  </si>
  <si>
    <t>55 - 36 - 14.0</t>
  </si>
  <si>
    <t>Water Street, LaScie, La Scie, Newfoundland, Newfoundland and Labrador, A0K 3M0, Canada</t>
  </si>
  <si>
    <t>47.572630556</t>
  </si>
  <si>
    <t>-52.6988083329999</t>
  </si>
  <si>
    <t>47 - 34 - 21.47</t>
  </si>
  <si>
    <t>52 - 41 - 55.71</t>
  </si>
  <si>
    <t>Factory Lane, Fort William, St. John's, Newfoundland, Newfoundland and Labrador, A1C 1K4, Canada</t>
  </si>
  <si>
    <t>48.9925638890001</t>
  </si>
  <si>
    <t>-57.9099166669999</t>
  </si>
  <si>
    <t>48 - 59 - 33.23</t>
  </si>
  <si>
    <t>57 - 54 - 35.7</t>
  </si>
  <si>
    <t>47.53925</t>
  </si>
  <si>
    <t>-52.716027778</t>
  </si>
  <si>
    <t>47 - 32 - 21.3</t>
  </si>
  <si>
    <t>52 - 42 - 57.7</t>
  </si>
  <si>
    <t>47.5346388890001</t>
  </si>
  <si>
    <t>-52.822119444</t>
  </si>
  <si>
    <t>47 - 32 - 4.7</t>
  </si>
  <si>
    <t>52 - 49 - 19.63</t>
  </si>
  <si>
    <t>Kenmount Road, Paradise, Newfoundland, Newfoundland and Labrador, A1N 0A3, Canada</t>
  </si>
  <si>
    <t>47.5586111110001</t>
  </si>
  <si>
    <t>-52.713888889</t>
  </si>
  <si>
    <t>47 - 33 - 31.0</t>
  </si>
  <si>
    <t>52 - 42 - 50.0</t>
  </si>
  <si>
    <t>Delta St. John's Hotel, 120, New Gower Street, Downtown, St. John's, Newfoundland, Newfoundland and Labrador, A1C 5L4, Canada</t>
  </si>
  <si>
    <t>47.6205555560001</t>
  </si>
  <si>
    <t>-52.961388889</t>
  </si>
  <si>
    <t>47 - 37 - 14.0</t>
  </si>
  <si>
    <t>52 - 57 - 41.0</t>
  </si>
  <si>
    <t>47.5313444440001</t>
  </si>
  <si>
    <t>-52.741972222</t>
  </si>
  <si>
    <t>47 - 31 - 52.84</t>
  </si>
  <si>
    <t>52 - 44 - 31.1</t>
  </si>
  <si>
    <t>240, Waterford Bridge Road, Waterford Valley, St. John's, Newfoundland, Newfoundland and Labrador, A1E 5N7, Canada</t>
  </si>
  <si>
    <t>47.6389472220001</t>
  </si>
  <si>
    <t>-52.728594444</t>
  </si>
  <si>
    <t>47 - 38 - 20.21</t>
  </si>
  <si>
    <t>52 - 43 - 42.94</t>
  </si>
  <si>
    <t>Clara's Place, Torbay, Newfoundland, Newfoundland and Labrador, A1K 1A5, Canada</t>
  </si>
  <si>
    <t>47.5915000000001</t>
  </si>
  <si>
    <t>-52.723197222</t>
  </si>
  <si>
    <t>47 - 35 - 29.4</t>
  </si>
  <si>
    <t>52 - 43 - 23.51</t>
  </si>
  <si>
    <t>227, Portugal Cove Road, Kent's Pond, St. John's, Newfoundland, Newfoundland and Labrador, A1B 2N7, Canada</t>
  </si>
  <si>
    <t>47.510777778</t>
  </si>
  <si>
    <t>-52.9463888889999</t>
  </si>
  <si>
    <t>47 - 30 - 38.8</t>
  </si>
  <si>
    <t>52 - 56 - 47.0</t>
  </si>
  <si>
    <t>47.638952778</t>
  </si>
  <si>
    <t>-52.7223888889999</t>
  </si>
  <si>
    <t>47 - 38 - 20.23</t>
  </si>
  <si>
    <t>52 - 43 - 20.6</t>
  </si>
  <si>
    <t>48.9555583330001</t>
  </si>
  <si>
    <t>-57.939119444</t>
  </si>
  <si>
    <t>48 - 57 - 20.01</t>
  </si>
  <si>
    <t>57 - 56 - 20.83</t>
  </si>
  <si>
    <t>Bannister's Road, Corner Brook, Newfoundland, Newfoundland and Labrador, A2H 1C3, Canada</t>
  </si>
  <si>
    <t>47.0930666670001</t>
  </si>
  <si>
    <t>-55.202247222</t>
  </si>
  <si>
    <t>47 - 5 - 35.04</t>
  </si>
  <si>
    <t>55 - 12 - 8.09</t>
  </si>
  <si>
    <t>Green's Road, Newfoundland Power, Burin, Newfoundland, Newfoundland and Labrador, A0E 1G0, Canada</t>
  </si>
  <si>
    <t>47.561727778</t>
  </si>
  <si>
    <t>-52.7103888889999</t>
  </si>
  <si>
    <t>47 - 33 - 42.22</t>
  </si>
  <si>
    <t>52 - 42 - 37.4</t>
  </si>
  <si>
    <t>The Black Sheep, 5, George Street, Downtown, St. John's, Newfoundland, Newfoundland and Labrador, A1C 1H7, Canada</t>
  </si>
  <si>
    <t>48.6756861110001</t>
  </si>
  <si>
    <t>-54.0783111109999</t>
  </si>
  <si>
    <t>48 - 40 - 32.47</t>
  </si>
  <si>
    <t>54 - 4 - 41.92</t>
  </si>
  <si>
    <t>49.238580556</t>
  </si>
  <si>
    <t>-57.474069444</t>
  </si>
  <si>
    <t>49 - 14 - 18.89</t>
  </si>
  <si>
    <t>57 - 28 - 26.65</t>
  </si>
  <si>
    <t>Cormack, Newfoundland, Newfoundland and Labrador, A8A 2S3, Canada</t>
  </si>
  <si>
    <t>48.939758333</t>
  </si>
  <si>
    <t>-55.658813889</t>
  </si>
  <si>
    <t>48 - 56 - 23.13</t>
  </si>
  <si>
    <t>55 - 39 - 31.73</t>
  </si>
  <si>
    <t>College of the North Atlantic, Cromer Avenue, Windsor, Grand Falls-Windsor, Newfoundland, Newfoundland and Labrador, A2A 1X1, Canada</t>
  </si>
  <si>
    <t>53.0159444440001</t>
  </si>
  <si>
    <t>-66.187972222</t>
  </si>
  <si>
    <t>53 - 0 - 57.4</t>
  </si>
  <si>
    <t>66 - 11 - 16.7</t>
  </si>
  <si>
    <t>49.156825</t>
  </si>
  <si>
    <t>-53.5877166669999</t>
  </si>
  <si>
    <t>49 - 9 - 24.57</t>
  </si>
  <si>
    <t>53 - 35 - 15.78</t>
  </si>
  <si>
    <t>47.5018388890001</t>
  </si>
  <si>
    <t>-52.808719444</t>
  </si>
  <si>
    <t>47 - 30 - 6.62</t>
  </si>
  <si>
    <t>52 - 48 - 31.39</t>
  </si>
  <si>
    <t>Merchant Drive, Pearlgate Shopping Centre, Mount Pearl, Newfoundland, Newfoundland and Labrador, A1N 4Y9, Canada</t>
  </si>
  <si>
    <t>47.5072777780001</t>
  </si>
  <si>
    <t>-52.818966667</t>
  </si>
  <si>
    <t>47 - 30 - 26.2</t>
  </si>
  <si>
    <t>52 - 49 - 8.28</t>
  </si>
  <si>
    <t>The Glacier, 45, Olympic Drive, Glenhill, Mount Pearl, Newfoundland, Newfoundland and Labrador, A1N 4Y1, Canada</t>
  </si>
  <si>
    <t>49.701413889</t>
  </si>
  <si>
    <t>-56.103388889</t>
  </si>
  <si>
    <t>49 - 42 - 5.09</t>
  </si>
  <si>
    <t>56 - 6 - 12.2</t>
  </si>
  <si>
    <t>H. Jane's Road, Middle Arm, Newfoundland, Newfoundland and Labrador, Canada</t>
  </si>
  <si>
    <t>48.6141361110001</t>
  </si>
  <si>
    <t>-53.153197222</t>
  </si>
  <si>
    <t>48 - 36 - 50.89</t>
  </si>
  <si>
    <t>53 - 9 - 11.51</t>
  </si>
  <si>
    <t>47.831508333</t>
  </si>
  <si>
    <t>-53.3013333329999</t>
  </si>
  <si>
    <t>47 - 49 - 53.43</t>
  </si>
  <si>
    <t>53 - 18 - 4.8</t>
  </si>
  <si>
    <t>Heart's Content, Newfoundland, Newfoundland and Labrador, A0B 1Z0, Canada</t>
  </si>
  <si>
    <t>47.570936111</t>
  </si>
  <si>
    <t>-52.712152778</t>
  </si>
  <si>
    <t>47 - 34 - 15.37</t>
  </si>
  <si>
    <t>52 - 42 - 43.75</t>
  </si>
  <si>
    <t>79, Maxse Street, Georgestown, St. John's, Newfoundland, Newfoundland and Labrador, A1C 2E8, Canada</t>
  </si>
  <si>
    <t>47.569269444</t>
  </si>
  <si>
    <t>-52.714294444</t>
  </si>
  <si>
    <t>47 - 34 - 9.37</t>
  </si>
  <si>
    <t>52 - 42 - 51.46</t>
  </si>
  <si>
    <t>Barnes Road, Georgestown, St. John's, Newfoundland, Newfoundland and Labrador, A1C 3Z3, Canada</t>
  </si>
  <si>
    <t>47.561255556</t>
  </si>
  <si>
    <t>-52.753291667</t>
  </si>
  <si>
    <t>47 - 33 - 40.52</t>
  </si>
  <si>
    <t>52 - 45 - 11.85</t>
  </si>
  <si>
    <t>Avalon Mall, Thorburn Road, Baird, St. John's, Newfoundland, Newfoundland and Labrador, A1B 2C1, Canada</t>
  </si>
  <si>
    <t>49.5828777780001</t>
  </si>
  <si>
    <t>-56.189622222</t>
  </si>
  <si>
    <t>49 - 34 - 58.36</t>
  </si>
  <si>
    <t>56 - 11 - 22.64</t>
  </si>
  <si>
    <t>High Road, King's Point, Newfoundland, Newfoundland and Labrador, A0J 1H0, Canada</t>
  </si>
  <si>
    <t>48.9513666670001</t>
  </si>
  <si>
    <t>-54.6031055559999</t>
  </si>
  <si>
    <t>48 - 57 - 4.92</t>
  </si>
  <si>
    <t>54 - 36 - 11.18</t>
  </si>
  <si>
    <t>Gander Mall, Robertson Avenue, Gander, Newfoundland, Newfoundland and Labrador, A1V 0A9, Canada</t>
  </si>
  <si>
    <t>47.580672222</t>
  </si>
  <si>
    <t>-52.6975416669999</t>
  </si>
  <si>
    <t>47 - 34 - 50.42</t>
  </si>
  <si>
    <t>52 - 41 - 51.15</t>
  </si>
  <si>
    <t>The Boulevard, Quidi Vidi, St. John's, Newfoundland, Newfoundland and Labrador, A1A 0N9, Canada</t>
  </si>
  <si>
    <t>47.459377778</t>
  </si>
  <si>
    <t>-52.7719222219999</t>
  </si>
  <si>
    <t>47 - 27 - 33.76</t>
  </si>
  <si>
    <t>52 - 46 - 18.92</t>
  </si>
  <si>
    <t>47.5704027780001</t>
  </si>
  <si>
    <t>-52.687188889</t>
  </si>
  <si>
    <t>47 - 34 - 13.45</t>
  </si>
  <si>
    <t>52 - 41 - 13.88</t>
  </si>
  <si>
    <t>Signal Hill Road, Signal Hill, St. John's, Newfoundland, Newfoundland and Labrador, A1A 3T3, Canada</t>
  </si>
  <si>
    <t>47.5131250000001</t>
  </si>
  <si>
    <t>-52.8179499999999</t>
  </si>
  <si>
    <t>47 - 30 - 47.25</t>
  </si>
  <si>
    <t>52 - 49 - 4.62</t>
  </si>
  <si>
    <t>Sunrise Avenue, Glendale, Mount Pearl, Newfoundland, Newfoundland and Labrador, A1N 4G5, Canada</t>
  </si>
  <si>
    <t>47.587688889</t>
  </si>
  <si>
    <t>-52.7282499999999</t>
  </si>
  <si>
    <t>47 - 35 - 15.68</t>
  </si>
  <si>
    <t>52 - 43 - 41.7</t>
  </si>
  <si>
    <t>83, Higgins Line, Bells Turn, St. John's, Newfoundland, Newfoundland and Labrador, A1B 2Y4, Canada</t>
  </si>
  <si>
    <t>48.4464</t>
  </si>
  <si>
    <t>-53.5363</t>
  </si>
  <si>
    <t>48 - 26 - 47.04</t>
  </si>
  <si>
    <t>53 - 32 - 10.68</t>
  </si>
  <si>
    <t>Newfoundland, Newfoundland and Labrador, A0C 2N0, Canada</t>
  </si>
  <si>
    <t>47.5604916670001</t>
  </si>
  <si>
    <t>-52.713438889</t>
  </si>
  <si>
    <t>47 - 33 - 37.77</t>
  </si>
  <si>
    <t>52 - 42 - 48.38</t>
  </si>
  <si>
    <t>Mary Brown's Centre, 50, New Gower Street, Downtown, St. John's, Newfoundland, Newfoundland and Labrador, A1C 1J3, Canada</t>
  </si>
  <si>
    <t>51.5422722220001</t>
  </si>
  <si>
    <t>-55.720094444</t>
  </si>
  <si>
    <t>51 - 32 - 32.18</t>
  </si>
  <si>
    <t>55 - 43 - 12.34</t>
  </si>
  <si>
    <t>Cape Onion Road, Cape Onion, Raleigh, Unincorporated Newfoundland, Newfoundland, Newfoundland and Labrador, A0K 4J0, Canada</t>
  </si>
  <si>
    <t>47.8541638890001</t>
  </si>
  <si>
    <t>-55.8783333329999</t>
  </si>
  <si>
    <t>47 - 51 - 14.99</t>
  </si>
  <si>
    <t>55 - 52 - 42.0</t>
  </si>
  <si>
    <t>Tower Access Road, St. Alban's, Newfoundland, Newfoundland and Labrador, Canada</t>
  </si>
  <si>
    <t>49.0245972220001</t>
  </si>
  <si>
    <t>-55.448391667</t>
  </si>
  <si>
    <t>49 - 1 - 28.55</t>
  </si>
  <si>
    <t>55 - 26 - 54.21</t>
  </si>
  <si>
    <t>Trans Canada Highway, Bishops Falls, Bishop's Falls, Newfoundland, Newfoundland and Labrador, A0H 1C0, Canada</t>
  </si>
  <si>
    <t>47.532822222</t>
  </si>
  <si>
    <t>-52.826175</t>
  </si>
  <si>
    <t>47 - 31 - 58.16</t>
  </si>
  <si>
    <t>52 - 49 - 34.23</t>
  </si>
  <si>
    <t>12, Allston Street, Donovans, Mount Pearl, Newfoundland, Newfoundland and Labrador, A1N 0A3, Canada</t>
  </si>
  <si>
    <t>47.570052778</t>
  </si>
  <si>
    <t>-52.718680556</t>
  </si>
  <si>
    <t>47 - 34 - 12.19</t>
  </si>
  <si>
    <t>52 - 43 - 7.25</t>
  </si>
  <si>
    <t>62, Bonaventure Avenue, Ecclesiastical District, Georgestown, St. John's, Newfoundland, Newfoundland and Labrador, A1C 3Z3, Canada</t>
  </si>
  <si>
    <t>48.0929166670001</t>
  </si>
  <si>
    <t>-52.896866667</t>
  </si>
  <si>
    <t>48 - 5 - 34.5</t>
  </si>
  <si>
    <t>52 - 53 - 48.72</t>
  </si>
  <si>
    <t>Potter's Lane, Bay De Verde, Newfoundland, Newfoundland and Labrador, Canada</t>
  </si>
  <si>
    <t>47.5618666670001</t>
  </si>
  <si>
    <t>-52.7227833329999</t>
  </si>
  <si>
    <t>47 - 33 - 42.72</t>
  </si>
  <si>
    <t>52 - 43 - 22.02</t>
  </si>
  <si>
    <t>Capital Hyundai Arena, 138, Pennywell Road, Pennywell, St. John's, Newfoundland, Newfoundland and Labrador, A1C 2J7, Canada</t>
  </si>
  <si>
    <t>47.5455916670001</t>
  </si>
  <si>
    <t>-52.752225</t>
  </si>
  <si>
    <t>47 - 32 - 44.13</t>
  </si>
  <si>
    <t>52 - 45 - 8.01</t>
  </si>
  <si>
    <t>Winslow Street, L'il Bride, Mundy Pond, St. John's, Newfoundland, Newfoundland and Labrador, A1E 5Z2, Canada</t>
  </si>
  <si>
    <t>51.380552778</t>
  </si>
  <si>
    <t>-56.091108333</t>
  </si>
  <si>
    <t>51 - 22 - 49.99</t>
  </si>
  <si>
    <t>56 - 5 - 27.99</t>
  </si>
  <si>
    <t>48.5495111110001</t>
  </si>
  <si>
    <t>-58.5738916669999</t>
  </si>
  <si>
    <t>48 - 32 - 58.24</t>
  </si>
  <si>
    <t>58 - 34 - 26.01</t>
  </si>
  <si>
    <t>ATM, Campbell Avenue, Stephenville, Newfoundland, Newfoundland and Labrador, A2N 3A7, Canada</t>
  </si>
  <si>
    <t>52.547838889</t>
  </si>
  <si>
    <t>-56.298377778</t>
  </si>
  <si>
    <t>52 - 32 - 52.22</t>
  </si>
  <si>
    <t>56 - 17 - 54.16</t>
  </si>
  <si>
    <t>47.5315416670001</t>
  </si>
  <si>
    <t>-52.8635305559999</t>
  </si>
  <si>
    <t>47 - 31 - 53.55</t>
  </si>
  <si>
    <t>52 - 51 - 48.71</t>
  </si>
  <si>
    <t>Neil's Pond Condominiums, 1533, Topsail Road, Valley Ridge, Paradise, Newfoundland, Newfoundland and Labrador, A1L 1R1, Canada</t>
  </si>
  <si>
    <t>47.597080556</t>
  </si>
  <si>
    <t>-52.730755556</t>
  </si>
  <si>
    <t>47 - 35 - 49.49</t>
  </si>
  <si>
    <t>52 - 43 - 50.72</t>
  </si>
  <si>
    <t>341, Portugal Cove Place, Bells Turn, St. John's, Newfoundland, Newfoundland and Labrador, A1B 2L3, Canada</t>
  </si>
  <si>
    <t>47.545188889</t>
  </si>
  <si>
    <t>-52.7137</t>
  </si>
  <si>
    <t>47 - 32 - 42.68</t>
  </si>
  <si>
    <t>52 - 42 - 49.32</t>
  </si>
  <si>
    <t>Chafe Avenue, Shea Heights, St. John's, Newfoundland, Newfoundland and Labrador, A1C 5J2, Canada</t>
  </si>
  <si>
    <t>48.9439</t>
  </si>
  <si>
    <t>-55.6516999999999</t>
  </si>
  <si>
    <t>48 - 56 - 38.04</t>
  </si>
  <si>
    <t>55 - 39 - 6.12</t>
  </si>
  <si>
    <t>47.5806000000001</t>
  </si>
  <si>
    <t>-52.6992611109999</t>
  </si>
  <si>
    <t>47 - 34 - 50.16</t>
  </si>
  <si>
    <t>52 - 41 - 57.34</t>
  </si>
  <si>
    <t>47.5912000000001</t>
  </si>
  <si>
    <t>-52.7299</t>
  </si>
  <si>
    <t>47 - 35 - 28.32</t>
  </si>
  <si>
    <t>52 - 43 - 47.64</t>
  </si>
  <si>
    <t>14, Johnson Crescent, Bells Turn, St. John's, Newfoundland, Newfoundland and Labrador, A1A 2H5, Canada</t>
  </si>
  <si>
    <t>47.634533333</t>
  </si>
  <si>
    <t>-52.730658333</t>
  </si>
  <si>
    <t>47 - 38 - 4.32</t>
  </si>
  <si>
    <t>52 - 43 - 50.37</t>
  </si>
  <si>
    <t>Rosebud Street, Torbay, Newfoundland, Newfoundland and Labrador, A1K 1A5, Canada</t>
  </si>
  <si>
    <t>52.5125</t>
  </si>
  <si>
    <t>-65.851111111</t>
  </si>
  <si>
    <t>52 - 30 - 45.0</t>
  </si>
  <si>
    <t>65 - 51 - 4.0</t>
  </si>
  <si>
    <t>54.5711111110001</t>
  </si>
  <si>
    <t>-66.666666667</t>
  </si>
  <si>
    <t>54 - 34 - 16.0</t>
  </si>
  <si>
    <t>66 - 40 - 0.0</t>
  </si>
  <si>
    <t>Astray, Labrador, Newfoundland and Labrador, Canada</t>
  </si>
  <si>
    <t>52.778611111</t>
  </si>
  <si>
    <t>-65.8063888889999</t>
  </si>
  <si>
    <t>52 - 46 - 43.0</t>
  </si>
  <si>
    <t>65 - 48 - 23.0</t>
  </si>
  <si>
    <t>47.5807500000001</t>
  </si>
  <si>
    <t>-52.675702778</t>
  </si>
  <si>
    <t>47 - 34 - 50.7</t>
  </si>
  <si>
    <t>52 - 40 - 32.53</t>
  </si>
  <si>
    <t>Barrows Road, Quidi Vidi, St. John's, Newfoundland, Newfoundland and Labrador, A1C 5X1, Canada</t>
  </si>
  <si>
    <t>47.736327778</t>
  </si>
  <si>
    <t>-52.8054222219999</t>
  </si>
  <si>
    <t>47 - 44 - 10.78</t>
  </si>
  <si>
    <t>52 - 48 - 19.52</t>
  </si>
  <si>
    <t>Marine Park, Pouch Cove Line, Pouch Cove, Newfoundland, Newfoundland and Labrador, A1K 0M5, Canada</t>
  </si>
  <si>
    <t>51.547772222</t>
  </si>
  <si>
    <t>-56.793608333</t>
  </si>
  <si>
    <t>51 - 32 - 51.98</t>
  </si>
  <si>
    <t>56 - 47 - 36.99</t>
  </si>
  <si>
    <t>Southern Labrador Highway, L'Anse au Loup, Labrador, Newfoundland and Labrador, Canada</t>
  </si>
  <si>
    <t>49.057972222</t>
  </si>
  <si>
    <t>-58.380827778</t>
  </si>
  <si>
    <t>49 - 3 - 28.7</t>
  </si>
  <si>
    <t>58 - 22 - 50.98</t>
  </si>
  <si>
    <t>Sheppard's Lane, York Harbour, Newfoundland, Newfoundland and Labrador, Canada</t>
  </si>
  <si>
    <t>47.528372222</t>
  </si>
  <si>
    <t>-52.870772222</t>
  </si>
  <si>
    <t>47 - 31 - 42.14</t>
  </si>
  <si>
    <t>52 - 52 - 14.78</t>
  </si>
  <si>
    <t>Topsail Road, Valley Ridge, Paradise, Newfoundland, Newfoundland and Labrador, A1L 1S6, Canada</t>
  </si>
  <si>
    <t>47.5463111110001</t>
  </si>
  <si>
    <t>-52.768355556</t>
  </si>
  <si>
    <t>47 - 32 - 46.72</t>
  </si>
  <si>
    <t>52 - 46 - 6.08</t>
  </si>
  <si>
    <t>48.445647222</t>
  </si>
  <si>
    <t>-53.536988889</t>
  </si>
  <si>
    <t>48 - 26 - 44.33</t>
  </si>
  <si>
    <t>53 - 32 - 13.16</t>
  </si>
  <si>
    <t>48.9166666670001</t>
  </si>
  <si>
    <t>-57.968888889</t>
  </si>
  <si>
    <t>48 - 55 - 0.0</t>
  </si>
  <si>
    <t>57 - 58 - 8.0</t>
  </si>
  <si>
    <t>Tower Road, Corner Brook, Newfoundland, Newfoundland and Labrador, A2H 4M9, Canada</t>
  </si>
  <si>
    <t>49.086108333</t>
  </si>
  <si>
    <t>-58.374308333</t>
  </si>
  <si>
    <t>49 - 5 - 9.99</t>
  </si>
  <si>
    <t>58 - 22 - 27.51</t>
  </si>
  <si>
    <t>47.2240972220001</t>
  </si>
  <si>
    <t>-53.5525749999999</t>
  </si>
  <si>
    <t>47 - 13 - 26.75</t>
  </si>
  <si>
    <t>53 - 33 - 9.27</t>
  </si>
  <si>
    <t>Markland Road, Colinet, Newfoundland, Newfoundland and Labrador, Canada</t>
  </si>
  <si>
    <t>49.4773138890001</t>
  </si>
  <si>
    <t>-58.118108333</t>
  </si>
  <si>
    <t>49 - 28 - 38.33</t>
  </si>
  <si>
    <t>58 - 7 - 5.19</t>
  </si>
  <si>
    <t>Trout River, Newfoundland, Newfoundland and Labrador, Canada</t>
  </si>
  <si>
    <t>47.5302361110001</t>
  </si>
  <si>
    <t>-52.926502778</t>
  </si>
  <si>
    <t>47 - 31 - 48.85</t>
  </si>
  <si>
    <t>52 - 55 - 35.41</t>
  </si>
  <si>
    <t>Monument Road, Topsail, Conception Bay South, Newfoundland, Newfoundland and Labrador, A1W 5R1, Canada</t>
  </si>
  <si>
    <t>47.372019444</t>
  </si>
  <si>
    <t>-53.235558333</t>
  </si>
  <si>
    <t>47 - 22 - 19.27</t>
  </si>
  <si>
    <t>53 - 14 - 8.01</t>
  </si>
  <si>
    <t>Eastbound Park &amp; Speedway, 500, Old Avondale Access Road, Avondale, Newfoundland, Newfoundland and Labrador, Canada</t>
  </si>
  <si>
    <t>49.5849694440001</t>
  </si>
  <si>
    <t>-56.182997222</t>
  </si>
  <si>
    <t>49 - 35 - 5.89</t>
  </si>
  <si>
    <t>56 - 10 - 58.79</t>
  </si>
  <si>
    <t>Park Lane, King's Point, Newfoundland, Newfoundland and Labrador, A0J 1H0, Canada</t>
  </si>
  <si>
    <t>48.949775</t>
  </si>
  <si>
    <t>-58.014833333</t>
  </si>
  <si>
    <t>48 - 56 - 59.19</t>
  </si>
  <si>
    <t>58 - 0 - 53.4</t>
  </si>
  <si>
    <t>Georgetown Road, Corner Brook, Newfoundland, Newfoundland and Labrador, A2H 3P5, Canada</t>
  </si>
  <si>
    <t>47.6188861110001</t>
  </si>
  <si>
    <t>-57.631663889</t>
  </si>
  <si>
    <t>47 - 37 - 7.99</t>
  </si>
  <si>
    <t>57 - 37 - 53.99</t>
  </si>
  <si>
    <t>Reach Road, Burgeo, Newfoundland, Newfoundland and Labrador, A0N 2H0, Canada</t>
  </si>
  <si>
    <t>47.4562250000001</t>
  </si>
  <si>
    <t>-52.775658333</t>
  </si>
  <si>
    <t>47 - 27 - 22.41</t>
  </si>
  <si>
    <t>52 - 46 - 32.37</t>
  </si>
  <si>
    <t>Keith Drive, Goulds, St. John's, Newfoundland, Newfoundland and Labrador, A1S 1G6, Canada</t>
  </si>
  <si>
    <t>51.732666667</t>
  </si>
  <si>
    <t>-56.428680556</t>
  </si>
  <si>
    <t>51 - 43 - 57.6</t>
  </si>
  <si>
    <t>56 - 25 - 43.25</t>
  </si>
  <si>
    <t>Red Bay National Historic Site, Old ATV Trail, Labrador, Newfoundland and Labrador, A0K 4K0, Canada</t>
  </si>
  <si>
    <t>47.580263889</t>
  </si>
  <si>
    <t>-52.720794444</t>
  </si>
  <si>
    <t>47 - 34 - 48.95</t>
  </si>
  <si>
    <t>52 - 43 - 14.86</t>
  </si>
  <si>
    <t>6, Rostellan Place, Churchill Park, St. John's, Newfoundland, Newfoundland and Labrador, A1B 1S3, Canada</t>
  </si>
  <si>
    <t>48.9471638890001</t>
  </si>
  <si>
    <t>-57.916736111</t>
  </si>
  <si>
    <t>48 - 56 - 49.79</t>
  </si>
  <si>
    <t>57 - 55 - 0.25</t>
  </si>
  <si>
    <t>Corner Brook Plaza, Maple Valley Road, Corner Brook, Newfoundland, Newfoundland and Labrador, A2H 7K5, Canada</t>
  </si>
  <si>
    <t>47.5355388890001</t>
  </si>
  <si>
    <t>-52.832905556</t>
  </si>
  <si>
    <t>47 - 32 - 7.94</t>
  </si>
  <si>
    <t>52 - 49 - 58.46</t>
  </si>
  <si>
    <t>Elgin Drive, Elizabeth Park, Paradise, Newfoundland, Newfoundland and Labrador, A1N 0A5, Canada</t>
  </si>
  <si>
    <t>47.6762444440001</t>
  </si>
  <si>
    <t>-53.2649111109999</t>
  </si>
  <si>
    <t>47 - 40 - 34.48</t>
  </si>
  <si>
    <t>53 - 15 - 53.68</t>
  </si>
  <si>
    <t>Danny Cleary Harbour Grace Community Centre, 1, CeeBee Way, Harbour Grace, Newfoundland, Newfoundland and Labrador, A0A 2M0, Canada</t>
  </si>
  <si>
    <t>47.5392416670001</t>
  </si>
  <si>
    <t>-52.927725</t>
  </si>
  <si>
    <t>47 - 32 - 21.27</t>
  </si>
  <si>
    <t>52 - 55 - 39.81</t>
  </si>
  <si>
    <t>Topsail Road, Topsail, Conception Bay South, Newfoundland, Newfoundland and Labrador, A1W 5R5, Canada</t>
  </si>
  <si>
    <t>48.8303000000001</t>
  </si>
  <si>
    <t>-54.3658</t>
  </si>
  <si>
    <t>48 - 49 - 49.08</t>
  </si>
  <si>
    <t>54 - 21 - 56.88</t>
  </si>
  <si>
    <t>Crown Ridge Resource Road, Newfoundland, Newfoundland and Labrador, Canada</t>
  </si>
  <si>
    <t>49.7520916670001</t>
  </si>
  <si>
    <t>-56.021377778</t>
  </si>
  <si>
    <t>49 - 45 - 7.53</t>
  </si>
  <si>
    <t>56 - 1 - 16.96</t>
  </si>
  <si>
    <t>Bridge Street, Burlington, Newfoundland, Newfoundland and Labrador, Canada</t>
  </si>
  <si>
    <t>47.5332388890001</t>
  </si>
  <si>
    <t>-52.9024277779999</t>
  </si>
  <si>
    <t>47 - 31 - 59.66</t>
  </si>
  <si>
    <t>52 - 54 - 8.74</t>
  </si>
  <si>
    <t>28, Brittany Drive, Woodstock, Paradise, Newfoundland, Newfoundland and Labrador, A1W 5R5, Canada</t>
  </si>
  <si>
    <t>47.5786000000001</t>
  </si>
  <si>
    <t>-59.1455999999999</t>
  </si>
  <si>
    <t>47 - 34 - 42.96</t>
  </si>
  <si>
    <t>59 - 8 - 44.16</t>
  </si>
  <si>
    <t>Caribou Road, Channel-Port aux Basques, Newfoundland, Newfoundland and Labrador, A0M 1C0, Canada</t>
  </si>
  <si>
    <t>47.627005556</t>
  </si>
  <si>
    <t>-52.856738889</t>
  </si>
  <si>
    <t>47 - 37 - 37.22</t>
  </si>
  <si>
    <t>52 - 51 - 24.26</t>
  </si>
  <si>
    <t>Hardings Hill, Portugal Cove - St. Philips, Newfoundland, Newfoundland and Labrador, A1M 2X9, Canada</t>
  </si>
  <si>
    <t>-56.293241667</t>
  </si>
  <si>
    <t>56 - 17 - 35.67</t>
  </si>
  <si>
    <t>48.876386111</t>
  </si>
  <si>
    <t>-55.788886111</t>
  </si>
  <si>
    <t>48 - 52 - 34.99</t>
  </si>
  <si>
    <t>55 - 47 - 19.99</t>
  </si>
  <si>
    <t>Sandy Brook Hill Road, Newfoundland, Newfoundland and Labrador, A2B 1B4, Canada</t>
  </si>
  <si>
    <t>49.0547111110001</t>
  </si>
  <si>
    <t>-58.368802778</t>
  </si>
  <si>
    <t>49 - 3 - 16.96</t>
  </si>
  <si>
    <t>58 - 22 - 7.69</t>
  </si>
  <si>
    <t>48.933461111</t>
  </si>
  <si>
    <t>-57.886544444</t>
  </si>
  <si>
    <t>48 - 56 - 0.46</t>
  </si>
  <si>
    <t>57 - 53 - 11.56</t>
  </si>
  <si>
    <t>Massey Drive, Newfoundland, Newfoundland and Labrador, A2H 7K5, Canada</t>
  </si>
  <si>
    <t>47.565991667</t>
  </si>
  <si>
    <t>-52.705363889</t>
  </si>
  <si>
    <t>47 - 33 - 57.57</t>
  </si>
  <si>
    <t>52 - 42 - 19.31</t>
  </si>
  <si>
    <t>TD, 140, Water Street, Downtown, St. John's, Newfoundland, Newfoundland and Labrador, A1C 6H6, Canada</t>
  </si>
  <si>
    <t>48.9200916670001</t>
  </si>
  <si>
    <t>-57.96985</t>
  </si>
  <si>
    <t>48 - 55 - 12.33</t>
  </si>
  <si>
    <t>57 - 58 - 11.46</t>
  </si>
  <si>
    <t>Tower Road, Corner Brook, Newfoundland, Newfoundland and Labrador, A2H 2R5, Canada</t>
  </si>
  <si>
    <t>47.6181222220001</t>
  </si>
  <si>
    <t>-52.726086111</t>
  </si>
  <si>
    <t>47 - 37 - 5.24</t>
  </si>
  <si>
    <t>52 - 43 - 33.91</t>
  </si>
  <si>
    <t>Exxonmobil Canada, 20, Hebron Way, Glenvilla Court, St. John's, Newfoundland, Newfoundland and Labrador, A1A 4Y6, Canada</t>
  </si>
  <si>
    <t>47.5840166670001</t>
  </si>
  <si>
    <t>-52.716694444</t>
  </si>
  <si>
    <t>47 - 35 - 2.46</t>
  </si>
  <si>
    <t>52 - 43 - 0.1</t>
  </si>
  <si>
    <t>5, Shea Street, Churchill Park, St. John's, Newfoundland, Newfoundland and Labrador, A1C 5P7, Canada</t>
  </si>
  <si>
    <t>49.5205527780001</t>
  </si>
  <si>
    <t>-55.613333333</t>
  </si>
  <si>
    <t>49 - 31 - 13.99</t>
  </si>
  <si>
    <t>55 - 36 - 48.0</t>
  </si>
  <si>
    <t>Main Street, Cards Harbour, Triton, Newfoundland, Newfoundland and Labrador, A0J 1V0, Canada</t>
  </si>
  <si>
    <t>48.956852778</t>
  </si>
  <si>
    <t>-57.921113889</t>
  </si>
  <si>
    <t>48 - 57 - 24.67</t>
  </si>
  <si>
    <t>57 - 55 - 16.01</t>
  </si>
  <si>
    <t>Ingrid Avenue, Corner Brook, Newfoundland, Newfoundland and Labrador, A2H 1R4, Canada</t>
  </si>
  <si>
    <t>47.444786111</t>
  </si>
  <si>
    <t>-53.3878611109999</t>
  </si>
  <si>
    <t>47 - 26 - 41.23</t>
  </si>
  <si>
    <t>53 - 23 - 16.3</t>
  </si>
  <si>
    <t>47.7403</t>
  </si>
  <si>
    <t>-53.9353</t>
  </si>
  <si>
    <t>47 - 44 - 25.08</t>
  </si>
  <si>
    <t>53 - 56 - 7.08</t>
  </si>
  <si>
    <t>Megans, Trans Canada Highway, Newfoundland, Newfoundland and Labrador, Canada</t>
  </si>
  <si>
    <t>49.0612750000001</t>
  </si>
  <si>
    <t>-58.3802666669999</t>
  </si>
  <si>
    <t>49 - 3 - 40.59</t>
  </si>
  <si>
    <t>58 - 22 - 48.96</t>
  </si>
  <si>
    <t>47.769536111</t>
  </si>
  <si>
    <t>-53.4703361109999</t>
  </si>
  <si>
    <t>47 - 46 - 10.33</t>
  </si>
  <si>
    <t>53 - 28 - 13.21</t>
  </si>
  <si>
    <t>47.6124722220001</t>
  </si>
  <si>
    <t>-52.6822972219999</t>
  </si>
  <si>
    <t>47 - 36 - 44.9</t>
  </si>
  <si>
    <t>52 - 40 - 56.27</t>
  </si>
  <si>
    <t>43, Sugar Loaf Road, Robinhood Bay, St. John's, Newfoundland, Newfoundland and Labrador, A1A 5Z5, Canada</t>
  </si>
  <si>
    <t>48.5272000000001</t>
  </si>
  <si>
    <t>-58.4863999999999</t>
  </si>
  <si>
    <t>48 - 31 - 37.92</t>
  </si>
  <si>
    <t>58 - 29 - 11.04</t>
  </si>
  <si>
    <t>49.7047666670001</t>
  </si>
  <si>
    <t>-56.0887</t>
  </si>
  <si>
    <t>49 - 42 - 17.16</t>
  </si>
  <si>
    <t>56 - 5 - 19.32</t>
  </si>
  <si>
    <t>47.5026722220001</t>
  </si>
  <si>
    <t>-52.812838889</t>
  </si>
  <si>
    <t>47 - 30 - 9.62</t>
  </si>
  <si>
    <t>52 - 48 - 46.22</t>
  </si>
  <si>
    <t>48.9969472220001</t>
  </si>
  <si>
    <t>-57.886280556</t>
  </si>
  <si>
    <t>48 - 59 - 49.01</t>
  </si>
  <si>
    <t>57 - 53 - 10.61</t>
  </si>
  <si>
    <t>47.5695138890001</t>
  </si>
  <si>
    <t>-52.724294444</t>
  </si>
  <si>
    <t>47 - 34 - 10.25</t>
  </si>
  <si>
    <t>52 - 43 - 27.46</t>
  </si>
  <si>
    <t>RE/MAX Centre, 135, Mayor Avenue, Churchill Park, St. John's, Newfoundland, Newfoundland and Labrador, A1C 3G3, Canada</t>
  </si>
  <si>
    <t>47.6158861110001</t>
  </si>
  <si>
    <t>-52.7158138889999</t>
  </si>
  <si>
    <t>47 - 36 - 57.19</t>
  </si>
  <si>
    <t>52 - 42 - 56.93</t>
  </si>
  <si>
    <t>47.5357750000001</t>
  </si>
  <si>
    <t>-52.861033333</t>
  </si>
  <si>
    <t>47 - 32 - 8.79</t>
  </si>
  <si>
    <t>52 - 51 - 39.72</t>
  </si>
  <si>
    <t>Donna Road, Karwood Estates, Paradise, Newfoundland, Newfoundland and Labrador, A1L 1L1, Canada</t>
  </si>
  <si>
    <t>48.9632388890001</t>
  </si>
  <si>
    <t>-54.622094444</t>
  </si>
  <si>
    <t>48 - 57 - 47.66</t>
  </si>
  <si>
    <t>54 - 37 - 19.54</t>
  </si>
  <si>
    <t>McCurdy Drive, Gander, Newfoundland, Newfoundland and Labrador, A1V 1P7, Canada</t>
  </si>
  <si>
    <t>47.7121861110001</t>
  </si>
  <si>
    <t>-52.823366667</t>
  </si>
  <si>
    <t>47 - 42 - 43.87</t>
  </si>
  <si>
    <t>52 - 49 - 24.12</t>
  </si>
  <si>
    <t>Bauline Line, Bauline, Newfoundland, Newfoundland and Labrador, A1K 0M5, Canada</t>
  </si>
  <si>
    <t>47.5325722220001</t>
  </si>
  <si>
    <t>-52.8361416669999</t>
  </si>
  <si>
    <t>47 - 31 - 57.26</t>
  </si>
  <si>
    <t>52 - 50 - 10.11</t>
  </si>
  <si>
    <t>1297, Topsail Road, Evergreen Village, Paradise, Newfoundland, Newfoundland and Labrador, A1L 1N7, Canada</t>
  </si>
  <si>
    <t>47.5434777780001</t>
  </si>
  <si>
    <t>-52.710258333</t>
  </si>
  <si>
    <t>47 - 32 - 36.52</t>
  </si>
  <si>
    <t>52 - 42 - 36.93</t>
  </si>
  <si>
    <t>47.5549777780001</t>
  </si>
  <si>
    <t>-52.739963889</t>
  </si>
  <si>
    <t>47 - 33 - 17.92</t>
  </si>
  <si>
    <t>52 - 44 - 23.87</t>
  </si>
  <si>
    <t>Traumatic Stress Services, 20, Cordage Place, Mundy Pond, St. John's, Newfoundland, Newfoundland and Labrador, A1E 6J9, Canada</t>
  </si>
  <si>
    <t>47.587647222</t>
  </si>
  <si>
    <t>-52.678869444</t>
  </si>
  <si>
    <t>47 - 35 - 15.53</t>
  </si>
  <si>
    <t>52 - 40 - 43.93</t>
  </si>
  <si>
    <t>Northwest Atlantic Fisheries Centre, 80, East White Hills Road, Pleasantville, St. John's, Newfoundland, Newfoundland and Labrador, A1C 5X1, Canada</t>
  </si>
  <si>
    <t>47.593969444</t>
  </si>
  <si>
    <t>-52.735294444</t>
  </si>
  <si>
    <t>47 - 35 - 38.29</t>
  </si>
  <si>
    <t>52 - 44 - 7.06</t>
  </si>
  <si>
    <t>115, Gloucester Street, Bells Turn, St. John's, Newfoundland, Newfoundland and Labrador, A1B 2L3, Canada</t>
  </si>
  <si>
    <t>47.6131694440001</t>
  </si>
  <si>
    <t>-52.743352778</t>
  </si>
  <si>
    <t>47 - 36 - 47.41</t>
  </si>
  <si>
    <t>52 - 44 - 36.07</t>
  </si>
  <si>
    <t>CIBC Bank, 100, World Parkway, St. John's, Newfoundland, Newfoundland and Labrador, A1A 0H6, Canada</t>
  </si>
  <si>
    <t>47.4520388890001</t>
  </si>
  <si>
    <t>-52.771677778</t>
  </si>
  <si>
    <t>47 - 27 - 7.34</t>
  </si>
  <si>
    <t>52 - 46 - 18.04</t>
  </si>
  <si>
    <t>48.5574972220001</t>
  </si>
  <si>
    <t>-53.973055556</t>
  </si>
  <si>
    <t>48 - 33 - 26.99</t>
  </si>
  <si>
    <t>53 - 58 - 23.0</t>
  </si>
  <si>
    <t>47.5710777780001</t>
  </si>
  <si>
    <t>-52.709338889</t>
  </si>
  <si>
    <t>47 - 34 - 15.88</t>
  </si>
  <si>
    <t>52 - 42 - 33.62</t>
  </si>
  <si>
    <t>Kelvin House, 49, Rennies Mill Road, Rennies Mill, St. John's, Newfoundland, Newfoundland and Labrador, A1C 3E7, Canada</t>
  </si>
  <si>
    <t>47.506938889</t>
  </si>
  <si>
    <t>-52.828330556</t>
  </si>
  <si>
    <t>47 - 30 - 24.98</t>
  </si>
  <si>
    <t>52 - 49 - 41.99</t>
  </si>
  <si>
    <t>47.3280583330001</t>
  </si>
  <si>
    <t>-53.127505556</t>
  </si>
  <si>
    <t>47 - 19 - 41.01</t>
  </si>
  <si>
    <t>53 - 7 - 39.02</t>
  </si>
  <si>
    <t>47.589911111</t>
  </si>
  <si>
    <t>-59.1602194439999</t>
  </si>
  <si>
    <t>47 - 35 - 23.68</t>
  </si>
  <si>
    <t>59 - 9 - 36.79</t>
  </si>
  <si>
    <t>High Street, Channel-Port aux Basques, Newfoundland, Newfoundland and Labrador, A0M 1C0, Canada</t>
  </si>
  <si>
    <t>48.956680556</t>
  </si>
  <si>
    <t>-57.934463889</t>
  </si>
  <si>
    <t>48 - 57 - 24.05</t>
  </si>
  <si>
    <t>57 - 56 - 4.07</t>
  </si>
  <si>
    <t>Batstone's Road, Corner Brook, Newfoundland, Newfoundland and Labrador, A2H 1K9, Canada</t>
  </si>
  <si>
    <t>47.7283305560001</t>
  </si>
  <si>
    <t>-54.5674999999999</t>
  </si>
  <si>
    <t>47 - 43 - 41.99</t>
  </si>
  <si>
    <t>54 - 34 - 3.0</t>
  </si>
  <si>
    <t>Burin Peninsula Highway, Newfoundland, Newfoundland and Labrador, Canada</t>
  </si>
  <si>
    <t>47.5325388890001</t>
  </si>
  <si>
    <t>-52.742863889</t>
  </si>
  <si>
    <t>47 - 31 - 57.14</t>
  </si>
  <si>
    <t>52 - 44 - 34.31</t>
  </si>
  <si>
    <t>The Residence at Littledale, Blue River Place, Waterford Valley, St. John's, Newfoundland, Newfoundland and Labrador, A1E 5N7, Canada</t>
  </si>
  <si>
    <t>46.9489083330001</t>
  </si>
  <si>
    <t>-55.540016667</t>
  </si>
  <si>
    <t>46 - 56 - 56.07</t>
  </si>
  <si>
    <t>55 - 32 - 24.06</t>
  </si>
  <si>
    <t>Wilson's Gas Stop, 738, Main Street, Lawn, Newfoundland, Newfoundland and Labrador, A0E 2E0, Canada</t>
  </si>
  <si>
    <t>47.5720027780001</t>
  </si>
  <si>
    <t>-52.731969444</t>
  </si>
  <si>
    <t>47 - 34 - 19.21</t>
  </si>
  <si>
    <t>52 - 43 - 55.09</t>
  </si>
  <si>
    <t>47.538308333</t>
  </si>
  <si>
    <t>-52.932161111</t>
  </si>
  <si>
    <t>47 - 32 - 17.91</t>
  </si>
  <si>
    <t>52 - 55 - 55.78</t>
  </si>
  <si>
    <t>47.2426694440001</t>
  </si>
  <si>
    <t>-53.3108722219999</t>
  </si>
  <si>
    <t>47 - 14 - 33.61</t>
  </si>
  <si>
    <t>53 - 18 - 39.14</t>
  </si>
  <si>
    <t>47.571463889</t>
  </si>
  <si>
    <t>-52.7002111109999</t>
  </si>
  <si>
    <t>47 - 34 - 17.27</t>
  </si>
  <si>
    <t>52 - 42 - 0.76</t>
  </si>
  <si>
    <t>Sheraton Hotel Newfoundland, 115, Cavendish Square, Fort William, St. John's, Newfoundland, Newfoundland and Labrador, A1C 1M9, Canada</t>
  </si>
  <si>
    <t>47.5067000000001</t>
  </si>
  <si>
    <t>-52.81695</t>
  </si>
  <si>
    <t>47 - 30 - 24.12</t>
  </si>
  <si>
    <t>52 - 49 - 1.02</t>
  </si>
  <si>
    <t>Summit Centre, 126, Old Placentia Road, Glenhill, Mount Pearl, Newfoundland, Newfoundland and Labrador, A1N 4Y1, Canada</t>
  </si>
  <si>
    <t>47.487808333</t>
  </si>
  <si>
    <t>-52.816313889</t>
  </si>
  <si>
    <t>47 - 29 - 16.11</t>
  </si>
  <si>
    <t>52 - 48 - 58.73</t>
  </si>
  <si>
    <t>35, Sumac Street, Southlands, St. John's, Newfoundland, Newfoundland and Labrador, A1H 0G5, Canada</t>
  </si>
  <si>
    <t>47.4633000000001</t>
  </si>
  <si>
    <t>-52.7021999999999</t>
  </si>
  <si>
    <t>47 - 27 - 47.88</t>
  </si>
  <si>
    <t>52 - 42 - 7.92</t>
  </si>
  <si>
    <t>Southside Road, Petty Harbour-Maddox Cove, Newfoundland, Newfoundland and Labrador, Canada</t>
  </si>
  <si>
    <t>47.5275722220001</t>
  </si>
  <si>
    <t>-52.851269444</t>
  </si>
  <si>
    <t>47 - 31 - 39.26</t>
  </si>
  <si>
    <t>52 - 51 - 4.57</t>
  </si>
  <si>
    <t>69, Karwood Drive, Karwood Estates, Paradise, Newfoundland, Newfoundland and Labrador, A1L 0L3, Canada</t>
  </si>
  <si>
    <t>47.5342388890001</t>
  </si>
  <si>
    <t>-52.841877778</t>
  </si>
  <si>
    <t>47 - 32 - 3.26</t>
  </si>
  <si>
    <t>52 - 50 - 30.76</t>
  </si>
  <si>
    <t>Elizabeth Drive, Evergreen Village, Paradise, Newfoundland, Newfoundland and Labrador, A1L 1E7, Canada</t>
  </si>
  <si>
    <t>48.9990722220001</t>
  </si>
  <si>
    <t>-58.1238722219999</t>
  </si>
  <si>
    <t>48 - 59 - 56.66</t>
  </si>
  <si>
    <t>58 - 7 - 25.94</t>
  </si>
  <si>
    <t>Humber Arm South, Newfoundland, Newfoundland and Labrador, A0L 1A0, Canada</t>
  </si>
  <si>
    <t>48.9994</t>
  </si>
  <si>
    <t>-57.877877778</t>
  </si>
  <si>
    <t>48 - 59 - 57.84</t>
  </si>
  <si>
    <t>57 - 52 - 40.36</t>
  </si>
  <si>
    <t>Lidstone Road, Hughes Brook, Newfoundland, Newfoundland and Labrador, A2H 6W8, Canada</t>
  </si>
  <si>
    <t>47.488788889</t>
  </si>
  <si>
    <t>-52.8208888889999</t>
  </si>
  <si>
    <t>47 - 29 - 19.64</t>
  </si>
  <si>
    <t>52 - 49 - 15.2</t>
  </si>
  <si>
    <t>Access to Community Centre, Southlands, St. John's, Newfoundland, Newfoundland and Labrador, A1H 0G5, Canada</t>
  </si>
  <si>
    <t>47.538497222</t>
  </si>
  <si>
    <t>-52.853547222</t>
  </si>
  <si>
    <t>47 - 32 - 18.59</t>
  </si>
  <si>
    <t>52 - 51 - 12.77</t>
  </si>
  <si>
    <t>70, Trails End Drive, Donovan Terrace, Paradise, Newfoundland, Newfoundland and Labrador, A1L 2K2, Canada</t>
  </si>
  <si>
    <t>47.594975</t>
  </si>
  <si>
    <t>-52.726380556</t>
  </si>
  <si>
    <t>47 - 35 - 41.91</t>
  </si>
  <si>
    <t>52 - 43 - 34.97</t>
  </si>
  <si>
    <t>Higgins Line, Kent's Pond, St. John's, Newfoundland, Newfoundland and Labrador, A1B 2N7, Canada</t>
  </si>
  <si>
    <t>48.95725</t>
  </si>
  <si>
    <t>-57.9247694439999</t>
  </si>
  <si>
    <t>48 - 57 - 26.1</t>
  </si>
  <si>
    <t>57 - 55 - 29.17</t>
  </si>
  <si>
    <t>Sherwood Avenue, Corner Brook, Newfoundland, Newfoundland and Labrador, A2H 1R4, Canada</t>
  </si>
  <si>
    <t>47.6347638890001</t>
  </si>
  <si>
    <t>-52.7285916669999</t>
  </si>
  <si>
    <t>47 - 38 - 5.15</t>
  </si>
  <si>
    <t>52 - 43 - 42.93</t>
  </si>
  <si>
    <t>Karon Drive, Torbay, Newfoundland, Newfoundland and Labrador, A1K 1B6, Canada</t>
  </si>
  <si>
    <t>47.569986111</t>
  </si>
  <si>
    <t>-52.7221499999999</t>
  </si>
  <si>
    <t>47 - 34 - 11.95</t>
  </si>
  <si>
    <t>52 - 43 - 19.74</t>
  </si>
  <si>
    <t>Bonaventure Place, 95, Bonaventure Avenue, Churchill Park, St. John's, Newfoundland, Newfoundland and Labrador, A1C 3G3, Canada</t>
  </si>
  <si>
    <t>47.562536111</t>
  </si>
  <si>
    <t>-52.730636111</t>
  </si>
  <si>
    <t>47 - 33 - 45.13</t>
  </si>
  <si>
    <t>52 - 43 - 50.29</t>
  </si>
  <si>
    <t>251, Empire Avenue, Pennywell, St. John's, Newfoundland, Newfoundland and Labrador, A1C 3H9, Canada</t>
  </si>
  <si>
    <t>47.0775</t>
  </si>
  <si>
    <t>-52.9492</t>
  </si>
  <si>
    <t>47 - 4 - 39.0</t>
  </si>
  <si>
    <t>52 - 56 - 57.12</t>
  </si>
  <si>
    <t>52.5683333330001</t>
  </si>
  <si>
    <t>-65.8791666669999</t>
  </si>
  <si>
    <t>52 - 34 - 6.0</t>
  </si>
  <si>
    <t>65 - 52 - 45.0</t>
  </si>
  <si>
    <t>Oreway, Labrador, Newfoundland and Labrador, Canada</t>
  </si>
  <si>
    <t>47.5147527780001</t>
  </si>
  <si>
    <t>-52.8109249999999</t>
  </si>
  <si>
    <t>47 - 30 - 53.11</t>
  </si>
  <si>
    <t>52 - 48 - 39.33</t>
  </si>
  <si>
    <t>Norma's Avenue, Glendale, Mount Pearl, Newfoundland, Newfoundland and Labrador, A1N 4G5, Canada</t>
  </si>
  <si>
    <t>47.5676611110001</t>
  </si>
  <si>
    <t>-52.7135</t>
  </si>
  <si>
    <t>47 - 34 - 3.58</t>
  </si>
  <si>
    <t>52 - 42 - 48.6</t>
  </si>
  <si>
    <t>53.6175000000001</t>
  </si>
  <si>
    <t>-66.338888889</t>
  </si>
  <si>
    <t>53 - 37 - 3.0</t>
  </si>
  <si>
    <t>66 - 20 - 20.0</t>
  </si>
  <si>
    <t>Sawbill, Labrador, Newfoundland and Labrador, Canada</t>
  </si>
  <si>
    <t>47.016308333</t>
  </si>
  <si>
    <t>-52.8573777779999</t>
  </si>
  <si>
    <t>47 - 0 - 58.71</t>
  </si>
  <si>
    <t>52 - 51 - 26.56</t>
  </si>
  <si>
    <t>The Downs Road, Ferryland, Newfoundland, Newfoundland and Labrador, A0A 2H0, Canada</t>
  </si>
  <si>
    <t>51.3037305560001</t>
  </si>
  <si>
    <t>-56.725533333</t>
  </si>
  <si>
    <t>51 - 18 - 13.43</t>
  </si>
  <si>
    <t>56 - 43 - 31.92</t>
  </si>
  <si>
    <t>26, Grenfell Avenue, Flower's Cove, Newfoundland, Newfoundland and Labrador, A0K 2N0, Canada</t>
  </si>
  <si>
    <t>49.2524083330001</t>
  </si>
  <si>
    <t>-55.067808333</t>
  </si>
  <si>
    <t>49 - 15 - 8.67</t>
  </si>
  <si>
    <t>55 - 4 - 4.11</t>
  </si>
  <si>
    <t>Mike Austin Arena, Bowater Avenue, Lewisporte, Newfoundland, Newfoundland and Labrador, A0G 3A0, Canada</t>
  </si>
  <si>
    <t>49.0668138890001</t>
  </si>
  <si>
    <t>-58.3778833329999</t>
  </si>
  <si>
    <t>49 - 4 - 0.53</t>
  </si>
  <si>
    <t>58 - 22 - 40.38</t>
  </si>
  <si>
    <t>47.0950500000001</t>
  </si>
  <si>
    <t>-53.4826277779999</t>
  </si>
  <si>
    <t>47 - 5 - 42.18</t>
  </si>
  <si>
    <t>53 - 28 - 57.46</t>
  </si>
  <si>
    <t>53.707738889</t>
  </si>
  <si>
    <t>-57.0157444439999</t>
  </si>
  <si>
    <t>53 - 42 - 27.86</t>
  </si>
  <si>
    <t>57 - 0 - 56.68</t>
  </si>
  <si>
    <t>High Road, Cartwright, Labrador, Newfoundland and Labrador, Canada</t>
  </si>
  <si>
    <t>47.5725972220001</t>
  </si>
  <si>
    <t>-52.7330138889999</t>
  </si>
  <si>
    <t>47 - 34 - 21.35</t>
  </si>
  <si>
    <t>52 - 43 - 58.85</t>
  </si>
  <si>
    <t>Overpass, Memorial University of Newfoundland main campus, St. John's, Newfoundland, Newfoundland and Labrador, A1B 5S7, Canada</t>
  </si>
  <si>
    <t>47.5459277780001</t>
  </si>
  <si>
    <t>-52.7073972219999</t>
  </si>
  <si>
    <t>47 - 32 - 45.34</t>
  </si>
  <si>
    <t>52 - 42 - 26.63</t>
  </si>
  <si>
    <t>Horlick Avenue, Shea Heights, St. John's, Newfoundland, Newfoundland and Labrador, A1C 5J2, Canada</t>
  </si>
  <si>
    <t>47.570008333</t>
  </si>
  <si>
    <t>-52.734938889</t>
  </si>
  <si>
    <t>47 - 34 - 12.03</t>
  </si>
  <si>
    <t>52 - 44 - 5.78</t>
  </si>
  <si>
    <t>49.5019611110001</t>
  </si>
  <si>
    <t>-55.821188889</t>
  </si>
  <si>
    <t>49 - 30 - 7.06</t>
  </si>
  <si>
    <t>55 - 49 - 16.28</t>
  </si>
  <si>
    <t>47.578558333</t>
  </si>
  <si>
    <t>-52.700405556</t>
  </si>
  <si>
    <t>47 - 34 - 42.81</t>
  </si>
  <si>
    <t>52 - 42 - 1.46</t>
  </si>
  <si>
    <t>78, Kings Bridge Road, Glenridge Crescent, Mount Cashel, St. John's, Newfoundland, Newfoundland and Labrador, A1A 1H9, Canada</t>
  </si>
  <si>
    <t>47.5497472220001</t>
  </si>
  <si>
    <t>-52.752838889</t>
  </si>
  <si>
    <t>47 - 32 - 59.09</t>
  </si>
  <si>
    <t>52 - 45 - 10.22</t>
  </si>
  <si>
    <t>Elk Place, Mundy Pond, St. John's, Newfoundland, Newfoundland and Labrador, A1B 1A8, Canada</t>
  </si>
  <si>
    <t>49.0060111110001</t>
  </si>
  <si>
    <t>-58.121966667</t>
  </si>
  <si>
    <t>49 - 0 - 21.64</t>
  </si>
  <si>
    <t>58 - 7 - 19.08</t>
  </si>
  <si>
    <t>Park Drive, Humber Arm South, Newfoundland, Newfoundland and Labrador, A0L 1A0, Canada</t>
  </si>
  <si>
    <t>47.454827778</t>
  </si>
  <si>
    <t>-52.765938889</t>
  </si>
  <si>
    <t>47 - 27 - 17.38</t>
  </si>
  <si>
    <t>52 - 45 - 57.38</t>
  </si>
  <si>
    <t>Meadowbrook Drive, Goulds, St. John's, Newfoundland, Newfoundland and Labrador, A1S 1G7, Canada</t>
  </si>
  <si>
    <t>52.5437111110001</t>
  </si>
  <si>
    <t>-56.2970333329999</t>
  </si>
  <si>
    <t>52 - 32 - 37.36</t>
  </si>
  <si>
    <t>56 - 17 - 49.32</t>
  </si>
  <si>
    <t>51.0966666670001</t>
  </si>
  <si>
    <t>-55.7472194439999</t>
  </si>
  <si>
    <t>51 - 5 - 48.0</t>
  </si>
  <si>
    <t>55 - 44 - 49.99</t>
  </si>
  <si>
    <t>Plank Road, Grandois, Newfoundland, Newfoundland and Labrador, Canada</t>
  </si>
  <si>
    <t>47.5843055560001</t>
  </si>
  <si>
    <t>-52.7421944439999</t>
  </si>
  <si>
    <t>47 - 35 - 3.5</t>
  </si>
  <si>
    <t>52 - 44 - 31.9</t>
  </si>
  <si>
    <t>47.6107361110001</t>
  </si>
  <si>
    <t>-52.824675</t>
  </si>
  <si>
    <t>47 - 36 - 38.65</t>
  </si>
  <si>
    <t>52 - 49 - 28.83</t>
  </si>
  <si>
    <t>Kensington Lane, Portugal Cove - St. Philips, Newfoundland, Newfoundland and Labrador, A1M 3J8, Canada</t>
  </si>
  <si>
    <t>52.9433333330001</t>
  </si>
  <si>
    <t>-65.895277778</t>
  </si>
  <si>
    <t>52 - 56 - 36.0</t>
  </si>
  <si>
    <t>65 - 53 - 43.0</t>
  </si>
  <si>
    <t>49.0223</t>
  </si>
  <si>
    <t>-55.4583083329999</t>
  </si>
  <si>
    <t>49 - 1 - 20.28</t>
  </si>
  <si>
    <t>55 - 27 - 29.91</t>
  </si>
  <si>
    <t>Main Street, Bishops Falls, Bishop's Falls, Newfoundland, Newfoundland and Labrador, A0H 1C0, Canada</t>
  </si>
  <si>
    <t>48.5937888890001</t>
  </si>
  <si>
    <t>-58.661730556</t>
  </si>
  <si>
    <t>48 - 35 - 37.64</t>
  </si>
  <si>
    <t>58 - 39 - 42.23</t>
  </si>
  <si>
    <t>52.3663888890001</t>
  </si>
  <si>
    <t>-65.713333333</t>
  </si>
  <si>
    <t>52 - 21 - 59.0</t>
  </si>
  <si>
    <t>65 - 42 - 48.0</t>
  </si>
  <si>
    <t>47.9479805560001</t>
  </si>
  <si>
    <t>-53.333783333</t>
  </si>
  <si>
    <t>47 - 56 - 52.73</t>
  </si>
  <si>
    <t>53 - 20 - 1.62</t>
  </si>
  <si>
    <t>Sugarloaf Trail, Winterton, Newfoundland, Newfoundland and Labrador, Canada</t>
  </si>
  <si>
    <t>47.311397222</t>
  </si>
  <si>
    <t>-53.7782999999999</t>
  </si>
  <si>
    <t>47 - 18 - 41.03</t>
  </si>
  <si>
    <t>53 - 46 - 41.88</t>
  </si>
  <si>
    <t>47.5755611110001</t>
  </si>
  <si>
    <t>-52.6945888889999</t>
  </si>
  <si>
    <t>47 - 34 - 32.02</t>
  </si>
  <si>
    <t>52 - 41 - 40.52</t>
  </si>
  <si>
    <t>Miller Centre, Cavell Avenue, Fort William, St. John's, Newfoundland, Newfoundland and Labrador, A1C 1K4, Canada</t>
  </si>
  <si>
    <t>47.567361111</t>
  </si>
  <si>
    <t>-52.7197416669999</t>
  </si>
  <si>
    <t>47 - 34 - 2.5</t>
  </si>
  <si>
    <t>52 - 43 - 11.07</t>
  </si>
  <si>
    <t>Calver Street, Rabbittown, St. John's, Newfoundland, Newfoundland and Labrador, A1C 3G3, Canada</t>
  </si>
  <si>
    <t>47.5879444440001</t>
  </si>
  <si>
    <t>-52.712025</t>
  </si>
  <si>
    <t>47 - 35 - 16.6</t>
  </si>
  <si>
    <t>52 - 42 - 43.29</t>
  </si>
  <si>
    <t>Tiffany Court, Mount Cashel, St. John's, Newfoundland, Newfoundland and Labrador, A1A 2G9, Canada</t>
  </si>
  <si>
    <t>49.5036944440001</t>
  </si>
  <si>
    <t>-56.070191667</t>
  </si>
  <si>
    <t>49 - 30 - 13.3</t>
  </si>
  <si>
    <t>56 - 4 - 12.69</t>
  </si>
  <si>
    <t>47.4553138890001</t>
  </si>
  <si>
    <t>-52.7717916669999</t>
  </si>
  <si>
    <t>47 - 27 - 19.13</t>
  </si>
  <si>
    <t>52 - 46 - 18.45</t>
  </si>
  <si>
    <t>47.508822222</t>
  </si>
  <si>
    <t>-52.8210055559999</t>
  </si>
  <si>
    <t>47 - 30 - 31.76</t>
  </si>
  <si>
    <t>52 - 49 - 15.62</t>
  </si>
  <si>
    <t>1, Olympic Drive, Glenhill, Mount Pearl, Newfoundland, Newfoundland and Labrador, A1N 4Y1, Canada</t>
  </si>
  <si>
    <t>47.584552778</t>
  </si>
  <si>
    <t>-52.7014694439999</t>
  </si>
  <si>
    <t>47 - 35 - 4.39</t>
  </si>
  <si>
    <t>52 - 42 - 5.29</t>
  </si>
  <si>
    <t>Selfridge Road, Mount Cashel, St. John's, Newfoundland, Newfoundland and Labrador, A1A 1J1, Canada</t>
  </si>
  <si>
    <t>47.5534166670001</t>
  </si>
  <si>
    <t>-52.7433</t>
  </si>
  <si>
    <t>47 - 33 - 12.3</t>
  </si>
  <si>
    <t>52 - 44 - 35.88</t>
  </si>
  <si>
    <t>Erley Street, Mundy Pond, St. John's, Newfoundland, Newfoundland and Labrador, A1E 6C9, Canada</t>
  </si>
  <si>
    <t>47.5291611110001</t>
  </si>
  <si>
    <t>-52.824202778</t>
  </si>
  <si>
    <t>47 - 31 - 44.98</t>
  </si>
  <si>
    <t>52 - 49 - 27.13</t>
  </si>
  <si>
    <t>8, Thomas Byrne Drive, Donovans, Mount Pearl, Newfoundland, Newfoundland and Labrador, A1N 5E8, Canada</t>
  </si>
  <si>
    <t>52.7720166670001</t>
  </si>
  <si>
    <t>-56.1172</t>
  </si>
  <si>
    <t>52 - 46 - 19.26</t>
  </si>
  <si>
    <t>56 - 7 - 1.92</t>
  </si>
  <si>
    <t>Charlottetown, Labrador, Newfoundland and Labrador, Canada</t>
  </si>
  <si>
    <t>47.5493277780001</t>
  </si>
  <si>
    <t>-52.7082</t>
  </si>
  <si>
    <t>47 - 32 - 57.58</t>
  </si>
  <si>
    <t>52 - 42 - 29.52</t>
  </si>
  <si>
    <t>Barry Place, Shea Heights, St. John's, Newfoundland, Newfoundland and Labrador, A1E 1B7, Canada</t>
  </si>
  <si>
    <t>46.8007277780001</t>
  </si>
  <si>
    <t>-53.6383</t>
  </si>
  <si>
    <t>46 - 48 - 2.62</t>
  </si>
  <si>
    <t>53 - 38 - 17.88</t>
  </si>
  <si>
    <t>St Vincent's, St. Vincent's - St. Stephen's - Peter's River, Newfoundland, Newfoundland and Labrador, Canada</t>
  </si>
  <si>
    <t>47.5955083330001</t>
  </si>
  <si>
    <t>-52.7262111109999</t>
  </si>
  <si>
    <t>47 - 35 - 43.83</t>
  </si>
  <si>
    <t>52 - 43 - 34.36</t>
  </si>
  <si>
    <t>Portugal Cove Road, Spruce Meadows, St. John's, Newfoundland, Newfoundland and Labrador, A1B 4N4, Canada</t>
  </si>
  <si>
    <t>48.718297222</t>
  </si>
  <si>
    <t>-58.155</t>
  </si>
  <si>
    <t>48 - 43 - 5.87</t>
  </si>
  <si>
    <t>58 - 9 - 18.0</t>
  </si>
  <si>
    <t>48.0873916670001</t>
  </si>
  <si>
    <t>48 - 5 - 14.61</t>
  </si>
  <si>
    <t>Coish's Road, Bay De Verde, Newfoundland, Newfoundland and Labrador, Canada</t>
  </si>
  <si>
    <t>47.635497222</t>
  </si>
  <si>
    <t>-52.730702778</t>
  </si>
  <si>
    <t>47 - 38 - 7.79</t>
  </si>
  <si>
    <t>52 - 43 - 50.53</t>
  </si>
  <si>
    <t>Pine Ridge Crescent, Torbay, Newfoundland, Newfoundland and Labrador, A1K 1A5, Canada</t>
  </si>
  <si>
    <t>47.5966000000001</t>
  </si>
  <si>
    <t>-52.7257</t>
  </si>
  <si>
    <t>47 - 35 - 47.76</t>
  </si>
  <si>
    <t>52 - 43 - 32.52</t>
  </si>
  <si>
    <t>9, Musgrave Street, Spruce Meadows, St. John's, Newfoundland, Newfoundland and Labrador, A1B 2N7, Canada</t>
  </si>
  <si>
    <t>56.5469416670001</t>
  </si>
  <si>
    <t>-61.7125</t>
  </si>
  <si>
    <t>56 - 32 - 48.99</t>
  </si>
  <si>
    <t>61 - 42 - 45.0</t>
  </si>
  <si>
    <t>49.3389083330001</t>
  </si>
  <si>
    <t>-55.4035388889999</t>
  </si>
  <si>
    <t>49 - 20 - 20.07</t>
  </si>
  <si>
    <t>55 - 24 - 12.74</t>
  </si>
  <si>
    <t>Leamington Heights, Point Leamington, Newfoundland, Newfoundland and Labrador, A0H 1Z0, Canada</t>
  </si>
  <si>
    <t>52.1652222220001</t>
  </si>
  <si>
    <t>-65.697361111</t>
  </si>
  <si>
    <t>52 - 9 - 54.8</t>
  </si>
  <si>
    <t>65 - 41 - 50.5</t>
  </si>
  <si>
    <t>54.1761111110001</t>
  </si>
  <si>
    <t>-66.5066666669999</t>
  </si>
  <si>
    <t>54 - 10 - 34.0</t>
  </si>
  <si>
    <t>66 - 30 - 24.0</t>
  </si>
  <si>
    <t>Faden, Labrador, Newfoundland and Labrador, Canada</t>
  </si>
  <si>
    <t>47.5943361110001</t>
  </si>
  <si>
    <t>-52.7304583329999</t>
  </si>
  <si>
    <t>47 - 35 - 39.61</t>
  </si>
  <si>
    <t>52 - 43 - 49.65</t>
  </si>
  <si>
    <t>Brother McSheffrey Lane, Bells Turn, St. John's, Newfoundland, Newfoundland and Labrador, A1B 2L3, Canada</t>
  </si>
  <si>
    <t>47.5137361110001</t>
  </si>
  <si>
    <t>-52.8043638889999</t>
  </si>
  <si>
    <t>47 - 30 - 49.45</t>
  </si>
  <si>
    <t>52 - 48 - 15.71</t>
  </si>
  <si>
    <t>Smallwood Drive, Glendale, Mount Pearl, Newfoundland, Newfoundland and Labrador, A1N 4G5, Canada</t>
  </si>
  <si>
    <t>47.546577778</t>
  </si>
  <si>
    <t>-52.8015694439999</t>
  </si>
  <si>
    <t>47 - 32 - 47.68</t>
  </si>
  <si>
    <t>52 - 48 - 5.65</t>
  </si>
  <si>
    <t>Orlando Place, Kenmount Terrace, St. John's, Newfoundland, Newfoundland and Labrador, A1N 0G4, Canada</t>
  </si>
  <si>
    <t>47.6073638890001</t>
  </si>
  <si>
    <t>-52.720491667</t>
  </si>
  <si>
    <t>47 - 36 - 26.51</t>
  </si>
  <si>
    <t>52 - 43 - 13.77</t>
  </si>
  <si>
    <t>Torbay Rd 464 at Dulux Paints, Torbay Road, Eastbourne Crescent, St. John's, Newfoundland, Newfoundland and Labrador, A1A 5J3, Canada</t>
  </si>
  <si>
    <t>47.5824138890001</t>
  </si>
  <si>
    <t>-52.703330556</t>
  </si>
  <si>
    <t>47 - 34 - 56.69</t>
  </si>
  <si>
    <t>52 - 42 - 11.99</t>
  </si>
  <si>
    <t>6, Logy Bay Road, Mount Cashel, St. John's, Newfoundland, Newfoundland and Labrador, A1A 1J1, Canada</t>
  </si>
  <si>
    <t>47.587077778</t>
  </si>
  <si>
    <t>-59.1655361109999</t>
  </si>
  <si>
    <t>47 - 35 - 13.48</t>
  </si>
  <si>
    <t>59 - 9 - 55.93</t>
  </si>
  <si>
    <t>Grand Bay Mall, Grand Bay Road, Channel-Port aux Basques, Newfoundland, Newfoundland and Labrador, A0M 1C0, Canada</t>
  </si>
  <si>
    <t>47.5622472220001</t>
  </si>
  <si>
    <t>-52.7097416669999</t>
  </si>
  <si>
    <t>47 - 33 - 44.09</t>
  </si>
  <si>
    <t>52 - 42 - 35.07</t>
  </si>
  <si>
    <t>Yellowbelly Brewery, 288, Water Street, Downtown, St. John's, Newfoundland, Newfoundland and Labrador, A1C 5J9, Canada</t>
  </si>
  <si>
    <t>47.585819444</t>
  </si>
  <si>
    <t>-52.7365944439999</t>
  </si>
  <si>
    <t>47 - 35 - 8.95</t>
  </si>
  <si>
    <t>52 - 44 - 11.74</t>
  </si>
  <si>
    <t>Memorial University of Newfoundland and Labrador, Ridge Road, Bells Turn, St. John's, Newfoundland, Newfoundland and Labrador, A1B 5S7, Canada</t>
  </si>
  <si>
    <t>47.572869444</t>
  </si>
  <si>
    <t>-52.689861111</t>
  </si>
  <si>
    <t>47 - 34 - 22.33</t>
  </si>
  <si>
    <t>52 - 41 - 23.5</t>
  </si>
  <si>
    <t>Johnson GEO CENTRE, 175, Signal Hill Road, Signal Hill, St. John's, Newfoundland, Newfoundland and Labrador, A1A 3T3, Canada</t>
  </si>
  <si>
    <t>47.5855000000001</t>
  </si>
  <si>
    <t>-52.7268</t>
  </si>
  <si>
    <t>47 - 35 - 7.8</t>
  </si>
  <si>
    <t>52 - 43 - 36.48</t>
  </si>
  <si>
    <t>Office of the Chief Information Officer, 40, Higgins Line, Pippy Park, St. John's, Newfoundland, Newfoundland and Labrador, A1B 4J6, Canada</t>
  </si>
  <si>
    <t>48.95655</t>
  </si>
  <si>
    <t>-57.928333333</t>
  </si>
  <si>
    <t>48 - 57 - 23.58</t>
  </si>
  <si>
    <t>57 - 55 - 42.0</t>
  </si>
  <si>
    <t>Fudge's Road, Corner Brook, Newfoundland, Newfoundland and Labrador, A2H 1K9, Canada</t>
  </si>
  <si>
    <t>49.077669444</t>
  </si>
  <si>
    <t>-58.3729638889999</t>
  </si>
  <si>
    <t>49 - 4 - 39.61</t>
  </si>
  <si>
    <t>58 - 22 - 22.67</t>
  </si>
  <si>
    <t>450, Lark Harbour, Newfoundland, Newfoundland and Labrador, Canada</t>
  </si>
  <si>
    <t>47.6277777780001</t>
  </si>
  <si>
    <t>-53.834458333</t>
  </si>
  <si>
    <t>47 - 37 - 40.0</t>
  </si>
  <si>
    <t>53 - 50 - 4.05</t>
  </si>
  <si>
    <t>47.631069444</t>
  </si>
  <si>
    <t>-52.730905556</t>
  </si>
  <si>
    <t>47 - 37 - 51.85</t>
  </si>
  <si>
    <t>52 - 43 - 51.26</t>
  </si>
  <si>
    <t>47.594352778</t>
  </si>
  <si>
    <t>-52.727630556</t>
  </si>
  <si>
    <t>47 - 35 - 39.67</t>
  </si>
  <si>
    <t>52 - 43 - 39.47</t>
  </si>
  <si>
    <t>Higgins Line, Kent's Pond, St. John's, Newfoundland, Newfoundland and Labrador, A1B 4N4, Canada</t>
  </si>
  <si>
    <t>52.9444444440001</t>
  </si>
  <si>
    <t>-66.898833333</t>
  </si>
  <si>
    <t>52 - 56 - 40.0</t>
  </si>
  <si>
    <t>66 - 53 - 55.8</t>
  </si>
  <si>
    <t>Great Canadian Dollar Store, 114-116, Airport Road, Labrador City's Commercial Zone, Labrador City, Labrador, Newfoundland and Labrador, A2V 2X8, Canada</t>
  </si>
  <si>
    <t>47.2619527780001</t>
  </si>
  <si>
    <t>-53.981736111</t>
  </si>
  <si>
    <t>47 - 15 - 43.03</t>
  </si>
  <si>
    <t>53 - 58 - 54.25</t>
  </si>
  <si>
    <t>52.6761111110001</t>
  </si>
  <si>
    <t>-66.038055556</t>
  </si>
  <si>
    <t>52 - 40 - 34.0</t>
  </si>
  <si>
    <t>66 - 2 - 17.0</t>
  </si>
  <si>
    <t>47.0869388890001</t>
  </si>
  <si>
    <t>-55.773333333</t>
  </si>
  <si>
    <t>47 - 5 - 12.98</t>
  </si>
  <si>
    <t>55 - 46 - 24.0</t>
  </si>
  <si>
    <t>Burin Peninsula Highway, Grand Bank, Newfoundland, Newfoundland and Labrador, A0E 1W0, Canada</t>
  </si>
  <si>
    <t>48.960161111</t>
  </si>
  <si>
    <t>-57.923605556</t>
  </si>
  <si>
    <t>48 - 57 - 36.58</t>
  </si>
  <si>
    <t>57 - 55 - 24.98</t>
  </si>
  <si>
    <t>Walmart, 16, Clarence Street, Corner Brook, Newfoundland, Newfoundland and Labrador, A2H 1R4, Canada</t>
  </si>
  <si>
    <t>48.9532083330001</t>
  </si>
  <si>
    <t>-58.017341667</t>
  </si>
  <si>
    <t>48 - 57 - 11.55</t>
  </si>
  <si>
    <t>58 - 1 - 2.43</t>
  </si>
  <si>
    <t>Ridgewood Avenue, Corner Brook, Newfoundland, Newfoundland and Labrador, A2H 3P5, Canada</t>
  </si>
  <si>
    <t>49.072022222</t>
  </si>
  <si>
    <t>-58.3761499999999</t>
  </si>
  <si>
    <t>49 - 4 - 19.28</t>
  </si>
  <si>
    <t>58 - 22 - 34.14</t>
  </si>
  <si>
    <t>49.1978194440001</t>
  </si>
  <si>
    <t>-55.3683694439999</t>
  </si>
  <si>
    <t>49 - 11 - 52.15</t>
  </si>
  <si>
    <t>55 - 22 - 6.13</t>
  </si>
  <si>
    <t>Northern Arm, Newfoundland, Newfoundland and Labrador, Canada</t>
  </si>
  <si>
    <t>47.5126194440001</t>
  </si>
  <si>
    <t>-52.800927778</t>
  </si>
  <si>
    <t>47 - 30 - 45.43</t>
  </si>
  <si>
    <t>52 - 48 - 3.34</t>
  </si>
  <si>
    <t>Commonwealth Avenue, Glendale, Mount Pearl, Newfoundland, Newfoundland and Labrador, A1N 4G5, Canada</t>
  </si>
  <si>
    <t>47.5588527780001</t>
  </si>
  <si>
    <t>-52.769286111</t>
  </si>
  <si>
    <t>47 - 33 - 31.87</t>
  </si>
  <si>
    <t>52 - 46 - 9.43</t>
  </si>
  <si>
    <t>Pippy Place - # 32 (Downeast), Pippy Place, O'Leary's, St. John's, Newfoundland, Newfoundland and Labrador, A1B 1W0, Canada</t>
  </si>
  <si>
    <t>50.8952416670001</t>
  </si>
  <si>
    <t>-55.8847777779999</t>
  </si>
  <si>
    <t>50 - 53 - 42.87</t>
  </si>
  <si>
    <t>55 - 53 - 5.2</t>
  </si>
  <si>
    <t>Conche, Newfoundland, Newfoundland and Labrador, Canada</t>
  </si>
  <si>
    <t>47.5463833330001</t>
  </si>
  <si>
    <t>-52.7496305559999</t>
  </si>
  <si>
    <t>47 - 32 - 46.98</t>
  </si>
  <si>
    <t>52 - 44 - 58.67</t>
  </si>
  <si>
    <t>Coefield Street, L'il Bride, Mundy Pond, St. John's, Newfoundland, Newfoundland and Labrador, A1E 6C9, Canada</t>
  </si>
  <si>
    <t>47.5569583330001</t>
  </si>
  <si>
    <t>-52.735416667</t>
  </si>
  <si>
    <t>47 - 33 - 25.05</t>
  </si>
  <si>
    <t>52 - 44 - 7.5</t>
  </si>
  <si>
    <t>50, Ropewalk Lane, Mundy Pond, St. John's, Newfoundland, Newfoundland and Labrador, A1E 4P1, Canada</t>
  </si>
  <si>
    <t>47.539341667</t>
  </si>
  <si>
    <t>-52.8670194439999</t>
  </si>
  <si>
    <t>47 - 32 - 21.63</t>
  </si>
  <si>
    <t>52 - 52 - 1.27</t>
  </si>
  <si>
    <t>Kipawa Drive, Paradise, Newfoundland, Newfoundland and Labrador, A1L 1R1, Canada</t>
  </si>
  <si>
    <t>47.649566667</t>
  </si>
  <si>
    <t>-52.698194444</t>
  </si>
  <si>
    <t>47 - 38 - 58.44</t>
  </si>
  <si>
    <t>52 - 41 - 53.5</t>
  </si>
  <si>
    <t>Marine Drive, Logy Bay-Middle Cove-Outer Cove, Newfoundland, Newfoundland and Labrador, A1K 1A9, Canada</t>
  </si>
  <si>
    <t>47.4824611110001</t>
  </si>
  <si>
    <t>-53.0166027779999</t>
  </si>
  <si>
    <t>47 - 28 - 56.86</t>
  </si>
  <si>
    <t>53 - 0 - 59.77</t>
  </si>
  <si>
    <t>47.5978388890001</t>
  </si>
  <si>
    <t>-52.7279583329999</t>
  </si>
  <si>
    <t>47 - 35 - 52.22</t>
  </si>
  <si>
    <t>52 - 43 - 40.65</t>
  </si>
  <si>
    <t>Portugal Cove Road, Bells Turn, St. John's, Newfoundland, Newfoundland and Labrador, A1B 4N4, Canada</t>
  </si>
  <si>
    <t>52.906825</t>
  </si>
  <si>
    <t>-66.957222222</t>
  </si>
  <si>
    <t>52 - 54 - 24.57</t>
  </si>
  <si>
    <t>66 - 57 - 26.0</t>
  </si>
  <si>
    <t>48.9371194440001</t>
  </si>
  <si>
    <t>-57.886930556</t>
  </si>
  <si>
    <t>48 - 56 - 13.63</t>
  </si>
  <si>
    <t>57 - 53 - 12.95</t>
  </si>
  <si>
    <t>Keith Street, Massey Drive, Newfoundland, Newfoundland and Labrador, A2H 7K5, Canada</t>
  </si>
  <si>
    <t>47.5489805560001</t>
  </si>
  <si>
    <t>-52.750127778</t>
  </si>
  <si>
    <t>47 - 32 - 56.33</t>
  </si>
  <si>
    <t>52 - 45 - 0.46</t>
  </si>
  <si>
    <t>Empire Avenue, L'il Bride, Mundy Pond, St. John's, Newfoundland, Newfoundland and Labrador, A1B 1A8, Canada</t>
  </si>
  <si>
    <t>47.592025</t>
  </si>
  <si>
    <t>-52.731188889</t>
  </si>
  <si>
    <t>47 - 35 - 31.29</t>
  </si>
  <si>
    <t>52 - 43 - 52.28</t>
  </si>
  <si>
    <t>27, Fox Avenue, Bells Turn, St. John's, Newfoundland, Newfoundland and Labrador, A1A 2H5, Canada</t>
  </si>
  <si>
    <t>48.955755556</t>
  </si>
  <si>
    <t>-55.792233333</t>
  </si>
  <si>
    <t>48 - 57 - 20.72</t>
  </si>
  <si>
    <t>55 - 47 - 32.04</t>
  </si>
  <si>
    <t>Trans Canada Highway, Grand Falls-Windsor, Newfoundland, Newfoundland and Labrador, Canada</t>
  </si>
  <si>
    <t>48.614169444</t>
  </si>
  <si>
    <t>-53.153330556</t>
  </si>
  <si>
    <t>48 - 36 - 51.01</t>
  </si>
  <si>
    <t>53 - 9 - 11.99</t>
  </si>
  <si>
    <t>50.144719444</t>
  </si>
  <si>
    <t>-57.6263861109999</t>
  </si>
  <si>
    <t>50 - 8 - 40.99</t>
  </si>
  <si>
    <t>57 - 37 - 34.99</t>
  </si>
  <si>
    <t>Portland Creek, Newfoundland, Newfoundland and Labrador, Canada</t>
  </si>
  <si>
    <t>47.4630666670001</t>
  </si>
  <si>
    <t>-52.771427778</t>
  </si>
  <si>
    <t>47 - 27 - 47.04</t>
  </si>
  <si>
    <t>52 - 46 - 17.14</t>
  </si>
  <si>
    <t>Jungle Jims, Main Road, Goulds, St. John's, Newfoundland, Newfoundland and Labrador, A1G 1C4, Canada</t>
  </si>
  <si>
    <t>47.589630556</t>
  </si>
  <si>
    <t>-59.1632361109999</t>
  </si>
  <si>
    <t>47 - 35 - 22.67</t>
  </si>
  <si>
    <t>59 - 9 - 47.65</t>
  </si>
  <si>
    <t>49.2101805560001</t>
  </si>
  <si>
    <t>-57.3988388889999</t>
  </si>
  <si>
    <t>49 - 12 - 36.65</t>
  </si>
  <si>
    <t>57 - 23 - 55.82</t>
  </si>
  <si>
    <t>Airport Road, Deer Lake, Newfoundland, Newfoundland and Labrador, A8A 2E0, Canada</t>
  </si>
  <si>
    <t>48.9576638890001</t>
  </si>
  <si>
    <t>-57.9192666669999</t>
  </si>
  <si>
    <t>48 - 57 - 27.59</t>
  </si>
  <si>
    <t>57 - 55 - 9.36</t>
  </si>
  <si>
    <t>Winners, 35, Confederation Drive, Corner Brook, Newfoundland, Newfoundland and Labrador, A2H 1R4, Canada</t>
  </si>
  <si>
    <t>47.867783333</t>
  </si>
  <si>
    <t>-53.363233333</t>
  </si>
  <si>
    <t>47 - 52 - 4.02</t>
  </si>
  <si>
    <t>53 - 21 - 47.64</t>
  </si>
  <si>
    <t>Baccalieu Trail, Heart's Content, Newfoundland, Newfoundland and Labrador, A0B 1Z0, Canada</t>
  </si>
  <si>
    <t>47.537480556</t>
  </si>
  <si>
    <t>-52.858438889</t>
  </si>
  <si>
    <t>47 - 32 - 14.93</t>
  </si>
  <si>
    <t>52 - 51 - 30.38</t>
  </si>
  <si>
    <t>Paradise Softball Complex Parking Lot, 80 - 90, Milton Road, Donovan Terrace, Paradise, Newfoundland, Newfoundland and Labrador, A1L 2K5, Canada</t>
  </si>
  <si>
    <t>47.2849000000001</t>
  </si>
  <si>
    <t>-52.8319999999999</t>
  </si>
  <si>
    <t>47 - 17 - 5.64</t>
  </si>
  <si>
    <t>52 - 49 - 55.2</t>
  </si>
  <si>
    <t>Fisherman's Road, Witless Bay, Newfoundland, Newfoundland and Labrador, A0A 4K0, Canada</t>
  </si>
  <si>
    <t>47.586005556</t>
  </si>
  <si>
    <t>-52.694619444</t>
  </si>
  <si>
    <t>47 - 35 - 9.62</t>
  </si>
  <si>
    <t>52 - 41 - 40.63</t>
  </si>
  <si>
    <t>Placentia Place, Pleasantville, St. John's, Newfoundland, Newfoundland and Labrador, A1A 0L8, Canada</t>
  </si>
  <si>
    <t>49.9127472220001</t>
  </si>
  <si>
    <t>-57.795011111</t>
  </si>
  <si>
    <t>49 - 54 - 45.89</t>
  </si>
  <si>
    <t>57 - 47 - 42.04</t>
  </si>
  <si>
    <t>Loop Road, Cow Head, Newfoundland, Newfoundland and Labrador, A0K 4Y0, Canada</t>
  </si>
  <si>
    <t>47.519163889</t>
  </si>
  <si>
    <t>-57.389719444</t>
  </si>
  <si>
    <t>47 - 31 - 8.99</t>
  </si>
  <si>
    <t>57 - 23 - 22.99</t>
  </si>
  <si>
    <t>Valley Road, Ramea, Newfoundland, Newfoundland and Labrador, A0N 2J0, Canada</t>
  </si>
  <si>
    <t>47.559913889</t>
  </si>
  <si>
    <t>-52.776111111</t>
  </si>
  <si>
    <t>47 - 33 - 35.69</t>
  </si>
  <si>
    <t>52 - 46 - 34.0</t>
  </si>
  <si>
    <t>Newfoundland Power, 50, Duffy Place, O'Leary's, St. John's, Newfoundland, Newfoundland and Labrador, A1B 4M3, Canada</t>
  </si>
  <si>
    <t>47.560244444</t>
  </si>
  <si>
    <t>-52.758472222</t>
  </si>
  <si>
    <t>47 - 33 - 36.88</t>
  </si>
  <si>
    <t>52 - 45 - 30.5</t>
  </si>
  <si>
    <t>Dollarama, 29, O'Leary Avenue, O'Leary's, St. John's, Newfoundland, Newfoundland and Labrador, A1B 4R7, Canada</t>
  </si>
  <si>
    <t>47.583027778</t>
  </si>
  <si>
    <t>-59.1639222219999</t>
  </si>
  <si>
    <t>47 - 34 - 58.9</t>
  </si>
  <si>
    <t>59 - 9 - 50.12</t>
  </si>
  <si>
    <t>Bruce II Sports Centre, 200, Hardy's Arterial Road, Channel-Port aux Basques, Newfoundland, Newfoundland and Labrador, A0M 1C0, Canada</t>
  </si>
  <si>
    <t>47.6358527780001</t>
  </si>
  <si>
    <t>-52.735780556</t>
  </si>
  <si>
    <t>47 - 38 - 9.07</t>
  </si>
  <si>
    <t>52 - 44 - 8.81</t>
  </si>
  <si>
    <t>Quarry Road Extension, Torbay, Newfoundland, Newfoundland and Labrador, A1K 1A5, Canada</t>
  </si>
  <si>
    <t>47.539927778</t>
  </si>
  <si>
    <t>-52.922633333</t>
  </si>
  <si>
    <t>47 - 32 - 23.74</t>
  </si>
  <si>
    <t>52 - 55 - 21.48</t>
  </si>
  <si>
    <t>-55.7472222219999</t>
  </si>
  <si>
    <t>55 - 44 - 50.0</t>
  </si>
  <si>
    <t>47.5981694440001</t>
  </si>
  <si>
    <t>-59.179036111</t>
  </si>
  <si>
    <t>47 - 35 - 53.41</t>
  </si>
  <si>
    <t>59 - 10 - 44.53</t>
  </si>
  <si>
    <t>Grand Bay Road West, Channel-Port aux Basques, Newfoundland, Newfoundland and Labrador, A0M 1C0, Canada</t>
  </si>
  <si>
    <t>-52.794472222</t>
  </si>
  <si>
    <t>52 - 47 - 40.1</t>
  </si>
  <si>
    <t>Indian Meal Line, Portugal Cove - St. Philips, Newfoundland, Newfoundland and Labrador, A1K 0A7, Canada</t>
  </si>
  <si>
    <t>54.8002777780001</t>
  </si>
  <si>
    <t>-66.851944444</t>
  </si>
  <si>
    <t>54 - 48 - 1.0</t>
  </si>
  <si>
    <t>66 - 51 - 7.0</t>
  </si>
  <si>
    <t>53.0647222220001</t>
  </si>
  <si>
    <t>-66.4941666669999</t>
  </si>
  <si>
    <t>53 - 3 - 53.0</t>
  </si>
  <si>
    <t>66 - 29 - 39.0</t>
  </si>
  <si>
    <t>Trans-Labrador Highway, Labrador, Newfoundland and Labrador, Canada</t>
  </si>
  <si>
    <t>47.5156944440001</t>
  </si>
  <si>
    <t>-52.8061611109999</t>
  </si>
  <si>
    <t>47 - 30 - 56.5</t>
  </si>
  <si>
    <t>52 - 48 - 22.18</t>
  </si>
  <si>
    <t>Our Pleasure, 50, Commonwealth Avenue, Glendale, Mount Pearl, Newfoundland, Newfoundland and Labrador, A1N 1W8, Canada</t>
  </si>
  <si>
    <t>47.5321916670001</t>
  </si>
  <si>
    <t>-52.855161111</t>
  </si>
  <si>
    <t>47 - 31 - 55.89</t>
  </si>
  <si>
    <t>52 - 51 - 18.58</t>
  </si>
  <si>
    <t>Karwood Drive, Karwood Estates, Paradise, Newfoundland, Newfoundland and Labrador, A1L 1H6, Canada</t>
  </si>
  <si>
    <t>47.8299388890001</t>
  </si>
  <si>
    <t>-53.940958333</t>
  </si>
  <si>
    <t>47 - 49 - 47.78</t>
  </si>
  <si>
    <t>53 - 56 - 27.45</t>
  </si>
  <si>
    <t>49.7149027780001</t>
  </si>
  <si>
    <t>-54.276108333</t>
  </si>
  <si>
    <t>49 - 42 - 53.65</t>
  </si>
  <si>
    <t>54 - 16 - 33.99</t>
  </si>
  <si>
    <t>Fogo, Newfoundland, Newfoundland and Labrador, A0G 2B0, Canada</t>
  </si>
  <si>
    <t>48.9442750000001</t>
  </si>
  <si>
    <t>-57.949019444</t>
  </si>
  <si>
    <t>48 - 56 - 39.39</t>
  </si>
  <si>
    <t>57 - 56 - 56.47</t>
  </si>
  <si>
    <t>Pioneer Street, Corner Brook, Newfoundland, Newfoundland and Labrador, A2H 5M7, Canada</t>
  </si>
  <si>
    <t>47.589497222</t>
  </si>
  <si>
    <t>-52.7022638889999</t>
  </si>
  <si>
    <t>47 - 35 - 22.19</t>
  </si>
  <si>
    <t>52 - 42 - 8.15</t>
  </si>
  <si>
    <t>5, Hutton Road, Mount Cashel, St. John's, Newfoundland, Newfoundland and Labrador, A1A 2K1, Canada</t>
  </si>
  <si>
    <t>47.5434277780001</t>
  </si>
  <si>
    <t>-52.716597222</t>
  </si>
  <si>
    <t>47 - 32 - 36.34</t>
  </si>
  <si>
    <t>52 - 42 - 59.75</t>
  </si>
  <si>
    <t>47.6947250000001</t>
  </si>
  <si>
    <t>-53.2132583329999</t>
  </si>
  <si>
    <t>47 - 41 - 41.01</t>
  </si>
  <si>
    <t>53 - 12 - 47.73</t>
  </si>
  <si>
    <t>47.5703833330001</t>
  </si>
  <si>
    <t>-52.7105194439999</t>
  </si>
  <si>
    <t>47 - 34 - 13.38</t>
  </si>
  <si>
    <t>52 - 42 - 37.87</t>
  </si>
  <si>
    <t>47, Monkstown Road, Georgestown, St. John's, Newfoundland, Newfoundland and Labrador, A1C 3E7, Canada</t>
  </si>
  <si>
    <t>49.070516667</t>
  </si>
  <si>
    <t>-58.117969444</t>
  </si>
  <si>
    <t>49 - 4 - 13.86</t>
  </si>
  <si>
    <t>58 - 7 - 4.69</t>
  </si>
  <si>
    <t>Ricketts Road, McIver's, Newfoundland, Newfoundland and Labrador, Canada</t>
  </si>
  <si>
    <t>47.634244444</t>
  </si>
  <si>
    <t>-52.734025</t>
  </si>
  <si>
    <t>47 - 38 - 3.28</t>
  </si>
  <si>
    <t>52 - 44 - 2.49</t>
  </si>
  <si>
    <t>47.2620000000001</t>
  </si>
  <si>
    <t>-53.9802</t>
  </si>
  <si>
    <t>47 - 15 - 43.2</t>
  </si>
  <si>
    <t>53 - 58 - 48.72</t>
  </si>
  <si>
    <t>47.6327666670001</t>
  </si>
  <si>
    <t>-52.723891667</t>
  </si>
  <si>
    <t>47 - 37 - 57.96</t>
  </si>
  <si>
    <t>52 - 43 - 26.01</t>
  </si>
  <si>
    <t>Pine Line, Torbay, Newfoundland, Newfoundland and Labrador, A1K 1A5, Canada</t>
  </si>
  <si>
    <t>52.1652777780001</t>
  </si>
  <si>
    <t>-65.6974999999999</t>
  </si>
  <si>
    <t>52 - 9 - 55.0</t>
  </si>
  <si>
    <t>65 - 41 - 51.0</t>
  </si>
  <si>
    <t>48.9587805560001</t>
  </si>
  <si>
    <t>-57.930213889</t>
  </si>
  <si>
    <t>48 - 57 - 31.61</t>
  </si>
  <si>
    <t>57 - 55 - 48.77</t>
  </si>
  <si>
    <t>Olympic Place, Corner Brook, Newfoundland, Newfoundland and Labrador, A2H 1K9, Canada</t>
  </si>
  <si>
    <t>47.530994444</t>
  </si>
  <si>
    <t>-52.9192027779999</t>
  </si>
  <si>
    <t>47 - 31 - 51.58</t>
  </si>
  <si>
    <t>52 - 55 - 9.13</t>
  </si>
  <si>
    <t>Ortega Drive, Topsail, Conception Bay South, Newfoundland, Newfoundland and Labrador, A1W 5P9, Canada</t>
  </si>
  <si>
    <t>47.5531388890001</t>
  </si>
  <si>
    <t>-52.750813889</t>
  </si>
  <si>
    <t>47 - 33 - 11.3</t>
  </si>
  <si>
    <t>52 - 45 - 2.93</t>
  </si>
  <si>
    <t>Beothuck Street, Mundy Pond, St. John's, Newfoundland, Newfoundland and Labrador, A1B 1A8, Canada</t>
  </si>
  <si>
    <t>47.5547250000001</t>
  </si>
  <si>
    <t>-52.7838277779999</t>
  </si>
  <si>
    <t>47 - 33 - 17.01</t>
  </si>
  <si>
    <t>52 - 47 - 1.78</t>
  </si>
  <si>
    <t>Walmart Supercentre, 75, Kelsey Drive, Kelsey Drive Commercial Power Centre, St. John's, Newfoundland, Newfoundland and Labrador, A1B 5C8, Canada</t>
  </si>
  <si>
    <t>47.328611111</t>
  </si>
  <si>
    <t>-53.1238888889999</t>
  </si>
  <si>
    <t>47 - 19 - 43.0</t>
  </si>
  <si>
    <t>53 - 7 - 26.0</t>
  </si>
  <si>
    <t>49.5856694440001</t>
  </si>
  <si>
    <t>-56.177822222</t>
  </si>
  <si>
    <t>49 - 35 - 8.41</t>
  </si>
  <si>
    <t>56 - 10 - 40.16</t>
  </si>
  <si>
    <t>Bayside Drive, King's Point, Newfoundland, Newfoundland and Labrador, A0J 1H0, Canada</t>
  </si>
  <si>
    <t>46.8811666670001</t>
  </si>
  <si>
    <t>-55.6628916669999</t>
  </si>
  <si>
    <t>46 - 52 - 52.2</t>
  </si>
  <si>
    <t>55 - 39 - 46.41</t>
  </si>
  <si>
    <t>Back Road, Lord's Cove, Newfoundland, Newfoundland and Labrador, Canada</t>
  </si>
  <si>
    <t>48.9418972220001</t>
  </si>
  <si>
    <t>-55.6630916669999</t>
  </si>
  <si>
    <t>48 - 56 - 30.83</t>
  </si>
  <si>
    <t>55 - 39 - 47.13</t>
  </si>
  <si>
    <t>Corduroy Brook Trail, Windsor, Grand Falls-Windsor, Newfoundland, Newfoundland and Labrador, A2A 1X1, Canada</t>
  </si>
  <si>
    <t>47.797369444</t>
  </si>
  <si>
    <t>-53.9922999999999</t>
  </si>
  <si>
    <t>47 - 47 - 50.53</t>
  </si>
  <si>
    <t>53 - 59 - 32.28</t>
  </si>
  <si>
    <t>Refinery Road, Come By Chance, Newfoundland, Newfoundland and Labrador, Canada</t>
  </si>
  <si>
    <t>51.4773027780001</t>
  </si>
  <si>
    <t>-56.957230556</t>
  </si>
  <si>
    <t>51 - 28 - 38.29</t>
  </si>
  <si>
    <t>56 - 57 - 26.03</t>
  </si>
  <si>
    <t>Southern Labrador Highway, Forteau, Labrador, Newfoundland and Labrador, A0K 2P0, Canada</t>
  </si>
  <si>
    <t>52.305747222</t>
  </si>
  <si>
    <t>-55.844047222</t>
  </si>
  <si>
    <t>52 - 18 - 20.69</t>
  </si>
  <si>
    <t>55 - 50 - 38.57</t>
  </si>
  <si>
    <t>Mary’s Harbour, Mary's Harbour, Labrador, Newfoundland and Labrador, Canada</t>
  </si>
  <si>
    <t>47.536725</t>
  </si>
  <si>
    <t>-52.840955556</t>
  </si>
  <si>
    <t>47 - 32 - 12.21</t>
  </si>
  <si>
    <t>52 - 50 - 27.44</t>
  </si>
  <si>
    <t>Pinegrove Drive, Evergreen Village, Paradise, Newfoundland, Newfoundland and Labrador, A1L 1E7, Canada</t>
  </si>
  <si>
    <t>47.540344444</t>
  </si>
  <si>
    <t>-52.7531861109999</t>
  </si>
  <si>
    <t>47 - 32 - 25.24</t>
  </si>
  <si>
    <t>52 - 45 - 11.47</t>
  </si>
  <si>
    <t>Nalcor, 500, Columbus Drive, Cowan Heights, St. John's, Newfoundland, Newfoundland and Labrador, A1E 5Z2, Canada</t>
  </si>
  <si>
    <t>47.6788666670001</t>
  </si>
  <si>
    <t>-53.2484527779999</t>
  </si>
  <si>
    <t>47 - 40 - 43.92</t>
  </si>
  <si>
    <t>53 - 14 - 54.43</t>
  </si>
  <si>
    <t>Harvey Street, Harbour Grace, Newfoundland, Newfoundland and Labrador, A0A 3P0, Canada</t>
  </si>
  <si>
    <t>47.823491667</t>
  </si>
  <si>
    <t>-59.204933333</t>
  </si>
  <si>
    <t>47 - 49 - 24.57</t>
  </si>
  <si>
    <t>59 - 12 - 17.76</t>
  </si>
  <si>
    <t>Benoit Siding, Unincorporated Newfoundland, Newfoundland, Newfoundland and Labrador, Canada</t>
  </si>
  <si>
    <t>47.5621833330001</t>
  </si>
  <si>
    <t>-52.724183333</t>
  </si>
  <si>
    <t>47 - 33 - 43.86</t>
  </si>
  <si>
    <t>52 - 43 - 27.06</t>
  </si>
  <si>
    <t>Adams Avenue, Pennywell, St. John's, Newfoundland, Newfoundland and Labrador, A1C 2L6, Canada</t>
  </si>
  <si>
    <t>47.5634805560001</t>
  </si>
  <si>
    <t>-52.7223194439999</t>
  </si>
  <si>
    <t>47 - 33 - 48.53</t>
  </si>
  <si>
    <t>52 - 43 - 20.35</t>
  </si>
  <si>
    <t>48.987611111</t>
  </si>
  <si>
    <t>-57.7336888889999</t>
  </si>
  <si>
    <t>48 - 59 - 15.4</t>
  </si>
  <si>
    <t>57 - 44 - 1.28</t>
  </si>
  <si>
    <t>47.501897222</t>
  </si>
  <si>
    <t>-52.809808333</t>
  </si>
  <si>
    <t>47 - 30 - 6.83</t>
  </si>
  <si>
    <t>52 - 48 - 35.31</t>
  </si>
  <si>
    <t>The Source, 15, Merchant Drive, Pearlgate Shopping Centre, Mount Pearl, Newfoundland, Newfoundland and Labrador, A1N 4Y9, Canada</t>
  </si>
  <si>
    <t>47.5944361110001</t>
  </si>
  <si>
    <t>-52.7095944439999</t>
  </si>
  <si>
    <t>47 - 35 - 39.97</t>
  </si>
  <si>
    <t>52 - 42 - 34.54</t>
  </si>
  <si>
    <t>Irving, 184, Torbay Road, East Meadows, St. John's, Newfoundland, Newfoundland and Labrador, A1A 2H3, Canada</t>
  </si>
  <si>
    <t>47.7021083330001</t>
  </si>
  <si>
    <t>-53.2018138889999</t>
  </si>
  <si>
    <t>47 - 42 - 7.59</t>
  </si>
  <si>
    <t>53 - 12 - 6.53</t>
  </si>
  <si>
    <t>Water Street, Harbour Grace, Newfoundland, Newfoundland and Labrador, A0A 2M0, Canada</t>
  </si>
  <si>
    <t>48.1644027780001</t>
  </si>
  <si>
    <t>-53.980844444</t>
  </si>
  <si>
    <t>48 - 9 - 51.85</t>
  </si>
  <si>
    <t>53 - 58 - 51.04</t>
  </si>
  <si>
    <t>Random Square, 69, Manitoba Drive, Clarenville, Newfoundland, Newfoundland and Labrador, A5A 1K3, Canada</t>
  </si>
  <si>
    <t>47.654894444</t>
  </si>
  <si>
    <t>-52.757627778</t>
  </si>
  <si>
    <t>47 - 39 - 17.62</t>
  </si>
  <si>
    <t>52 - 45 - 27.46</t>
  </si>
  <si>
    <t>Birchy Nap Hill Road, Torbay, Newfoundland, Newfoundland and Labrador, A1K 1B4, Canada</t>
  </si>
  <si>
    <t>47.6359166670001</t>
  </si>
  <si>
    <t>-52.725897222</t>
  </si>
  <si>
    <t>47 - 38 - 9.3</t>
  </si>
  <si>
    <t>52 - 43 - 33.23</t>
  </si>
  <si>
    <t>52.132777778</t>
  </si>
  <si>
    <t>-65.697777778</t>
  </si>
  <si>
    <t>52 - 7 - 58.0</t>
  </si>
  <si>
    <t>65 - 41 - 52.0</t>
  </si>
  <si>
    <t>52.9436111110001</t>
  </si>
  <si>
    <t>-66.895277778</t>
  </si>
  <si>
    <t>52 - 56 - 37.0</t>
  </si>
  <si>
    <t>66 - 53 - 43.0</t>
  </si>
  <si>
    <t>Trans-Labrador Highway, Labrador City's Commercial Zone, Labrador City, Labrador, Newfoundland and Labrador, A2V 2K5, Canada</t>
  </si>
  <si>
    <t>47.5808916670001</t>
  </si>
  <si>
    <t>-52.704152778</t>
  </si>
  <si>
    <t>47 - 34 - 51.21</t>
  </si>
  <si>
    <t>52 - 42 - 14.95</t>
  </si>
  <si>
    <t>Logy Bay Road, Mount Cashel, St. John's, Newfoundland, Newfoundland and Labrador, A1A 1J1, Canada</t>
  </si>
  <si>
    <t>52.7615277780001</t>
  </si>
  <si>
    <t>-66.085972222</t>
  </si>
  <si>
    <t>52 - 45 - 41.5</t>
  </si>
  <si>
    <t>66 - 5 - 9.5</t>
  </si>
  <si>
    <t>Ashuanipi, Labrador, Newfoundland and Labrador, Canada</t>
  </si>
  <si>
    <t>46.909497222</t>
  </si>
  <si>
    <t>-53.563011111</t>
  </si>
  <si>
    <t>46 - 54 - 34.19</t>
  </si>
  <si>
    <t>53 - 33 - 46.84</t>
  </si>
  <si>
    <t>47.4887305560001</t>
  </si>
  <si>
    <t>-52.8097999999999</t>
  </si>
  <si>
    <t>47 - 29 - 19.43</t>
  </si>
  <si>
    <t>52 - 48 - 35.28</t>
  </si>
  <si>
    <t>80, Mark Nichols Place, Southlands, St. John's, Newfoundland, Newfoundland and Labrador, A1H 0G5, Canada</t>
  </si>
  <si>
    <t>48.9573972220001</t>
  </si>
  <si>
    <t>-57.913311111</t>
  </si>
  <si>
    <t>48 - 57 - 26.63</t>
  </si>
  <si>
    <t>57 - 54 - 47.92</t>
  </si>
  <si>
    <t>Quarry Road, Corner Brook, Newfoundland, Newfoundland and Labrador, A2H 1R4, Canada</t>
  </si>
  <si>
    <t>47.5610722220001</t>
  </si>
  <si>
    <t>-52.711186111</t>
  </si>
  <si>
    <t>47 - 33 - 39.86</t>
  </si>
  <si>
    <t>52 - 42 - 40.27</t>
  </si>
  <si>
    <t>47.6851444440001</t>
  </si>
  <si>
    <t>-53.233311111</t>
  </si>
  <si>
    <t>47 - 41 - 6.52</t>
  </si>
  <si>
    <t>53 - 13 - 59.92</t>
  </si>
  <si>
    <t>Courages Lane, Harbour Grace, Newfoundland, Newfoundland and Labrador, A0A 2M0, Canada</t>
  </si>
  <si>
    <t>48.9613027780001</t>
  </si>
  <si>
    <t>-54.596519444</t>
  </si>
  <si>
    <t>48 - 57 - 40.69</t>
  </si>
  <si>
    <t>54 - 35 - 47.47</t>
  </si>
  <si>
    <t>Walmart, T’Railway Provincial Park, Gander, Newfoundland, Newfoundland and Labrador, A1V 1G4, Canada</t>
  </si>
  <si>
    <t>48.947827778</t>
  </si>
  <si>
    <t>-55.6498833329999</t>
  </si>
  <si>
    <t>48 - 56 - 52.18</t>
  </si>
  <si>
    <t>55 - 38 - 59.58</t>
  </si>
  <si>
    <t>Exploits Valley Mall, Harris Avenue, Windsor, Grand Falls-Windsor, Newfoundland, Newfoundland and Labrador, A2A 2K5, Canada</t>
  </si>
  <si>
    <t>47.506083333</t>
  </si>
  <si>
    <t>-52.802558333</t>
  </si>
  <si>
    <t>47 - 30 - 21.9</t>
  </si>
  <si>
    <t>52 - 48 - 9.21</t>
  </si>
  <si>
    <t>Richard Nolan Drive, Mount Pearl, Newfoundland, Newfoundland and Labrador, A1N 3A5, Canada</t>
  </si>
  <si>
    <t>47.223058333</t>
  </si>
  <si>
    <t>-55.3636583329999</t>
  </si>
  <si>
    <t>47 - 13 - 23.01</t>
  </si>
  <si>
    <t>55 - 21 - 49.17</t>
  </si>
  <si>
    <t>Green Hill Road, Garnish, Newfoundland, Newfoundland and Labrador, A0E 1T0, Canada</t>
  </si>
  <si>
    <t>47.5350444440001</t>
  </si>
  <si>
    <t>-52.8558138889999</t>
  </si>
  <si>
    <t>47 - 32 - 6.16</t>
  </si>
  <si>
    <t>52 - 51 - 20.93</t>
  </si>
  <si>
    <t>Hector Place, Donovan Terrace, Paradise, Newfoundland, Newfoundland and Labrador, A1L 1H1, Canada</t>
  </si>
  <si>
    <t>49.7007305560001</t>
  </si>
  <si>
    <t>-56.104933333</t>
  </si>
  <si>
    <t>49 - 42 - 2.63</t>
  </si>
  <si>
    <t>56 - 6 - 17.76</t>
  </si>
  <si>
    <t>Middle Arm, Newfoundland, Newfoundland and Labrador, Canada</t>
  </si>
  <si>
    <t>48.927930556</t>
  </si>
  <si>
    <t>-55.6588416669999</t>
  </si>
  <si>
    <t>48 - 55 - 40.55</t>
  </si>
  <si>
    <t>55 - 39 - 31.83</t>
  </si>
  <si>
    <t>High Street, Grand Falls, Grand Falls-Windsor, Newfoundland, Newfoundland and Labrador, A2A 2J3, Canada</t>
  </si>
  <si>
    <t>47.510713889</t>
  </si>
  <si>
    <t>-53.722963889</t>
  </si>
  <si>
    <t>47 - 30 - 38.57</t>
  </si>
  <si>
    <t>53 - 43 - 22.67</t>
  </si>
  <si>
    <t>48.9609944440001</t>
  </si>
  <si>
    <t>-54.634902778</t>
  </si>
  <si>
    <t>48 - 57 - 39.58</t>
  </si>
  <si>
    <t>54 - 38 - 5.65</t>
  </si>
  <si>
    <t>The College of the North Atlantic, Magee Road, Gander, Newfoundland, Newfoundland and Labrador, A1V 2C8, Canada</t>
  </si>
  <si>
    <t>47.5536083330001</t>
  </si>
  <si>
    <t>-52.793280556</t>
  </si>
  <si>
    <t>47 - 33 - 12.99</t>
  </si>
  <si>
    <t>52 - 47 - 35.81</t>
  </si>
  <si>
    <t>Nerissa Place, Kenmount Terrace, St. John's, Newfoundland, Newfoundland and Labrador, A1B 4R1, Canada</t>
  </si>
  <si>
    <t>47.558380556</t>
  </si>
  <si>
    <t>-52.753066667</t>
  </si>
  <si>
    <t>47 - 33 - 30.17</t>
  </si>
  <si>
    <t>52 - 45 - 11.04</t>
  </si>
  <si>
    <t>Newfoundland Power, 55, Kenmount Road, St. John's, Newfoundland, Newfoundland and Labrador, A1B 3P8, Canada</t>
  </si>
  <si>
    <t>47.559333333</t>
  </si>
  <si>
    <t>-52.7535694439999</t>
  </si>
  <si>
    <t>47 - 33 - 33.6</t>
  </si>
  <si>
    <t>52 - 45 - 12.85</t>
  </si>
  <si>
    <t>McDonald's, 54, Kenmount Road, St. John's, Newfoundland, Newfoundland and Labrador, A1B 1W2, Canada</t>
  </si>
  <si>
    <t>48.7714583330001</t>
  </si>
  <si>
    <t>-54.2421166669999</t>
  </si>
  <si>
    <t>48 - 46 - 17.25</t>
  </si>
  <si>
    <t>54 - 14 - 31.62</t>
  </si>
  <si>
    <t>Trans Canada Highway, Gambo, Newfoundland, Newfoundland and Labrador, A0G 1T0, Canada</t>
  </si>
  <si>
    <t>47.561619444</t>
  </si>
  <si>
    <t>-52.710755556</t>
  </si>
  <si>
    <t>47 - 33 - 41.83</t>
  </si>
  <si>
    <t>52 - 42 - 38.72</t>
  </si>
  <si>
    <t>O'Reilly's, 13, George Street, Downtown, St. John's, Newfoundland, Newfoundland and Labrador, A1C 1H7, Canada</t>
  </si>
  <si>
    <t>47.5953138890001</t>
  </si>
  <si>
    <t>-52.727008333</t>
  </si>
  <si>
    <t>47 - 35 - 43.13</t>
  </si>
  <si>
    <t>52 - 43 - 37.23</t>
  </si>
  <si>
    <t>Cal LeGrow Insurance, 189, Higgins Line, Bells Turn, St. John's, Newfoundland, Newfoundland and Labrador, A1B 2N7, Canada</t>
  </si>
  <si>
    <t>47.588888889</t>
  </si>
  <si>
    <t>-58.971111111</t>
  </si>
  <si>
    <t>47 - 35 - 20.0</t>
  </si>
  <si>
    <t>58 - 58 - 16.0</t>
  </si>
  <si>
    <t>53.015277778</t>
  </si>
  <si>
    <t>-66.1899999999999</t>
  </si>
  <si>
    <t>66 - 11 - 24.0</t>
  </si>
  <si>
    <t>47.5716166670001</t>
  </si>
  <si>
    <t>-52.7333055559999</t>
  </si>
  <si>
    <t>47 - 34 - 17.82</t>
  </si>
  <si>
    <t>52 - 43 - 59.9</t>
  </si>
  <si>
    <t>-55.9397194439999</t>
  </si>
  <si>
    <t>55 - 56 - 22.99</t>
  </si>
  <si>
    <t>Western Head Service Road, Hermitage-Sandyville, Newfoundland, Newfoundland and Labrador, Canada</t>
  </si>
  <si>
    <t>47.5938</t>
  </si>
  <si>
    <t>-52.717852778</t>
  </si>
  <si>
    <t>47 - 35 - 37.68</t>
  </si>
  <si>
    <t>52 - 43 - 4.27</t>
  </si>
  <si>
    <t>Vancouver Street, Little Canada, St. John's, Newfoundland, Newfoundland and Labrador, A1A 4B3, Canada</t>
  </si>
  <si>
    <t>47.9959694440001</t>
  </si>
  <si>
    <t>-55.769969444</t>
  </si>
  <si>
    <t>47 - 59 - 45.49</t>
  </si>
  <si>
    <t>55 - 46 - 11.89</t>
  </si>
  <si>
    <t>47.637102778</t>
  </si>
  <si>
    <t>-52.724725</t>
  </si>
  <si>
    <t>47 - 38 - 13.57</t>
  </si>
  <si>
    <t>52 - 43 - 29.01</t>
  </si>
  <si>
    <t>Torbay Road, Torbay, Newfoundland, Newfoundland and Labrador, A1A 0L2, Canada</t>
  </si>
  <si>
    <t>47.534052778</t>
  </si>
  <si>
    <t>-52.9248249999999</t>
  </si>
  <si>
    <t>47 - 32 - 2.59</t>
  </si>
  <si>
    <t>52 - 55 - 29.37</t>
  </si>
  <si>
    <t>Muncarter Place, Topsail, Conception Bay South, Newfoundland, Newfoundland and Labrador, A1W 5R1, Canada</t>
  </si>
  <si>
    <t>47.526511111</t>
  </si>
  <si>
    <t>-52.895725</t>
  </si>
  <si>
    <t>47 - 31 - 35.44</t>
  </si>
  <si>
    <t>52 - 53 - 44.61</t>
  </si>
  <si>
    <t>Duffs Crescent, Fairview Estates, Paradise, Newfoundland, Newfoundland and Labrador, A1W 5R5, Canada</t>
  </si>
  <si>
    <t>48.9558527780001</t>
  </si>
  <si>
    <t>-54.6288</t>
  </si>
  <si>
    <t>48 - 57 - 21.07</t>
  </si>
  <si>
    <t>54 - 37 - 43.68</t>
  </si>
  <si>
    <t>James Paton Memorial Regional Health Centre, Macdonald Drive, Gander, Newfoundland, Newfoundland and Labrador, A1V 1P7, Canada</t>
  </si>
  <si>
    <t>52.9706944440001</t>
  </si>
  <si>
    <t>-66.758444444</t>
  </si>
  <si>
    <t>52 - 58 - 14.5</t>
  </si>
  <si>
    <t>66 - 45 - 30.4</t>
  </si>
  <si>
    <t>47.510488889</t>
  </si>
  <si>
    <t>-52.817252778</t>
  </si>
  <si>
    <t>47 - 30 - 37.76</t>
  </si>
  <si>
    <t>52 - 49 - 2.11</t>
  </si>
  <si>
    <t>Old Placentia Road, Glenhill, Mount Pearl, Newfoundland, Newfoundland and Labrador, A1N 4Y1, Canada</t>
  </si>
  <si>
    <t>47.5893861110001</t>
  </si>
  <si>
    <t>-52.729772222</t>
  </si>
  <si>
    <t>47 - 35 - 21.79</t>
  </si>
  <si>
    <t>52 - 43 - 47.18</t>
  </si>
  <si>
    <t>Ches Penney Family YMCA, 35, Ridge Road, Bells Turn, St. John's, Newfoundland, Newfoundland and Labrador, A1A 5G6, Canada</t>
  </si>
  <si>
    <t>48.9390777780001</t>
  </si>
  <si>
    <t>-57.931075</t>
  </si>
  <si>
    <t>48 - 56 - 20.68</t>
  </si>
  <si>
    <t>57 - 55 - 51.87</t>
  </si>
  <si>
    <t>47.5698333330001</t>
  </si>
  <si>
    <t>-52.707366667</t>
  </si>
  <si>
    <t>47 - 34 - 11.4</t>
  </si>
  <si>
    <t>52 - 42 - 26.52</t>
  </si>
  <si>
    <t>111, Military Road, Downtown, St. John's, Newfoundland, Newfoundland and Labrador, A1C 3V2, Canada</t>
  </si>
  <si>
    <t>47.5942000000001</t>
  </si>
  <si>
    <t>-52.7241999999999</t>
  </si>
  <si>
    <t>47 - 35 - 39.12</t>
  </si>
  <si>
    <t>52 - 43 - 27.12</t>
  </si>
  <si>
    <t>50, Mercer's Drive, Little Canada, St. John's, Newfoundland, Newfoundland and Labrador, A1B 2N7, Canada</t>
  </si>
  <si>
    <t>47.460544444</t>
  </si>
  <si>
    <t>-52.7940416669999</t>
  </si>
  <si>
    <t>47 - 27 - 37.96</t>
  </si>
  <si>
    <t>52 - 47 - 38.55</t>
  </si>
  <si>
    <t>47.6361138890001</t>
  </si>
  <si>
    <t>-52.7323361109999</t>
  </si>
  <si>
    <t>47 - 38 - 10.01</t>
  </si>
  <si>
    <t>52 - 43 - 56.41</t>
  </si>
  <si>
    <t>49.2408361110001</t>
  </si>
  <si>
    <t>-55.059858333</t>
  </si>
  <si>
    <t>49 - 14 - 27.01</t>
  </si>
  <si>
    <t>55 - 3 - 35.49</t>
  </si>
  <si>
    <t>Main Street, Lewisporte, Newfoundland, Newfoundland and Labrador, A0G 3A0, Canada</t>
  </si>
  <si>
    <t>49.2742000000001</t>
  </si>
  <si>
    <t>-54.8749999999999</t>
  </si>
  <si>
    <t>49 - 16 - 27.12</t>
  </si>
  <si>
    <t>54 - 52 - 30.0</t>
  </si>
  <si>
    <t>340, Birchy Bay, Newfoundland, Newfoundland and Labrador, Canada</t>
  </si>
  <si>
    <t>47.038166667</t>
  </si>
  <si>
    <t>-55.1635805559999</t>
  </si>
  <si>
    <t>47 - 2 - 17.4</t>
  </si>
  <si>
    <t>55 - 9 - 48.89</t>
  </si>
  <si>
    <t>Union Road, Burin, Newfoundland, Newfoundland and Labrador, Canada</t>
  </si>
  <si>
    <t>47.562272222</t>
  </si>
  <si>
    <t>-52.7105611109999</t>
  </si>
  <si>
    <t>47 - 33 - 44.18</t>
  </si>
  <si>
    <t>52 - 42 - 38.02</t>
  </si>
  <si>
    <t>Prince Edward Terrace, Downtown, St. John's, Newfoundland, Newfoundland and Labrador, A1C 1H8, Canada</t>
  </si>
  <si>
    <t>52.9101555560001</t>
  </si>
  <si>
    <t>-66.911322222</t>
  </si>
  <si>
    <t>52 - 54 - 36.56</t>
  </si>
  <si>
    <t>66 - 54 - 40.76</t>
  </si>
  <si>
    <t>Labrador, Newfoundland and Labrador, A2V 2W8, Canada</t>
  </si>
  <si>
    <t>47.5693527780001</t>
  </si>
  <si>
    <t>-52.708355556</t>
  </si>
  <si>
    <t>47 - 34 - 9.67</t>
  </si>
  <si>
    <t>52 - 42 - 30.08</t>
  </si>
  <si>
    <t>Rennies Mill Road, Bannerman, St. John's, Newfoundland, Newfoundland and Labrador, A1C 2E8, Canada</t>
  </si>
  <si>
    <t>52.761111111</t>
  </si>
  <si>
    <t>-66.086111111</t>
  </si>
  <si>
    <t>52 - 45 - 40.0</t>
  </si>
  <si>
    <t>66 - 5 - 10.0</t>
  </si>
  <si>
    <t>48.8256000000001</t>
  </si>
  <si>
    <t>-57.9772</t>
  </si>
  <si>
    <t>48 - 49 - 32.16</t>
  </si>
  <si>
    <t>57 - 58 - 37.92</t>
  </si>
  <si>
    <t>48.8294083330001</t>
  </si>
  <si>
    <t>-54.364661111</t>
  </si>
  <si>
    <t>48 - 49 - 45.87</t>
  </si>
  <si>
    <t>54 - 21 - 52.78</t>
  </si>
  <si>
    <t>47.6321500000001</t>
  </si>
  <si>
    <t>-52.7354194439999</t>
  </si>
  <si>
    <t>47 - 37 - 55.74</t>
  </si>
  <si>
    <t>52 - 44 - 7.51</t>
  </si>
  <si>
    <t>52.567944444</t>
  </si>
  <si>
    <t>-65.8783333329999</t>
  </si>
  <si>
    <t>52 - 34 - 4.6</t>
  </si>
  <si>
    <t>65 - 52 - 42.0</t>
  </si>
  <si>
    <t>46.9636305560001</t>
  </si>
  <si>
    <t>-52.949519444</t>
  </si>
  <si>
    <t>46 - 57 - 49.07</t>
  </si>
  <si>
    <t>52 - 56 - 58.27</t>
  </si>
  <si>
    <t>53.0597222220001</t>
  </si>
  <si>
    <t>-66.9338888889999</t>
  </si>
  <si>
    <t>53 - 3 - 35.0</t>
  </si>
  <si>
    <t>66 - 56 - 2.0</t>
  </si>
  <si>
    <t>47.2800888890001</t>
  </si>
  <si>
    <t>-52.8271194439999</t>
  </si>
  <si>
    <t>47 - 16 - 48.32</t>
  </si>
  <si>
    <t>52 - 49 - 37.63</t>
  </si>
  <si>
    <t>Harbour Road, Witless Bay, Newfoundland, Newfoundland and Labrador, A0A 4K0, Canada</t>
  </si>
  <si>
    <t>47.5318833330001</t>
  </si>
  <si>
    <t>-52.7986472219999</t>
  </si>
  <si>
    <t>47 - 31 - 54.78</t>
  </si>
  <si>
    <t>52 - 47 - 55.13</t>
  </si>
  <si>
    <t>Ambassador Place, Mount Pearl, Newfoundland, Newfoundland and Labrador, A1N 3G9, Canada</t>
  </si>
  <si>
    <t>52.9474638890001</t>
  </si>
  <si>
    <t>-66.916813889</t>
  </si>
  <si>
    <t>52 - 56 - 50.87</t>
  </si>
  <si>
    <t>66 - 55 - 0.53</t>
  </si>
  <si>
    <t>Cooper Hill Road, Labrador City, Labrador, Newfoundland and Labrador, A2V 2W8, Canada</t>
  </si>
  <si>
    <t>47.581094444</t>
  </si>
  <si>
    <t>-52.677791667</t>
  </si>
  <si>
    <t>47 - 34 - 51.94</t>
  </si>
  <si>
    <t>52 - 40 - 40.05</t>
  </si>
  <si>
    <t>Stone's Road, Quidi Vidi, St. John's, Newfoundland, Newfoundland and Labrador, A1C 5X1, Canada</t>
  </si>
  <si>
    <t>49.1244583330001</t>
  </si>
  <si>
    <t>-55.091983333</t>
  </si>
  <si>
    <t>49 - 7 - 28.05</t>
  </si>
  <si>
    <t>55 - 5 - 31.14</t>
  </si>
  <si>
    <t>Route 340, Lewisporte, Newfoundland, Newfoundland and Labrador, Canada</t>
  </si>
  <si>
    <t>52.831111111</t>
  </si>
  <si>
    <t>-66.149722222</t>
  </si>
  <si>
    <t>52 - 49 - 52.0</t>
  </si>
  <si>
    <t>66 - 8 - 59.0</t>
  </si>
  <si>
    <t>47.568872222</t>
  </si>
  <si>
    <t>47 - 34 - 7.94</t>
  </si>
  <si>
    <t>13, Hayward Avenue, Georgestown, St. John's, Newfoundland, Newfoundland and Labrador, A1C 2E8, Canada</t>
  </si>
  <si>
    <t>47.633280556</t>
  </si>
  <si>
    <t>-52.736991667</t>
  </si>
  <si>
    <t>47 - 37 - 59.81</t>
  </si>
  <si>
    <t>52 - 44 - 13.17</t>
  </si>
  <si>
    <t>47.629202778</t>
  </si>
  <si>
    <t>-52.723905556</t>
  </si>
  <si>
    <t>47 - 37 - 45.13</t>
  </si>
  <si>
    <t>52 - 43 - 26.06</t>
  </si>
  <si>
    <t>47.6344527780001</t>
  </si>
  <si>
    <t>-52.7244388889999</t>
  </si>
  <si>
    <t>47 - 38 - 4.03</t>
  </si>
  <si>
    <t>52 - 43 - 27.98</t>
  </si>
  <si>
    <t>47.633236111</t>
  </si>
  <si>
    <t>-52.726444444</t>
  </si>
  <si>
    <t>47 - 37 - 59.65</t>
  </si>
  <si>
    <t>52 - 43 - 35.2</t>
  </si>
  <si>
    <t>Pulpit Rock Road, Torbay, Newfoundland, Newfoundland and Labrador, A1K 1A5, Canada</t>
  </si>
  <si>
    <t>53.010555556</t>
  </si>
  <si>
    <t>-66.707777778</t>
  </si>
  <si>
    <t>53 - 0 - 38.0</t>
  </si>
  <si>
    <t>66 - 42 - 28.0</t>
  </si>
  <si>
    <t>47.4490000000001</t>
  </si>
  <si>
    <t>-52.9752999999999</t>
  </si>
  <si>
    <t>47 - 26 - 56.4</t>
  </si>
  <si>
    <t>52 - 58 - 31.08</t>
  </si>
  <si>
    <t>OSSC road, St. John's, Newfoundland, Newfoundland and Labrador, Canada</t>
  </si>
  <si>
    <t>52.958333333</t>
  </si>
  <si>
    <t>-66.888888889</t>
  </si>
  <si>
    <t>52 - 57 - 30.0</t>
  </si>
  <si>
    <t>66 - 53 - 20.0</t>
  </si>
  <si>
    <t>Avalon Drive, Labrador City, Labrador, Newfoundland and Labrador, A2V 2J8, Canada</t>
  </si>
  <si>
    <t>47.6317916670001</t>
  </si>
  <si>
    <t>-52.729288889</t>
  </si>
  <si>
    <t>47 - 37 - 54.45</t>
  </si>
  <si>
    <t>52 - 43 - 45.44</t>
  </si>
  <si>
    <t>47.0781000000001</t>
  </si>
  <si>
    <t>-52.9503</t>
  </si>
  <si>
    <t>47 - 4 - 41.16</t>
  </si>
  <si>
    <t>52 - 57 - 1.08</t>
  </si>
  <si>
    <t>48.9849222220001</t>
  </si>
  <si>
    <t>-54.850888889</t>
  </si>
  <si>
    <t>48 - 59 - 5.72</t>
  </si>
  <si>
    <t>54 - 51 - 3.2</t>
  </si>
  <si>
    <t>47.638611111</t>
  </si>
  <si>
    <t>-52.7309888889999</t>
  </si>
  <si>
    <t>47 - 38 - 19.0</t>
  </si>
  <si>
    <t>52 - 43 - 51.56</t>
  </si>
  <si>
    <t>47.5436361110001</t>
  </si>
  <si>
    <t>-52.7936</t>
  </si>
  <si>
    <t>47 - 32 - 37.09</t>
  </si>
  <si>
    <t>52 - 47 - 36.96</t>
  </si>
  <si>
    <t>Capital Hyundai, 515, Kenmount Road, St. John's, Newfoundland, Newfoundland and Labrador, A1B 4G1, Canada</t>
  </si>
  <si>
    <t>47.565813889</t>
  </si>
  <si>
    <t>-52.717311111</t>
  </si>
  <si>
    <t>47 - 33 - 56.93</t>
  </si>
  <si>
    <t>52 - 43 - 2.32</t>
  </si>
  <si>
    <t>Merrymeeting Road, Rabbittown, St. John's, Newfoundland, Newfoundland and Labrador, A1C 2L4, Canada</t>
  </si>
  <si>
    <t>54.6094444440001</t>
  </si>
  <si>
    <t>-66.653055556</t>
  </si>
  <si>
    <t>54 - 36 - 34.0</t>
  </si>
  <si>
    <t>66 - 39 - 11.0</t>
  </si>
  <si>
    <t>47.6311916670001</t>
  </si>
  <si>
    <t>47 - 37 - 52.29</t>
  </si>
  <si>
    <t>51.5044222220001</t>
  </si>
  <si>
    <t>-55.463502778</t>
  </si>
  <si>
    <t>51 - 30 - 15.92</t>
  </si>
  <si>
    <t>55 - 27 - 48.61</t>
  </si>
  <si>
    <t>Dog Head via St. Brendan's Trail, St. Lunaire, St. Lunaire-Griquet, Newfoundland, Newfoundland and Labrador, A0K 2X0, Canada</t>
  </si>
  <si>
    <t>47.5927500000001</t>
  </si>
  <si>
    <t>-52.72455</t>
  </si>
  <si>
    <t>47 - 35 - 33.9</t>
  </si>
  <si>
    <t>52 - 43 - 28.38</t>
  </si>
  <si>
    <t>250, Portugal Cove Road, Little Canada, St. John's, Newfoundland, Newfoundland and Labrador, A1B 2N7, Canada</t>
  </si>
  <si>
    <t>47.6333888890001</t>
  </si>
  <si>
    <t>-52.7213833329999</t>
  </si>
  <si>
    <t>47 - 38 - 0.2</t>
  </si>
  <si>
    <t>52 - 43 - 16.98</t>
  </si>
  <si>
    <t>46.7834194440001</t>
  </si>
  <si>
    <t>-53.6193</t>
  </si>
  <si>
    <t>46 - 47 - 0.31</t>
  </si>
  <si>
    <t>53 - 37 - 9.48</t>
  </si>
  <si>
    <t>10, St Stephens, St. Vincent's - St. Stephen's - Peter's River, Newfoundland, Newfoundland and Labrador, Canada</t>
  </si>
  <si>
    <t>47.5935638890001</t>
  </si>
  <si>
    <t>-52.7260666669999</t>
  </si>
  <si>
    <t>47 - 35 - 36.83</t>
  </si>
  <si>
    <t>52 - 43 - 33.84</t>
  </si>
  <si>
    <t>4, Bell's Turn, Kent's Pond, St. John's, Newfoundland, Newfoundland and Labrador, A1B 2N7, Canada</t>
  </si>
  <si>
    <t>54.4327777780001</t>
  </si>
  <si>
    <t>-66.600555556</t>
  </si>
  <si>
    <t>54 - 25 - 58.0</t>
  </si>
  <si>
    <t>66 - 36 - 2.0</t>
  </si>
  <si>
    <t>47.613091667</t>
  </si>
  <si>
    <t>-52.743327778</t>
  </si>
  <si>
    <t>47 - 36 - 47.13</t>
  </si>
  <si>
    <t>52 - 44 - 35.98</t>
  </si>
  <si>
    <t>53.0638888890001</t>
  </si>
  <si>
    <t>-66.4575</t>
  </si>
  <si>
    <t>53 - 3 - 50.0</t>
  </si>
  <si>
    <t>66 - 27 - 27.0</t>
  </si>
  <si>
    <t>ATV trail to the Top and a View, Labrador, Newfoundland and Labrador, Canada</t>
  </si>
  <si>
    <t>47.4607222220001</t>
  </si>
  <si>
    <t>-53.605416667</t>
  </si>
  <si>
    <t>47 - 27 - 38.6</t>
  </si>
  <si>
    <t>53 - 36 - 19.5</t>
  </si>
  <si>
    <t>47.6012250000001</t>
  </si>
  <si>
    <t>-52.7126222219999</t>
  </si>
  <si>
    <t>47 - 36 - 4.41</t>
  </si>
  <si>
    <t>52 - 42 - 45.44</t>
  </si>
  <si>
    <t>Peter's Pizza Restaurant &amp; Lounge, 300, Torbay Road, Wedgewood Park, St. John's, Newfoundland, Newfoundland and Labrador, A1A 3P4, Canada</t>
  </si>
  <si>
    <t>47.565725</t>
  </si>
  <si>
    <t>-52.720544444</t>
  </si>
  <si>
    <t>47 - 33 - 56.61</t>
  </si>
  <si>
    <t>52 - 43 - 13.96</t>
  </si>
  <si>
    <t>Howley Avenue Extension, Rabbittown, St. John's, Newfoundland, Newfoundland and Labrador, A1C 2N1, Canada</t>
  </si>
  <si>
    <t>52.568027778</t>
  </si>
  <si>
    <t>-65.878194444</t>
  </si>
  <si>
    <t>52 - 34 - 4.9</t>
  </si>
  <si>
    <t>65 - 52 - 41.5</t>
  </si>
  <si>
    <t>52.959722222</t>
  </si>
  <si>
    <t>-66.891111111</t>
  </si>
  <si>
    <t>52 - 57 - 35.0</t>
  </si>
  <si>
    <t>66 - 53 - 28.0</t>
  </si>
  <si>
    <t>53.071388889</t>
  </si>
  <si>
    <t>53 - 4 - 17.0</t>
  </si>
  <si>
    <t>52.4447222220001</t>
  </si>
  <si>
    <t>-65.806111111</t>
  </si>
  <si>
    <t>52 - 26 - 41.0</t>
  </si>
  <si>
    <t>65 - 48 - 22.0</t>
  </si>
  <si>
    <t>Pitaga, Labrador, Newfoundland and Labrador, Canada</t>
  </si>
  <si>
    <t>47.566319444</t>
  </si>
  <si>
    <t>-52.722941667</t>
  </si>
  <si>
    <t>47 - 33 - 58.75</t>
  </si>
  <si>
    <t>52 - 43 - 22.59</t>
  </si>
  <si>
    <t>Edinburgh Street, Rabbittown, St. John's, Newfoundland, Newfoundland and Labrador, A1C 3G3, Canada</t>
  </si>
  <si>
    <t>47.633358333</t>
  </si>
  <si>
    <t>-52.731302778</t>
  </si>
  <si>
    <t>47 - 38 - 0.09</t>
  </si>
  <si>
    <t>52 - 43 - 52.69</t>
  </si>
  <si>
    <t>53.874083333</t>
  </si>
  <si>
    <t>-66.428388889</t>
  </si>
  <si>
    <t>53 - 52 - 26.7</t>
  </si>
  <si>
    <t>66 - 25 - 42.2</t>
  </si>
  <si>
    <t>54.4830555560001</t>
  </si>
  <si>
    <t>-66.633055556</t>
  </si>
  <si>
    <t>54 - 28 - 59.0</t>
  </si>
  <si>
    <t>66 - 37 - 59.0</t>
  </si>
  <si>
    <t>47.5594888890001</t>
  </si>
  <si>
    <t>-52.7548805559999</t>
  </si>
  <si>
    <t>47 - 33 - 34.16</t>
  </si>
  <si>
    <t>52 - 45 - 17.57</t>
  </si>
  <si>
    <t>Globo Shoes, Kenmount Road, St. John's, Newfoundland, Newfoundland and Labrador, A1B 3N7, 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</si>
</sst>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</font>
    <font>
      <b/>
      <sz val="14"/>
      <name val="Calibri"/>
      <family val="2"/>
    </font>
    <font>
      <u/>
      <sz val="11"/>
      <color theme="10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scheme val="minor"/>
    </font>
    <font>
      <sz val="11"/>
      <color rgb="FF000000"/>
      <name val="Calibri"/>
      <scheme val="minor"/>
    </font>
    <font>
      <sz val="11"/>
      <color rgb="FF000000"/>
      <name val="Calibri"/>
      <charset val="1"/>
    </font>
    <font>
      <sz val="11"/>
      <color rgb="FF00B050"/>
      <name val="Calibri"/>
      <scheme val="minor"/>
    </font>
    <font>
      <b/>
      <sz val="11"/>
      <color rgb="FFFF0000"/>
      <name val="Calibri"/>
      <scheme val="minor"/>
    </font>
    <font>
      <b/>
      <sz val="10"/>
      <name val="Calibri"/>
      <family val="2"/>
    </font>
    <font>
      <sz val="8"/>
      <color rgb="FFFF0000"/>
      <name val="Calibri"/>
      <scheme val="minor"/>
    </font>
    <font>
      <b/>
      <sz val="8"/>
      <color rgb="FFFF0000"/>
      <name val="Calibri"/>
      <scheme val="minor"/>
    </font>
    <font>
      <b/>
      <sz val="11"/>
      <color rgb="FF000000"/>
      <name val="Calibri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scheme val="minor"/>
    </font>
    <font>
      <b/>
      <sz val="12"/>
      <color rgb="FF000000"/>
      <name val="Calibri"/>
      <scheme val="minor"/>
    </font>
    <font>
      <sz val="12"/>
      <color theme="1"/>
      <name val="Calibri"/>
      <scheme val="minor"/>
    </font>
    <font>
      <sz val="12"/>
      <color rgb="FFFF0000"/>
      <name val="Calibri"/>
      <scheme val="minor"/>
    </font>
    <font>
      <b/>
      <sz val="12"/>
      <color rgb="FFFF0000"/>
      <name val="Calibri"/>
      <scheme val="minor"/>
    </font>
    <font>
      <strike/>
      <sz val="8"/>
      <color rgb="FF000000"/>
      <name val="Calibri"/>
      <scheme val="minor"/>
    </font>
    <font>
      <b/>
      <u/>
      <sz val="11"/>
      <color rgb="FFFF0000"/>
      <name val="Calibri"/>
      <family val="2"/>
      <scheme val="minor"/>
    </font>
    <font>
      <sz val="8"/>
      <color rgb="FF000000"/>
      <name val="Calibri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FF0000"/>
      <name val="Calibri"/>
    </font>
    <font>
      <sz val="11"/>
      <color rgb="FFFF0000"/>
      <name val="Calibri"/>
    </font>
    <font>
      <sz val="11"/>
      <color theme="1"/>
      <name val="Calibri"/>
    </font>
    <font>
      <strike/>
      <sz val="11"/>
      <color rgb="FF000000"/>
      <name val="Calibri"/>
      <scheme val="minor"/>
    </font>
    <font>
      <sz val="11"/>
      <color theme="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92D050"/>
        <bgColor rgb="FF00FF00"/>
      </patternFill>
    </fill>
    <fill>
      <patternFill patternType="solid">
        <fgColor theme="9"/>
        <bgColor rgb="FF00FF00"/>
      </patternFill>
    </fill>
    <fill>
      <patternFill patternType="solid">
        <fgColor theme="3" tint="0.59999389629810485"/>
        <bgColor rgb="FF00FF00"/>
      </patternFill>
    </fill>
    <fill>
      <patternFill patternType="solid">
        <fgColor theme="0" tint="-0.34998626667073579"/>
        <bgColor rgb="FF00FF00"/>
      </patternFill>
    </fill>
    <fill>
      <patternFill patternType="solid">
        <fgColor theme="7"/>
        <bgColor rgb="FF00FF00"/>
      </patternFill>
    </fill>
    <fill>
      <patternFill patternType="solid">
        <fgColor rgb="FF00B0F0"/>
        <bgColor rgb="FF00FF00"/>
      </patternFill>
    </fill>
    <fill>
      <patternFill patternType="solid">
        <fgColor theme="2" tint="-0.249977111117893"/>
        <bgColor rgb="FF00FF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rgb="FF00FF00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22">
    <xf numFmtId="0" fontId="0" fillId="0" borderId="0" xfId="0"/>
    <xf numFmtId="0" fontId="4" fillId="2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0" fillId="0" borderId="1" xfId="0" applyBorder="1"/>
    <xf numFmtId="0" fontId="0" fillId="10" borderId="1" xfId="0" applyFill="1" applyBorder="1" applyAlignment="1">
      <alignment vertical="center"/>
    </xf>
    <xf numFmtId="0" fontId="0" fillId="11" borderId="1" xfId="0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vertical="center"/>
    </xf>
    <xf numFmtId="0" fontId="0" fillId="12" borderId="1" xfId="0" applyFill="1" applyBorder="1" applyAlignment="1">
      <alignment vertical="center"/>
    </xf>
    <xf numFmtId="0" fontId="0" fillId="12" borderId="1" xfId="0" applyFill="1" applyBorder="1" applyAlignment="1">
      <alignment vertical="center" wrapText="1"/>
    </xf>
    <xf numFmtId="0" fontId="0" fillId="13" borderId="1" xfId="0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14" borderId="1" xfId="0" applyFill="1" applyBorder="1" applyAlignment="1">
      <alignment vertical="center"/>
    </xf>
    <xf numFmtId="0" fontId="5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0" fillId="13" borderId="1" xfId="0" applyFill="1" applyBorder="1" applyAlignment="1">
      <alignment vertical="center" wrapText="1"/>
    </xf>
    <xf numFmtId="0" fontId="2" fillId="13" borderId="1" xfId="0" applyFont="1" applyFill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 wrapText="1"/>
    </xf>
    <xf numFmtId="0" fontId="0" fillId="14" borderId="1" xfId="0" applyFill="1" applyBorder="1" applyAlignment="1">
      <alignment vertical="center" wrapText="1"/>
    </xf>
    <xf numFmtId="0" fontId="5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 wrapText="1"/>
    </xf>
    <xf numFmtId="0" fontId="7" fillId="18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left" vertical="center"/>
    </xf>
    <xf numFmtId="0" fontId="0" fillId="11" borderId="1" xfId="0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12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center" vertical="center"/>
    </xf>
    <xf numFmtId="0" fontId="0" fillId="15" borderId="1" xfId="0" applyFill="1" applyBorder="1" applyAlignment="1">
      <alignment vertical="center"/>
    </xf>
    <xf numFmtId="0" fontId="5" fillId="18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top"/>
    </xf>
    <xf numFmtId="0" fontId="5" fillId="20" borderId="1" xfId="0" applyFon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 wrapText="1"/>
    </xf>
    <xf numFmtId="0" fontId="6" fillId="0" borderId="1" xfId="1" applyFill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6" fillId="0" borderId="1" xfId="1" applyFill="1" applyBorder="1" applyAlignment="1">
      <alignment horizontal="left" vertical="center" wrapText="1"/>
    </xf>
    <xf numFmtId="0" fontId="12" fillId="16" borderId="1" xfId="0" applyFont="1" applyFill="1" applyBorder="1" applyAlignment="1">
      <alignment vertical="center" wrapText="1"/>
    </xf>
    <xf numFmtId="0" fontId="16" fillId="0" borderId="1" xfId="0" applyFont="1" applyBorder="1" applyAlignment="1">
      <alignment vertical="center"/>
    </xf>
    <xf numFmtId="0" fontId="0" fillId="16" borderId="1" xfId="0" applyFill="1" applyBorder="1" applyAlignment="1">
      <alignment vertical="center"/>
    </xf>
    <xf numFmtId="0" fontId="0" fillId="16" borderId="1" xfId="0" applyFill="1" applyBorder="1" applyAlignment="1">
      <alignment vertical="center" wrapText="1"/>
    </xf>
    <xf numFmtId="0" fontId="0" fillId="16" borderId="1" xfId="0" applyFill="1" applyBorder="1" applyAlignment="1">
      <alignment horizontal="center" vertical="center" wrapText="1"/>
    </xf>
    <xf numFmtId="0" fontId="28" fillId="0" borderId="1" xfId="1" applyFont="1" applyFill="1" applyBorder="1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30" fillId="0" borderId="1" xfId="0" applyFont="1" applyBorder="1" applyAlignment="1">
      <alignment horizontal="center" vertical="center"/>
    </xf>
    <xf numFmtId="0" fontId="0" fillId="21" borderId="1" xfId="0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top"/>
    </xf>
    <xf numFmtId="0" fontId="5" fillId="20" borderId="1" xfId="0" applyFont="1" applyFill="1" applyBorder="1" applyAlignment="1">
      <alignment horizontal="center" vertical="top"/>
    </xf>
    <xf numFmtId="0" fontId="8" fillId="0" borderId="1" xfId="0" quotePrefix="1" applyFont="1" applyBorder="1" applyAlignment="1">
      <alignment horizontal="left" vertical="top" wrapText="1"/>
    </xf>
    <xf numFmtId="0" fontId="8" fillId="0" borderId="1" xfId="0" quotePrefix="1" applyFont="1" applyBorder="1" applyAlignment="1">
      <alignment horizontal="left" vertical="top"/>
    </xf>
    <xf numFmtId="0" fontId="21" fillId="0" borderId="1" xfId="0" applyFont="1" applyBorder="1" applyAlignment="1">
      <alignment horizontal="left" vertical="top" wrapText="1"/>
    </xf>
    <xf numFmtId="0" fontId="22" fillId="0" borderId="1" xfId="0" quotePrefix="1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/>
    </xf>
    <xf numFmtId="0" fontId="22" fillId="0" borderId="1" xfId="0" applyFont="1" applyBorder="1" applyAlignment="1">
      <alignment horizontal="left" vertical="top" wrapText="1"/>
    </xf>
    <xf numFmtId="0" fontId="25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5" fillId="7" borderId="1" xfId="0" applyFont="1" applyFill="1" applyBorder="1" applyAlignment="1">
      <alignment horizontal="left" vertical="top"/>
    </xf>
    <xf numFmtId="0" fontId="0" fillId="0" borderId="1" xfId="0" quotePrefix="1" applyBorder="1" applyAlignment="1">
      <alignment horizontal="left" vertical="top"/>
    </xf>
    <xf numFmtId="0" fontId="0" fillId="0" borderId="1" xfId="0" quotePrefix="1" applyBorder="1" applyAlignment="1">
      <alignment horizontal="left" vertical="top" wrapText="1"/>
    </xf>
    <xf numFmtId="0" fontId="13" fillId="16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left" vertical="center" wrapText="1"/>
    </xf>
    <xf numFmtId="0" fontId="10" fillId="0" borderId="1" xfId="1" applyFont="1" applyFill="1" applyBorder="1" applyAlignment="1">
      <alignment horizontal="left" vertical="center" wrapText="1"/>
    </xf>
    <xf numFmtId="0" fontId="9" fillId="15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6" fillId="0" borderId="0" xfId="1" applyFill="1" applyAlignment="1">
      <alignment wrapText="1"/>
    </xf>
    <xf numFmtId="0" fontId="31" fillId="0" borderId="1" xfId="0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24" fillId="0" borderId="1" xfId="0" quotePrefix="1" applyFont="1" applyBorder="1" applyAlignment="1">
      <alignment horizontal="left" vertical="top" wrapText="1"/>
    </xf>
    <xf numFmtId="0" fontId="35" fillId="0" borderId="1" xfId="0" applyFont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15" borderId="1" xfId="0" applyFill="1" applyBorder="1" applyAlignment="1">
      <alignment horizontal="center" vertical="center" wrapText="1"/>
    </xf>
    <xf numFmtId="0" fontId="6" fillId="0" borderId="1" xfId="1" applyBorder="1" applyAlignment="1">
      <alignment vertical="center" wrapText="1"/>
    </xf>
    <xf numFmtId="0" fontId="0" fillId="15" borderId="1" xfId="0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 wrapText="1"/>
    </xf>
    <xf numFmtId="0" fontId="0" fillId="22" borderId="1" xfId="0" applyFill="1" applyBorder="1" applyAlignment="1">
      <alignment horizontal="center" vertical="center"/>
    </xf>
    <xf numFmtId="0" fontId="37" fillId="13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5" fillId="20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35" fillId="0" borderId="1" xfId="0" applyFont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5" fillId="7" borderId="1" xfId="0" applyFont="1" applyFill="1" applyBorder="1" applyAlignment="1">
      <alignment horizontal="left" vertical="top" wrapText="1"/>
    </xf>
    <xf numFmtId="0" fontId="0" fillId="21" borderId="1" xfId="0" applyFill="1" applyBorder="1" applyAlignment="1">
      <alignment horizontal="center" vertical="center"/>
    </xf>
    <xf numFmtId="0" fontId="12" fillId="0" borderId="1" xfId="0" quotePrefix="1" applyFont="1" applyBorder="1" applyAlignment="1">
      <alignment horizontal="left" vertical="top" wrapText="1"/>
    </xf>
    <xf numFmtId="0" fontId="0" fillId="23" borderId="1" xfId="0" applyFill="1" applyBorder="1" applyAlignment="1">
      <alignment horizontal="center" vertical="center"/>
    </xf>
    <xf numFmtId="0" fontId="35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12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16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1" fillId="16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24">
    <dxf>
      <fill>
        <patternFill patternType="solid">
          <bgColor theme="7" tint="0.39997558519241921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9"/>
        </patternFill>
      </fill>
    </dxf>
    <dxf>
      <fill>
        <patternFill>
          <bgColor theme="0"/>
        </patternFill>
      </fill>
    </dxf>
    <dxf>
      <fill>
        <patternFill>
          <bgColor theme="6"/>
        </patternFill>
      </fill>
    </dxf>
    <dxf>
      <fill>
        <patternFill patternType="solid">
          <bgColor theme="7" tint="0.39997558519241921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9"/>
        </patternFill>
      </fill>
    </dxf>
    <dxf>
      <fill>
        <patternFill>
          <bgColor theme="0"/>
        </patternFill>
      </fill>
    </dxf>
    <dxf>
      <fill>
        <patternFill>
          <bgColor theme="6"/>
        </patternFill>
      </fill>
    </dxf>
    <dxf>
      <fill>
        <patternFill patternType="solid">
          <bgColor theme="7" tint="0.39997558519241921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9"/>
        </patternFill>
      </fill>
    </dxf>
    <dxf>
      <fill>
        <patternFill>
          <bgColor theme="0"/>
        </patternFill>
      </fill>
    </dxf>
    <dxf>
      <fill>
        <patternFill>
          <bgColor theme="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brain.wall@plaza.ca" TargetMode="External"/><Relationship Id="rId2" Type="http://schemas.openxmlformats.org/officeDocument/2006/relationships/hyperlink" Target="https://www.google.com/maps/place/45%C2%B014'18.9%22N+66%C2%B007'19.5%22W/@45.2392849,-66.1219603,3a,60y,188.19h,90.96t/data=!3m7!1e1!3m5!1sPXhV8R34DaEHXoA3646PtQ!2e0!6shttps:%2F%2Fstreetviewpixels-pa.googleapis.com%2Fv1%2Fthumbnail%3Fcb_client%3Dmaps_sv.tactile%26w%3D900%26h%3D600%26pitch%3D-0.9585136564251542%26panoid%3DPXhV8R34DaEHXoA3646PtQ%26yaw%3D188.18837597109712!7i16384!8i8192!4m4!3m3!8m2!3d45.2385694!4d-66.1220889?entry=ttu&amp;g_ep=EgoyMDI2MDExMy4wIKXMDSoASAFQAw%3D%3D" TargetMode="External"/><Relationship Id="rId1" Type="http://schemas.openxmlformats.org/officeDocument/2006/relationships/hyperlink" Target="https://www.google.com/maps/place/97+Runneymeade+Rd,+Riverview,+NB+E1B+4M5,+Canada/@46.0704881,-64.7644875,19.75z/data=!4m14!1m7!3m6!1s0x4ca0b9639b7b2ac1:0x892e3ec11423cfb3!2s95+Runneymeade+Rd,+Riverview,+NB+E1B+5J7,+Canada!3b1!8m2!3d46.0716352!4d-64.7626174!3m5!1s0x4ca0b96360214d53:0xd93174725a82e1e2!8m2!3d46.0704083!4d-64.7646541!16s%2Fg%2F11pz7lfvkc?entry=ttu&amp;g_ep=EgoyMDI2MDExMy4wIKXMDSoASAFQAw%3D%3D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place/49%C2%B030'12.0%22N+56%C2%B004'12.0%22W/@49.5023591,-56.0677615,3a,41.4y,307.1h,106.49t/data=!3m7!1e1!3m5!1syQtHp55Cm9ulIvCx1hMrTg!2e0!6shttps:%2F%2Fstreetviewpixels-pa.googleapis.com%2Fv1%2Fthumbnail%3Fcb_client%3Dmaps_sv.tactile%26w%3D900%26h%3D600%26pitch%3D-16.48888376466431%26panoid%3DyQtHp55Cm9ulIvCx1hMrTg%26yaw%3D307.0958517855913!7i13312!8i6656!4m4!3m3!8m2!3d49.5033333!4d-56.0699972?entry=ttu&amp;g_ep=EgoyMDI2MDExMy4wIKXMDSoASAFQAw%3D%3D" TargetMode="External"/><Relationship Id="rId13" Type="http://schemas.openxmlformats.org/officeDocument/2006/relationships/hyperlink" Target="https://www.google.com/maps/place/47%C2%B010'02.3%22N+55%C2%B009'22.3%22W/@47.1663492,-55.1543658,3a,37.6y,296.77h,91.9t/data=!3m7!1e1!3m5!1sZ8oE7Zy1WgNsOOu-GUJ4Cw!2e0!6shttps:%2F%2Fstreetviewpixels-pa.googleapis.com%2Fv1%2Fthumbnail%3Fcb_client%3Dmaps_sv.tactile%26w%3D900%26h%3D600%26pitch%3D-1.8952059361895692%26panoid%3DZ8oE7Zy1WgNsOOu-GUJ4Cw%26yaw%3D296.7688236760023!7i13312!8i6656!4m4!3m3!8m2!3d47.1673056!4d-55.1562056?entry=ttu&amp;g_ep=EgoyMDI2MDExMy4wIKXMDSoASAFQAw%3D%3D" TargetMode="External"/><Relationship Id="rId18" Type="http://schemas.openxmlformats.org/officeDocument/2006/relationships/hyperlink" Target="https://www.google.com/maps/place/49%C2%B036'55.6%22N+54%C2%B010'34.5%22W/@49.6160278,-54.1740939,3a,15y,206.86h,103.66t/data=!3m7!1e1!3m5!1sCIHM0ogKEICAgIChxPDI3AE!2e10!6shttps:%2F%2Flh3.googleusercontent.com%2Fgpms-cs-s%2FAPRy3c9RNM_JDKqEb6jrfWIplkwcuN16poOV7mY8ixKWs1W77DTC3SQgNkk3bYVeDiQxrkA6zF3lKIZrAVxgYob6PyEQQpPsTXF8O61ynWBtDHPbP1pPU5LH7RGXIEkqgcOYnID5wFVe%3Dw900-h600-k-no-pi-13.65631941203111-ya149.86692433307098-ro0-fo100!7i3840!8i1920!4m4!3m3!8m2!3d49.6154472!4d-54.1762583?entry=ttu&amp;g_ep=EgoyMDI2MDExOS4wIKXMDSoASAFQAw%3D%3D" TargetMode="External"/><Relationship Id="rId26" Type="http://schemas.openxmlformats.org/officeDocument/2006/relationships/hyperlink" Target="https://www.google.com/maps/place/Goose+Bay+Airport/@53.3135192,-60.412472,3a,15y,235.52h,94.7t/data=!3m7!1e1!3m5!1seCNncqufkP4qYsjc5KaWxA!2e0!6shttps:%2F%2Fstreetviewpixels-pa.googleapis.com%2Fv1%2Fthumbnail%3Fcb_client%3Dmaps_sv.tactile%26w%3D900%26h%3D600%26pitch%3D-4.697957950453414%26panoid%3DeCNncqufkP4qYsjc5KaWxA%26yaw%3D235.51509343809792!7i16384!8i8192!4m12!1m5!3m4!2zNTPCsDE4JzQ5LjciTiA2MMKwMjQnNDYuMCJX!8m2!3d53.3138!4d-60.4127778!3m5!1s0x4c7b7a517b64285d:0xe2ca4844211e6af6!8m2!3d53.313722!4d-60.4125075!16zL20vMDNyOG1m?entry=ttu&amp;g_ep=EgoyMDI2MDEyMC4wIKXMDSoASAFQAw%3D%3D" TargetMode="External"/><Relationship Id="rId3" Type="http://schemas.openxmlformats.org/officeDocument/2006/relationships/hyperlink" Target="https://www.google.com/maps/place/47%C2%B038'58.1%22N+52%C2%B045'47.3%22W/@47.6491396,-52.7610732,3a,17.3y,297.18h,107.14t/data=!3m7!1e1!3m5!1s6OrVH7Lz9Xg5gjnLwrDnDw!2e0!6shttps:%2F%2Fstreetviewpixels-pa.googleapis.com%2Fv1%2Fthumbnail%3Fcb_client%3Dmaps_sv.tactile%26w%3D900%26h%3D600%26pitch%3D-17.1350568363313%26panoid%3D6OrVH7Lz9Xg5gjnLwrDnDw%26yaw%3D297.17558740730084!7i16384!8i8192!4m4!3m3!8m2!3d47.6494611!4d-52.7631278?entry=ttu&amp;g_ep=EgoyMDI2MDExMy4wIKXMDSoASAFQAw%3D%3D" TargetMode="External"/><Relationship Id="rId21" Type="http://schemas.openxmlformats.org/officeDocument/2006/relationships/hyperlink" Target="https://www.google.com/maps/place/Starbucks+Coffee+Company/@47.5075657,-52.8312624,3a,90y,69.31h,88.68t/data=!3m7!1e1!3m5!1sCIHM0ogKEICAgICTwJfzZA!2e10!6shttps:%2F%2Flh3.googleusercontent.com%2Fgpms-cs-s%2FAPRy3c89fh7AITjMVxPCw0s4homZ8HAors92mHRukblKeVt5XOAWfsYjESb4VMnM4TkFMWujWYGoDRj-1EKRv-GYLzIjXJ0DYDb4Ki0KphlBvwV-eAfdgcH8sjhiXaeS7o6r-LVED9No%3Dw900-h600-k-no-pi1.3184602554007654-ya265.9999136493321-ro0-fo100!7i7680!8i3840!4m12!1m5!3m4!2zNDfCsDMwJzI2LjUiTiA1MsKwNDknNDcuOSJX!8m2!3d47.50735!4d-52.8299806!3m5!1s0x4b0cbd8b38d23217:0x7d764b4b5d9f433c!8m2!3d47.50766!4d-52.83188!16s%2Fg%2F11fr3b6wx5?entry=ttu&amp;g_ep=EgoyMDI2MDEyMC4wIKXMDSoASAFQAw%3D%3D" TargetMode="External"/><Relationship Id="rId7" Type="http://schemas.openxmlformats.org/officeDocument/2006/relationships/hyperlink" Target="https://www.google.com/maps/place/47%C2%B033'26.4%22N+52%C2%B043'17.7%22W/@47.5584906,-52.7213351,3a,75y,149.75h,89.99t/data=!3m7!1e1!3m5!1squ_2MJ_Gsp77Y5XtqI-R7Q!2e0!6shttps:%2F%2Fstreetviewpixels-pa.googleapis.com%2Fv1%2Fthumbnail%3Fcb_client%3Dmaps_sv.tactile%26w%3D900%26h%3D600%26pitch%3D0.01000328998070188%26panoid%3Dqu_2MJ_Gsp77Y5XtqI-R7Q%26yaw%3D149.74537118077964!7i16384!8i8192!4m4!3m3!8m2!3d47.5573444!4d-52.7215722?entry=ttu&amp;g_ep=EgoyMDI2MDExMy4wIKXMDSoASAFQAw%3D%3D" TargetMode="External"/><Relationship Id="rId12" Type="http://schemas.openxmlformats.org/officeDocument/2006/relationships/hyperlink" Target="https://www.google.com/maps/place/50%C2%B038'58.0%22N+57%C2%B017'43.0%22W/@50.6471075,-57.2908134,3a,60.8y,328.39h,114.62t/data=!3m7!1e1!3m5!1s0UVBto5m8NavgNmFmhRBGA!2e0!6shttps:%2F%2Fstreetviewpixels-pa.googleapis.com%2Fv1%2Fthumbnail%3Fcb_client%3Dmaps_sv.tactile%26w%3D900%26h%3D600%26pitch%3D-24.617481223659013%26panoid%3D0UVBto5m8NavgNmFmhRBGA%26yaw%3D328.39126037502393!7i16384!8i8192!4m4!3m3!8m2!3d50.6494417!4d-57.295275?entry=ttu&amp;g_ep=EgoyMDI2MDExMy4wIKXMDSoASAFQAw%3D%3D" TargetMode="External"/><Relationship Id="rId17" Type="http://schemas.openxmlformats.org/officeDocument/2006/relationships/hyperlink" Target="https://www.google.com/maps/place/47%C2%B033'56.4%22N+52%C2%B042'18.0%22W/@47.5660244,-52.7046549,3a,75.5y,279.12h,118.86t/data=!3m7!1e1!3m5!1sqIENDDTGJBsnDZb9pNnMdg!2e0!6shttps:%2F%2Fstreetviewpixels-pa.googleapis.com%2Fv1%2Fthumbnail%3Fcb_client%3Dmaps_sv.tactile%26w%3D900%26h%3D600%26pitch%3D-28.861987244627485%26panoid%3DqIENDDTGJBsnDZb9pNnMdg%26yaw%3D279.1166224165664!7i16384!8i8192!4m4!3m3!8m2!3d47.5656667!4d-52.7049861?entry=ttu&amp;g_ep=EgoyMDI2MDExOS4wIKXMDSoASAFQAw%3D%3D" TargetMode="External"/><Relationship Id="rId25" Type="http://schemas.openxmlformats.org/officeDocument/2006/relationships/hyperlink" Target="https://www.google.com/maps/place/46%C2%B057'49.0%22N+52%C2%B056'54.0%22W/@46.967504,-52.9572675,3a,15.1y,126.85h,95.84t/data=!3m7!1e1!3m5!1sTY9NqQ4rX4YNXYKIwbe2DA!2e0!6shttps:%2F%2Fstreetviewpixels-pa.googleapis.com%2Fv1%2Fthumbnail%3Fcb_client%3Dmaps_sv.tactile%26w%3D900%26h%3D600%26pitch%3D-5.84315726708715%26panoid%3DTY9NqQ4rX4YNXYKIwbe2DA%26yaw%3D126.84930934359338!7i13312!8i6656!4m4!3m3!8m2!3d46.9636083!4d-52.9483333?entry=ttu&amp;g_ep=EgoyMDI2MDEyMC4wIKXMDSoASAFQAw%3D%3D" TargetMode="External"/><Relationship Id="rId2" Type="http://schemas.openxmlformats.org/officeDocument/2006/relationships/hyperlink" Target="https://www.google.com/maps/place/CBC+Broadcast+Tower/@47.5284294,-52.7865416,3a,15y,330.54h,108.3t/data=!3m7!1e1!3m5!1sTllWGCZ-Fnp7YklgsrEkzQ!2e0!6shttps:%2F%2Fstreetviewpixels-pa.googleapis.com%2Fv1%2Fthumbnail%3Fcb_client%3Dmaps_sv.tactile%26w%3D900%26h%3D600%26pitch%3D-18.295292907959677%26panoid%3DTllWGCZ-Fnp7YklgsrEkzQ%26yaw%3D330.53704615249876!7i13312!8i6656!4m12!1m5!3m4!2zNDfCsDMxJzU5LjEiTiA1MsKwNDcnMjYuMSJX!8m2!3d47.5330778!4d-52.7905778!3m5!1s0x4b0cbd00496c1fd3:0x3e8803310c53bed6!8m2!3d47.5331555!4d-52.7905149!16s%2Fg%2F11ldv9ljvd?entry=ttu&amp;g_ep=EgoyMDI2MDExMy4wIKXMDSoASAFQAw%3D%3D" TargetMode="External"/><Relationship Id="rId16" Type="http://schemas.openxmlformats.org/officeDocument/2006/relationships/hyperlink" Target="https://www.google.com/maps/place/47%C2%B033'35.9%22N+52%C2%B044'44.1%22W/@47.5607071,-52.7441635,3a,75y,93.39h,96.62t/data=!3m7!1e1!3m5!1sCIHM0ogKEICAgIDa59DKPg!2e10!6shttps:%2F%2Flh3.googleusercontent.com%2Fgpms-cs-s%2FAPRy3c_EV9Hq1o9qrQF2tLxPLif7nUoegxiYLEh39iVWRNuq4202TXlzMnQr4aDD8wd6QWRcvHz0UI2BEaubqfSRnXyC4bfXYSqUBx1nteJm89_wfJjZd7lAd2UG5ftv196SoabbNX1C%3Dw900-h600-k-no-pi-6.620516700606359-ya90.44450845637478-ro0-fo100!7i7680!8i3840!4m4!3m3!8m2!3d47.5599694!4d-52.7455778?entry=ttu&amp;g_ep=EgoyMDI2MDExOS4wIKXMDSoASAFQAw%3D%3D" TargetMode="External"/><Relationship Id="rId20" Type="http://schemas.openxmlformats.org/officeDocument/2006/relationships/hyperlink" Target="https://www.google.com/maps/place/47%C2%B033'35.7%22N+52%C2%B044'47.0%22W/@47.5601745,-52.7458526,3a,41.2y,229.94h,105.34t/data=!3m8!1e1!3m6!1sCIHM0ogKEICAgICb6YTmNA!2e10!3e11!6shttps:%2F%2Flh3.googleusercontent.com%2Fgpms-cs-s%2FAPRy3c8rOIB1zwqK299firj6fJXTbLHBTeDPB-cAfGA2hwxN00FrBup_2pe7xZgItvkVY-sZYxvZqErcTP_v80TGP8iUxeVGz6GhsCegxsYQ0CQqUZq6ximpjaqEBrT8Q7wQG6zdYRo%3Dw900-h600-k-no-pi-15.34208656749972-ya319.98276148773516-ro0-fo100!7i7680!8i3840!4m4!3m3!8m2!3d47.5599278!4d-52.7463889?entry=ttu&amp;g_ep=EgoyMDI1MTIwOS4wIKXMDSoASAFQAw%3D%3D" TargetMode="External"/><Relationship Id="rId1" Type="http://schemas.openxmlformats.org/officeDocument/2006/relationships/hyperlink" Target="mailto:admin@insighttherapynl.ca" TargetMode="External"/><Relationship Id="rId6" Type="http://schemas.openxmlformats.org/officeDocument/2006/relationships/hyperlink" Target="https://www.google.com/maps/place/49%C2%B008'30.8%22N+55%C2%B005'03.1%22W/@49.145282,-55.0765935,3a,71y,353.71h,92.55t/data=!3m7!1e1!3m5!1smZijSEWYOuQ4wGasUpdPAQ!2e0!6shttps:%2F%2Fstreetviewpixels-pa.googleapis.com%2Fv1%2Fthumbnail%3Fcb_client%3Dmaps_sv.tactile%26w%3D900%26h%3D600%26pitch%3D-2.5498738488591783%26panoid%3DmZijSEWYOuQ4wGasUpdPAQ%26yaw%3D353.712913746956!7i16384!8i8192!4m4!3m3!8m2!3d49.1418972!4d-55.0842?entry=ttu&amp;g_ep=EgoyMDI2MDExMy4wIKXMDSoASAFQAw%3D%3D" TargetMode="External"/><Relationship Id="rId11" Type="http://schemas.openxmlformats.org/officeDocument/2006/relationships/hyperlink" Target="https://www.google.com/maps/place/48%C2%B035'58.7%22N+59%C2%B007'52.9%22W/@48.5988479,-59.1333813,3a,75y,122.01h,111.24t/data=!3m7!1e1!3m5!1sSYuXRb3-M0lLv5OYif1TmA!2e0!6shttps:%2F%2Fstreetviewpixels-pa.googleapis.com%2Fv1%2Fthumbnail%3Fcb_client%3Dmaps_sv.tactile%26w%3D900%26h%3D600%26pitch%3D-21.24216342777207%26panoid%3DSYuXRb3-M0lLv5OYif1TmA%26yaw%3D122.0062318580585!7i16384!8i8192!4m4!3m3!8m2!3d48.5996333!4d-59.1313694?entry=ttu&amp;g_ep=EgoyMDI2MDExMy4wIKXMDSoASAFQAw%3D%3D" TargetMode="External"/><Relationship Id="rId24" Type="http://schemas.openxmlformats.org/officeDocument/2006/relationships/hyperlink" Target="https://www.google.com/maps/place/47%C2%B032'05.0%22N+52%C2%B045'01.0%22W/@47.5334916,-52.7498098,3a,30.5y,343.23h,99.12t/data=!3m7!1e1!3m5!1s-qFtvOxZsFqsJOYZxgAicQ!2e0!6shttps:%2F%2Fstreetviewpixels-pa.googleapis.com%2Fv1%2Fthumbnail%3Fcb_client%3Dmaps_sv.tactile%26w%3D900%26h%3D600%26pitch%3D-9.117271375927515%26panoid%3D-qFtvOxZsFqsJOYZxgAicQ%26yaw%3D343.2303119153915!7i13312!8i6656!4m4!3m3!8m2!3d47.5347194!4d-52.7502778?entry=ttu&amp;g_ep=EgoyMDI2MDEyMC4wIKXMDSoASAFQAw%3D%3D" TargetMode="External"/><Relationship Id="rId5" Type="http://schemas.openxmlformats.org/officeDocument/2006/relationships/hyperlink" Target="https://www.google.com/maps/place/47%C2%B033'41.6%22N+52%C2%B043'52.4%22W/@47.5622919,-52.73097,3a,75y,34.9h,101.42t/data=!3m7!1e1!3m5!1sNmQ7e-V0BstmgkhawE7nqw!2e0!6shttps:%2F%2Fstreetviewpixels-pa.googleapis.com%2Fv1%2Fthumbnail%3Fcb_client%3Dmaps_sv.tactile%26w%3D900%26h%3D600%26pitch%3D-11.42287028498086%26panoid%3DNmQ7e-V0BstmgkhawE7nqw%26yaw%3D34.89858369735908!7i16384!8i8192!4m4!3m3!8m2!3d47.5615444!4d-52.7312139?entry=ttu&amp;g_ep=EgoyMDI2MDExMy4wIKXMDSoASAFQAw%3D%3D" TargetMode="External"/><Relationship Id="rId15" Type="http://schemas.openxmlformats.org/officeDocument/2006/relationships/hyperlink" Target="https://www.google.com/maps/place/47%C2%B031'52.0%22N+52%C2%B049'49.6%22W/@47.5346178,-52.8257916,3a,49.6y,89.3h,97.11t/data=!3m7!1e1!3m5!1s7Vii88Dfs1WKr5LUSkf57w!2e0!6shttps:%2F%2Fstreetviewpixels-pa.googleapis.com%2Fv1%2Fthumbnail%3Fcb_client%3Dmaps_sv.tactile%26w%3D900%26h%3D600%26pitch%3D-7.106154796836137%26panoid%3D7Vii88Dfs1WKr5LUSkf57w%26yaw%3D89.29634515155938!7i16384!8i8192!4m4!3m3!8m2!3d47.5311167!4d-52.8304306?entry=ttu&amp;g_ep=EgoyMDI2MDExOS4wIKXMDSoASAFQAw%3D%3D" TargetMode="External"/><Relationship Id="rId23" Type="http://schemas.openxmlformats.org/officeDocument/2006/relationships/hyperlink" Target="https://www.google.com/maps/place/48%C2%B054'51.1%22N+57%C2%B055'05.2%22W/@48.9125556,-57.9001644,3a,30.1y,274.15h,95.31t/data=!3m7!1e1!3m5!1sYP75mmGgV73C8s-BwZozNg!2e0!6shttps:%2F%2Fstreetviewpixels-pa.googleapis.com%2Fv1%2Fthumbnail%3Fcb_client%3Dmaps_sv.tactile%26w%3D900%26h%3D600%26pitch%3D-5.312950355185166%26panoid%3DYP75mmGgV73C8s-BwZozNg%26yaw%3D274.1529672464442!7i16384!8i8192!4m4!3m3!8m2!3d48.9142!4d-57.9181?entry=ttu&amp;g_ep=EgoyMDI2MDEyMC4wIKXMDSoASAFQAw%3D%3D" TargetMode="External"/><Relationship Id="rId10" Type="http://schemas.openxmlformats.org/officeDocument/2006/relationships/hyperlink" Target="https://www.google.com/maps/place/47%C2%B041'35.9%22N+53%C2%B028'10.1%22W/@47.6915638,-53.478489,3a,15y,74.55h,102.19t/data=!3m7!1e1!3m5!1sFieR373PlIjmhOwhKXXjag!2e0!6shttps:%2F%2Fstreetviewpixels-pa.googleapis.com%2Fv1%2Fthumbnail%3Fcb_client%3Dmaps_sv.tactile%26w%3D900%26h%3D600%26pitch%3D-12.185354022588328%26panoid%3DFieR373PlIjmhOwhKXXjag%26yaw%3D74.54665429886009!7i13312!8i6656!4m4!3m3!8m2!3d47.6933028!4d-53.4694694?entry=ttu&amp;g_ep=EgoyMDI2MDExMy4wIKXMDSoASAFQAw%3D%3D" TargetMode="External"/><Relationship Id="rId19" Type="http://schemas.openxmlformats.org/officeDocument/2006/relationships/hyperlink" Target="https://www.google.com/maps/place/48%C2%B022'05.4%22N+53%C2%B043'22.5%22W/@48.3693772,-53.7205138,3a,90y,321.87h,103.14t/data=!3m7!1e1!3m5!1sQutIgATg0DmGq7w2Bj_qAg!2e0!6shttps:%2F%2Fstreetviewpixels-pa.googleapis.com%2Fv1%2Fthumbnail%3Fcb_client%3Dmaps_sv.tactile%26w%3D900%26h%3D600%26pitch%3D-13.137750290617348%26panoid%3DQutIgATg0DmGq7w2Bj_qAg%26yaw%3D321.86536661599143!7i13312!8i6656!4m4!3m3!8m2!3d48.3681528!4d-53.722925?entry=ttu&amp;g_ep=EgoyMDI2MDExOS4wIKXMDSoASAFQAw%3D%3D" TargetMode="External"/><Relationship Id="rId4" Type="http://schemas.openxmlformats.org/officeDocument/2006/relationships/hyperlink" Target="https://www.google.com/maps/place/48%C2%B058'60.0%22N+57%C2%B055'56.0%22W/@48.9842355,-57.9323791,3a,54.8y,206.13h,99.55t/data=!3m7!1e1!3m5!1siJanavBEvEMU5iVvPUafyQ!2e0!6shttps:%2F%2Fstreetviewpixels-pa.googleapis.com%2Fv1%2Fthumbnail%3Fcb_client%3Dmaps_sv.tactile%26w%3D900%26h%3D600%26pitch%3D-9.550598257832561%26panoid%3DiJanavBEvEMU5iVvPUafyQ%26yaw%3D206.13263861280848!7i16384!8i8192!4m4!3m3!8m2!3d48.9833306!4d-57.9322194?entry=ttu&amp;g_ep=EgoyMDI2MDExMy4wIKXMDSoASAFQAw%3D%3D" TargetMode="External"/><Relationship Id="rId9" Type="http://schemas.openxmlformats.org/officeDocument/2006/relationships/hyperlink" Target="https://www.google.com/maps/place/47%C2%B033'46.0%22N+52%C2%B048'32.0%22W/@47.5660563,-52.8077593,3a,36.9y,195.71h,95.28t/data=!3m8!1e1!3m6!1sCIHM0ogKEICAgIDaq7jM9AE!2e10!3e11!6shttps:%2F%2Flh3.googleusercontent.com%2Fgpms-cs-s%2FAPRy3c8KXGbKCFVhTAAHF5U7m0kUZ6woSCiHFBodc7lUGPBQDBw0QMseahY4awGkT-NBhcxY6cgsaBLs6lLYF3GJGZfbdNyz54unJFKAI52LVdTC7BoZKQjlWza9GYEiL0vCjYMObtmpXw%3Dw900-h600-k-no-pi-5.284160818188468-ya233.08868987788046-ro0-fo100!7i7680!8i3840!4m4!3m3!8m2!3d47.5627778!4d-52.8088889?entry=ttu&amp;g_ep=EgoyMDI2MDExMy4wIKXMDSoASAFQAw%3D%3D" TargetMode="External"/><Relationship Id="rId14" Type="http://schemas.openxmlformats.org/officeDocument/2006/relationships/hyperlink" Target="https://www.google.com/maps/place/47%C2%B034'27.9%22N+52%C2%B043'19.6%22W/@47.5738621,-52.724921,3a,47y,84.07h,106.07t/data=!3m7!1e1!3m5!1slGcLO_0evDMXMTC3QrGchQ!2e0!6shttps:%2F%2Fstreetviewpixels-pa.googleapis.com%2Fv1%2Fthumbnail%3Fcb_client%3Dmaps_sv.tactile%26w%3D900%26h%3D600%26pitch%3D-16.073275292922844%26panoid%3DlGcLO_0evDMXMTC3QrGchQ%26yaw%3D84.06549911405195!7i13312!8i6656!4m4!3m3!8m2!3d47.5744194!4d-52.7221?entry=ttu&amp;g_ep=EgoyMDI2MDExOS4wIKXMDSoASAFQAw%3D%3D" TargetMode="External"/><Relationship Id="rId22" Type="http://schemas.openxmlformats.org/officeDocument/2006/relationships/hyperlink" Target="https://www.google.com/maps/place/48%C2%B047'20.0%22N+54%C2%B012'24.8%22W/@48.789221,-54.2062857,3a,75.4y,242.61h,107.59t/data=!3m8!1e1!3m6!1sCIHM0ogKEICAgICe8dTuGw!2e10!3e11!6shttps:%2F%2Flh3.googleusercontent.com%2Fgpms-cs-s%2FAPRy3c8NKDLwhU778Huost6lpedWZf8aHAaThi0AGL2_PiCC2kUGHKrX8TwBTm8acn-_sDSuiRc1BGfAuLfe0IgJY6WfbmjFDA2k1rx6c1YCV4umzZ2uYdHLeYP6s2VzBgXtTt1ug-A%3Dw900-h600-k-no-pi-17.590933934684173-ya180.61338581687784-ro0-fo100!7i11264!8i5632!4m4!3m3!8m2!3d48.7889!4d-54.2069?entry=ttu&amp;g_ep=EgoyMDI2MDEyMC4wIKXMDSoASAFQAw%3D%3D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CCDCD-0A36-4A84-A598-3063F16788A3}">
  <sheetPr>
    <tabColor theme="8" tint="-0.499984740745262"/>
  </sheetPr>
  <dimension ref="A1:M1033262"/>
  <sheetViews>
    <sheetView topLeftCell="E1" workbookViewId="0">
      <pane ySplit="1" topLeftCell="A2" activePane="bottomLeft" state="frozen"/>
      <selection activeCell="E1" sqref="E1"/>
      <selection pane="bottomLeft" activeCell="K1" sqref="K1"/>
    </sheetView>
  </sheetViews>
  <sheetFormatPr defaultRowHeight="14.5" x14ac:dyDescent="0.35"/>
  <cols>
    <col min="1" max="1" width="0" style="9" hidden="1" customWidth="1"/>
    <col min="2" max="2" width="17.1796875" style="9" hidden="1" customWidth="1"/>
    <col min="3" max="3" width="13" style="9" hidden="1" customWidth="1"/>
    <col min="4" max="4" width="14.54296875" style="9" hidden="1" customWidth="1"/>
    <col min="5" max="5" width="26.1796875" style="10" customWidth="1"/>
    <col min="6" max="6" width="77.453125" style="11" customWidth="1"/>
    <col min="7" max="7" width="34.26953125" style="12" customWidth="1"/>
    <col min="8" max="8" width="81" style="43" customWidth="1"/>
    <col min="9" max="9" width="68.1796875" style="12" customWidth="1"/>
    <col min="10" max="10" width="61.453125" style="12" customWidth="1"/>
    <col min="11" max="11" width="36.54296875" style="12" bestFit="1" customWidth="1"/>
    <col min="12" max="12" width="20.453125" style="12" bestFit="1" customWidth="1"/>
    <col min="13" max="13" width="13.54296875" style="12" bestFit="1" customWidth="1"/>
  </cols>
  <sheetData>
    <row r="1" spans="1:13" ht="34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4" t="s">
        <v>6</v>
      </c>
      <c r="H1" s="42" t="s">
        <v>7</v>
      </c>
      <c r="I1" s="4" t="s">
        <v>8</v>
      </c>
      <c r="J1" s="5" t="s">
        <v>9</v>
      </c>
      <c r="K1" s="46" t="s">
        <v>10</v>
      </c>
      <c r="L1" s="7" t="s">
        <v>11</v>
      </c>
      <c r="M1" s="8" t="s">
        <v>12</v>
      </c>
    </row>
    <row r="2" spans="1:13" ht="29" x14ac:dyDescent="0.35">
      <c r="A2" s="9" t="s">
        <v>13</v>
      </c>
      <c r="B2" s="9" t="s">
        <v>14</v>
      </c>
      <c r="C2" s="9" t="s">
        <v>15</v>
      </c>
      <c r="D2" s="9" t="s">
        <v>16</v>
      </c>
      <c r="E2" s="10" t="s">
        <v>17</v>
      </c>
      <c r="F2" s="11" t="s">
        <v>18</v>
      </c>
      <c r="H2" s="43" t="str">
        <f>HYPERLINK("https://www.google.com/maps/?q=46.578055556,-64.0019444439999", "https://www.google.com/maps/?q=46.578055556,-64.0019444439999")</f>
        <v>https://www.google.com/maps/?q=46.578055556,-64.0019444439999</v>
      </c>
      <c r="K2" s="13"/>
    </row>
    <row r="3" spans="1:13" x14ac:dyDescent="0.35">
      <c r="A3" s="9" t="s">
        <v>19</v>
      </c>
      <c r="B3" s="9" t="s">
        <v>20</v>
      </c>
      <c r="C3" s="9" t="s">
        <v>21</v>
      </c>
      <c r="D3" s="9" t="s">
        <v>22</v>
      </c>
      <c r="E3" s="10" t="s">
        <v>17</v>
      </c>
      <c r="F3" s="11" t="s">
        <v>23</v>
      </c>
      <c r="H3" s="43" t="str">
        <f>HYPERLINK("https://www.google.com/maps/?q=46.8309,-64.1410999999999", "https://www.google.com/maps/?q=46.8309,-64.1410999999999")</f>
        <v>https://www.google.com/maps/?q=46.8309,-64.1410999999999</v>
      </c>
      <c r="K3" s="13"/>
    </row>
    <row r="4" spans="1:13" ht="29" x14ac:dyDescent="0.35">
      <c r="A4" s="9" t="s">
        <v>24</v>
      </c>
      <c r="B4" s="9" t="s">
        <v>25</v>
      </c>
      <c r="C4" s="9" t="s">
        <v>26</v>
      </c>
      <c r="D4" s="9" t="s">
        <v>27</v>
      </c>
      <c r="E4" s="10" t="s">
        <v>28</v>
      </c>
      <c r="F4" s="11" t="s">
        <v>29</v>
      </c>
      <c r="H4" s="43" t="str">
        <f>HYPERLINK("https://www.google.com/maps/?q=46.3915555560001,-63.792730556", "https://www.google.com/maps/?q=46.3915555560001,-63.792730556")</f>
        <v>https://www.google.com/maps/?q=46.3915555560001,-63.792730556</v>
      </c>
      <c r="I4" s="14"/>
      <c r="J4" s="15"/>
      <c r="K4" s="13"/>
    </row>
    <row r="5" spans="1:13" ht="29" x14ac:dyDescent="0.35">
      <c r="A5" s="9" t="s">
        <v>30</v>
      </c>
      <c r="B5" s="9" t="s">
        <v>31</v>
      </c>
      <c r="C5" s="9" t="s">
        <v>32</v>
      </c>
      <c r="D5" s="9" t="s">
        <v>33</v>
      </c>
      <c r="E5" s="10" t="s">
        <v>28</v>
      </c>
      <c r="F5" s="11" t="s">
        <v>34</v>
      </c>
      <c r="H5" s="43" t="str">
        <f>HYPERLINK("https://www.google.com/maps/?q=46.705419444,-64.220980556", "https://www.google.com/maps/?q=46.705419444,-64.220980556")</f>
        <v>https://www.google.com/maps/?q=46.705419444,-64.220980556</v>
      </c>
      <c r="K5" s="13"/>
    </row>
    <row r="6" spans="1:13" ht="29" x14ac:dyDescent="0.35">
      <c r="A6" s="9" t="s">
        <v>35</v>
      </c>
      <c r="B6" s="9" t="s">
        <v>36</v>
      </c>
      <c r="C6" s="9" t="s">
        <v>37</v>
      </c>
      <c r="D6" s="9" t="s">
        <v>38</v>
      </c>
      <c r="E6" s="10" t="s">
        <v>28</v>
      </c>
      <c r="F6" s="11" t="s">
        <v>39</v>
      </c>
      <c r="H6" s="43" t="str">
        <f>HYPERLINK("https://www.google.com/maps/?q=46.5991666670001,-63.9314388889999", "https://www.google.com/maps/?q=46.5991666670001,-63.9314388889999")</f>
        <v>https://www.google.com/maps/?q=46.5991666670001,-63.9314388889999</v>
      </c>
    </row>
    <row r="7" spans="1:13" ht="29" x14ac:dyDescent="0.35">
      <c r="A7" s="9" t="s">
        <v>40</v>
      </c>
      <c r="B7" s="9" t="s">
        <v>41</v>
      </c>
      <c r="C7" s="9" t="s">
        <v>42</v>
      </c>
      <c r="D7" s="9" t="s">
        <v>43</v>
      </c>
      <c r="E7" s="10" t="s">
        <v>44</v>
      </c>
      <c r="F7" s="11" t="s">
        <v>45</v>
      </c>
      <c r="H7" s="43" t="str">
        <f>HYPERLINK("https://www.google.com/maps/?q=46.4196055560001,-63.7586666669999", "https://www.google.com/maps/?q=46.4196055560001,-63.7586666669999")</f>
        <v>https://www.google.com/maps/?q=46.4196055560001,-63.7586666669999</v>
      </c>
    </row>
    <row r="8" spans="1:13" x14ac:dyDescent="0.35">
      <c r="A8" s="9" t="s">
        <v>46</v>
      </c>
      <c r="B8" s="9" t="s">
        <v>47</v>
      </c>
      <c r="C8" s="9" t="s">
        <v>48</v>
      </c>
      <c r="D8" s="9" t="s">
        <v>49</v>
      </c>
      <c r="E8" s="10" t="s">
        <v>50</v>
      </c>
      <c r="F8" s="11" t="s">
        <v>51</v>
      </c>
      <c r="H8" s="43" t="str">
        <f>HYPERLINK("https://www.google.com/maps/?q=46.830555556,-64.1408472219999", "https://www.google.com/maps/?q=46.830555556,-64.1408472219999")</f>
        <v>https://www.google.com/maps/?q=46.830555556,-64.1408472219999</v>
      </c>
      <c r="K8" s="13"/>
    </row>
    <row r="9" spans="1:13" ht="29" x14ac:dyDescent="0.35">
      <c r="A9" s="9" t="s">
        <v>52</v>
      </c>
      <c r="B9" s="9" t="s">
        <v>53</v>
      </c>
      <c r="C9" s="9" t="s">
        <v>54</v>
      </c>
      <c r="D9" s="9" t="s">
        <v>55</v>
      </c>
      <c r="E9" s="10" t="s">
        <v>44</v>
      </c>
      <c r="F9" s="11" t="s">
        <v>56</v>
      </c>
      <c r="H9" s="43" t="str">
        <f>HYPERLINK("https://www.google.com/maps/?q=46.606472222,-63.936222222", "https://www.google.com/maps/?q=46.606472222,-63.936222222")</f>
        <v>https://www.google.com/maps/?q=46.606472222,-63.936222222</v>
      </c>
    </row>
    <row r="10" spans="1:13" ht="29" x14ac:dyDescent="0.35">
      <c r="A10" s="9" t="s">
        <v>57</v>
      </c>
      <c r="B10" s="9" t="s">
        <v>58</v>
      </c>
      <c r="C10" s="9" t="s">
        <v>59</v>
      </c>
      <c r="D10" s="9" t="s">
        <v>60</v>
      </c>
      <c r="E10" s="10" t="s">
        <v>28</v>
      </c>
      <c r="F10" s="11" t="s">
        <v>61</v>
      </c>
      <c r="H10" s="43" t="str">
        <f>HYPERLINK("https://www.google.com/maps/?q=46.3891944440001,-63.782502778", "https://www.google.com/maps/?q=46.3891944440001,-63.782502778")</f>
        <v>https://www.google.com/maps/?q=46.3891944440001,-63.782502778</v>
      </c>
      <c r="J10" s="16"/>
    </row>
    <row r="11" spans="1:13" ht="29" x14ac:dyDescent="0.35">
      <c r="A11" s="9" t="s">
        <v>62</v>
      </c>
      <c r="B11" s="9" t="s">
        <v>63</v>
      </c>
      <c r="C11" s="9" t="s">
        <v>64</v>
      </c>
      <c r="D11" s="9" t="s">
        <v>65</v>
      </c>
      <c r="E11" s="10" t="s">
        <v>66</v>
      </c>
      <c r="F11" s="11" t="s">
        <v>67</v>
      </c>
      <c r="H11" s="43" t="str">
        <f>HYPERLINK("https://www.google.com/maps/?q=46.403269444,-63.7520388889999", "https://www.google.com/maps/?q=46.403269444,-63.7520388889999")</f>
        <v>https://www.google.com/maps/?q=46.403269444,-63.7520388889999</v>
      </c>
      <c r="K11" s="13"/>
    </row>
    <row r="12" spans="1:13" ht="29" x14ac:dyDescent="0.35">
      <c r="A12" s="9" t="s">
        <v>68</v>
      </c>
      <c r="B12" s="9" t="s">
        <v>69</v>
      </c>
      <c r="C12" s="9" t="s">
        <v>70</v>
      </c>
      <c r="D12" s="9" t="s">
        <v>71</v>
      </c>
      <c r="E12" s="10" t="s">
        <v>66</v>
      </c>
      <c r="F12" s="11" t="s">
        <v>72</v>
      </c>
      <c r="H12" s="43" t="str">
        <f>HYPERLINK("https://www.google.com/maps/?q=46.948888889,-64.0655555559999", "https://www.google.com/maps/?q=46.948888889,-64.0655555559999")</f>
        <v>https://www.google.com/maps/?q=46.948888889,-64.0655555559999</v>
      </c>
      <c r="K12" s="13"/>
    </row>
    <row r="13" spans="1:13" ht="29" x14ac:dyDescent="0.35">
      <c r="A13" s="9" t="s">
        <v>73</v>
      </c>
      <c r="B13" s="9" t="s">
        <v>74</v>
      </c>
      <c r="C13" s="9" t="s">
        <v>75</v>
      </c>
      <c r="D13" s="9" t="s">
        <v>76</v>
      </c>
      <c r="E13" s="10" t="s">
        <v>28</v>
      </c>
      <c r="F13" s="11" t="s">
        <v>77</v>
      </c>
      <c r="H13" s="43" t="str">
        <f>HYPERLINK("https://www.google.com/maps/?q=46.452855556,-64.0771694439999", "https://www.google.com/maps/?q=46.452855556,-64.0771694439999")</f>
        <v>https://www.google.com/maps/?q=46.452855556,-64.0771694439999</v>
      </c>
      <c r="K13" s="13"/>
    </row>
    <row r="14" spans="1:13" x14ac:dyDescent="0.35">
      <c r="A14" s="9" t="s">
        <v>78</v>
      </c>
      <c r="B14" s="9" t="s">
        <v>79</v>
      </c>
      <c r="C14" s="9" t="s">
        <v>80</v>
      </c>
      <c r="D14" s="9" t="s">
        <v>81</v>
      </c>
      <c r="E14" s="10" t="s">
        <v>28</v>
      </c>
      <c r="F14" s="11" t="s">
        <v>23</v>
      </c>
      <c r="H14" s="43" t="str">
        <f>HYPERLINK("https://www.google.com/maps/?q=46.8309333330001,-64.141125", "https://www.google.com/maps/?q=46.8309333330001,-64.141125")</f>
        <v>https://www.google.com/maps/?q=46.8309333330001,-64.141125</v>
      </c>
    </row>
    <row r="15" spans="1:13" x14ac:dyDescent="0.35">
      <c r="A15" s="9" t="s">
        <v>82</v>
      </c>
      <c r="B15" s="9" t="s">
        <v>83</v>
      </c>
      <c r="C15" s="9" t="s">
        <v>84</v>
      </c>
      <c r="D15" s="9" t="s">
        <v>85</v>
      </c>
      <c r="E15" s="10" t="s">
        <v>44</v>
      </c>
      <c r="F15" s="11" t="s">
        <v>86</v>
      </c>
      <c r="H15" s="43" t="str">
        <f>HYPERLINK("https://www.google.com/maps/?q=46.8931166670001,-64.115813889", "https://www.google.com/maps/?q=46.8931166670001,-64.115813889")</f>
        <v>https://www.google.com/maps/?q=46.8931166670001,-64.115813889</v>
      </c>
      <c r="I15" s="16"/>
      <c r="J15" s="17"/>
    </row>
    <row r="16" spans="1:13" ht="29" x14ac:dyDescent="0.35">
      <c r="A16" s="9" t="s">
        <v>87</v>
      </c>
      <c r="B16" s="9" t="s">
        <v>88</v>
      </c>
      <c r="C16" s="9" t="s">
        <v>89</v>
      </c>
      <c r="D16" s="9" t="s">
        <v>90</v>
      </c>
      <c r="E16" s="10" t="s">
        <v>44</v>
      </c>
      <c r="F16" s="11" t="s">
        <v>91</v>
      </c>
      <c r="H16" s="43" t="str">
        <f>HYPERLINK("https://www.google.com/maps/?q=46.7114,-64.2205999999999", "https://www.google.com/maps/?q=46.7114,-64.2205999999999")</f>
        <v>https://www.google.com/maps/?q=46.7114,-64.2205999999999</v>
      </c>
      <c r="I16" s="16"/>
    </row>
    <row r="17" spans="1:11" ht="29" x14ac:dyDescent="0.35">
      <c r="A17" s="9" t="s">
        <v>92</v>
      </c>
      <c r="B17" s="9" t="s">
        <v>93</v>
      </c>
      <c r="C17" s="9" t="s">
        <v>94</v>
      </c>
      <c r="D17" s="9" t="s">
        <v>95</v>
      </c>
      <c r="E17" s="10" t="s">
        <v>28</v>
      </c>
      <c r="F17" s="11" t="s">
        <v>96</v>
      </c>
      <c r="H17" s="43" t="str">
        <f>HYPERLINK("https://www.google.com/maps/?q=46.4114000000001,-63.8018999999999", "https://www.google.com/maps/?q=46.4114000000001,-63.8018999999999")</f>
        <v>https://www.google.com/maps/?q=46.4114000000001,-63.8018999999999</v>
      </c>
      <c r="K17" s="13"/>
    </row>
    <row r="18" spans="1:11" ht="29" x14ac:dyDescent="0.35">
      <c r="A18" s="9" t="s">
        <v>97</v>
      </c>
      <c r="B18" s="9" t="s">
        <v>98</v>
      </c>
      <c r="C18" s="9" t="s">
        <v>99</v>
      </c>
      <c r="D18" s="9" t="s">
        <v>100</v>
      </c>
      <c r="E18" s="10" t="s">
        <v>28</v>
      </c>
      <c r="F18" s="11" t="s">
        <v>101</v>
      </c>
      <c r="H18" s="43" t="str">
        <f>HYPERLINK("https://www.google.com/maps/?q=46.9366694440001,-64.033491667", "https://www.google.com/maps/?q=46.9366694440001,-64.033491667")</f>
        <v>https://www.google.com/maps/?q=46.9366694440001,-64.033491667</v>
      </c>
      <c r="K18" s="13"/>
    </row>
    <row r="19" spans="1:11" ht="29" x14ac:dyDescent="0.35">
      <c r="A19" s="9" t="s">
        <v>102</v>
      </c>
      <c r="B19" s="9" t="s">
        <v>103</v>
      </c>
      <c r="C19" s="9" t="s">
        <v>104</v>
      </c>
      <c r="D19" s="9" t="s">
        <v>105</v>
      </c>
      <c r="E19" s="10" t="s">
        <v>28</v>
      </c>
      <c r="F19" s="11" t="s">
        <v>106</v>
      </c>
      <c r="H19" s="43" t="str">
        <f>HYPERLINK("https://www.google.com/maps/?q=46.4642111110001,-63.980161111", "https://www.google.com/maps/?q=46.4642111110001,-63.980161111")</f>
        <v>https://www.google.com/maps/?q=46.4642111110001,-63.980161111</v>
      </c>
      <c r="K19" s="13"/>
    </row>
    <row r="20" spans="1:11" ht="29" x14ac:dyDescent="0.35">
      <c r="A20" s="9" t="s">
        <v>107</v>
      </c>
      <c r="B20" s="9" t="s">
        <v>108</v>
      </c>
      <c r="C20" s="9" t="s">
        <v>109</v>
      </c>
      <c r="D20" s="9" t="s">
        <v>110</v>
      </c>
      <c r="E20" s="10" t="s">
        <v>66</v>
      </c>
      <c r="F20" s="11" t="s">
        <v>111</v>
      </c>
      <c r="H20" s="43" t="str">
        <f>HYPERLINK("https://www.google.com/maps/?q=46.394088889,-63.776638889", "https://www.google.com/maps/?q=46.394088889,-63.776638889")</f>
        <v>https://www.google.com/maps/?q=46.394088889,-63.776638889</v>
      </c>
      <c r="K20" s="13"/>
    </row>
    <row r="21" spans="1:11" ht="29" x14ac:dyDescent="0.35">
      <c r="A21" s="9" t="s">
        <v>112</v>
      </c>
      <c r="B21" s="9" t="s">
        <v>113</v>
      </c>
      <c r="C21" s="9" t="s">
        <v>114</v>
      </c>
      <c r="D21" s="9" t="s">
        <v>115</v>
      </c>
      <c r="E21" s="10" t="s">
        <v>66</v>
      </c>
      <c r="F21" s="11" t="s">
        <v>116</v>
      </c>
      <c r="H21" s="43" t="str">
        <f>HYPERLINK("https://www.google.com/maps/?q=46.815555556,-64.0630555559999", "https://www.google.com/maps/?q=46.815555556,-64.0630555559999")</f>
        <v>https://www.google.com/maps/?q=46.815555556,-64.0630555559999</v>
      </c>
    </row>
    <row r="22" spans="1:11" ht="29" x14ac:dyDescent="0.35">
      <c r="A22" s="9" t="s">
        <v>117</v>
      </c>
      <c r="B22" s="9" t="s">
        <v>118</v>
      </c>
      <c r="C22" s="9" t="s">
        <v>119</v>
      </c>
      <c r="D22" s="9" t="s">
        <v>120</v>
      </c>
      <c r="E22" s="10" t="s">
        <v>66</v>
      </c>
      <c r="F22" s="11" t="s">
        <v>121</v>
      </c>
      <c r="H22" s="43" t="str">
        <f>HYPERLINK("https://www.google.com/maps/?q=46.4144388890001,-63.783888889", "https://www.google.com/maps/?q=46.4144388890001,-63.783888889")</f>
        <v>https://www.google.com/maps/?q=46.4144388890001,-63.783888889</v>
      </c>
      <c r="K22" s="18"/>
    </row>
    <row r="23" spans="1:11" ht="29" x14ac:dyDescent="0.35">
      <c r="A23" s="9" t="s">
        <v>122</v>
      </c>
      <c r="B23" s="9" t="s">
        <v>123</v>
      </c>
      <c r="C23" s="9" t="s">
        <v>124</v>
      </c>
      <c r="D23" s="9" t="s">
        <v>125</v>
      </c>
      <c r="E23" s="10" t="s">
        <v>66</v>
      </c>
      <c r="F23" s="11" t="s">
        <v>126</v>
      </c>
      <c r="H23" s="43" t="str">
        <f>HYPERLINK("https://www.google.com/maps/?q=46.434480556,-63.874819444", "https://www.google.com/maps/?q=46.434480556,-63.874819444")</f>
        <v>https://www.google.com/maps/?q=46.434480556,-63.874819444</v>
      </c>
      <c r="K23" s="18"/>
    </row>
    <row r="24" spans="1:11" ht="29" x14ac:dyDescent="0.35">
      <c r="A24" s="9" t="s">
        <v>127</v>
      </c>
      <c r="B24" s="9" t="s">
        <v>128</v>
      </c>
      <c r="C24" s="9" t="s">
        <v>129</v>
      </c>
      <c r="D24" s="9" t="s">
        <v>130</v>
      </c>
      <c r="E24" s="10" t="s">
        <v>66</v>
      </c>
      <c r="F24" s="11" t="s">
        <v>106</v>
      </c>
      <c r="H24" s="43" t="str">
        <f>HYPERLINK("https://www.google.com/maps/?q=46.464166667,-63.979694444", "https://www.google.com/maps/?q=46.464166667,-63.979694444")</f>
        <v>https://www.google.com/maps/?q=46.464166667,-63.979694444</v>
      </c>
      <c r="K24" s="13"/>
    </row>
    <row r="25" spans="1:11" ht="29" x14ac:dyDescent="0.35">
      <c r="A25" s="9" t="s">
        <v>131</v>
      </c>
      <c r="B25" s="9" t="s">
        <v>132</v>
      </c>
      <c r="C25" s="9" t="s">
        <v>133</v>
      </c>
      <c r="D25" s="9" t="s">
        <v>134</v>
      </c>
      <c r="E25" s="10" t="s">
        <v>17</v>
      </c>
      <c r="F25" s="11" t="s">
        <v>34</v>
      </c>
      <c r="H25" s="43" t="str">
        <f>HYPERLINK("https://www.google.com/maps/?q=46.7053000000001,-64.2207999999999", "https://www.google.com/maps/?q=46.7053000000001,-64.2207999999999")</f>
        <v>https://www.google.com/maps/?q=46.7053000000001,-64.2207999999999</v>
      </c>
      <c r="K25" s="13"/>
    </row>
    <row r="26" spans="1:11" ht="29" x14ac:dyDescent="0.35">
      <c r="A26" s="9" t="s">
        <v>135</v>
      </c>
      <c r="B26" s="9" t="s">
        <v>136</v>
      </c>
      <c r="C26" s="9" t="s">
        <v>137</v>
      </c>
      <c r="D26" s="9" t="s">
        <v>138</v>
      </c>
      <c r="E26" s="10" t="s">
        <v>50</v>
      </c>
      <c r="F26" s="11" t="s">
        <v>139</v>
      </c>
      <c r="H26" s="43" t="str">
        <f>HYPERLINK("https://www.google.com/maps/?q=46.407875,-63.804277778", "https://www.google.com/maps/?q=46.407875,-63.804277778")</f>
        <v>https://www.google.com/maps/?q=46.407875,-63.804277778</v>
      </c>
      <c r="K26" s="13"/>
    </row>
    <row r="27" spans="1:11" ht="29" x14ac:dyDescent="0.35">
      <c r="A27" s="9" t="s">
        <v>140</v>
      </c>
      <c r="B27" s="9" t="s">
        <v>141</v>
      </c>
      <c r="C27" s="9" t="s">
        <v>142</v>
      </c>
      <c r="D27" s="9" t="s">
        <v>143</v>
      </c>
      <c r="E27" s="10" t="s">
        <v>50</v>
      </c>
      <c r="F27" s="11" t="s">
        <v>72</v>
      </c>
      <c r="H27" s="43" t="str">
        <f>HYPERLINK("https://www.google.com/maps/?q=46.948902778,-64.065836111", "https://www.google.com/maps/?q=46.948902778,-64.065836111")</f>
        <v>https://www.google.com/maps/?q=46.948902778,-64.065836111</v>
      </c>
      <c r="K27" s="13"/>
    </row>
    <row r="28" spans="1:11" ht="29" x14ac:dyDescent="0.35">
      <c r="A28" s="9" t="s">
        <v>144</v>
      </c>
      <c r="B28" s="9" t="s">
        <v>145</v>
      </c>
      <c r="C28" s="9" t="s">
        <v>146</v>
      </c>
      <c r="D28" s="9" t="s">
        <v>147</v>
      </c>
      <c r="E28" s="10" t="s">
        <v>17</v>
      </c>
      <c r="F28" s="11" t="s">
        <v>101</v>
      </c>
      <c r="H28" s="43" t="str">
        <f>HYPERLINK("https://www.google.com/maps/?q=46.936672222,-64.033530556", "https://www.google.com/maps/?q=46.936672222,-64.033530556")</f>
        <v>https://www.google.com/maps/?q=46.936672222,-64.033530556</v>
      </c>
      <c r="K28" s="13"/>
    </row>
    <row r="29" spans="1:11" x14ac:dyDescent="0.35">
      <c r="A29" s="9" t="s">
        <v>148</v>
      </c>
      <c r="B29" s="9" t="s">
        <v>149</v>
      </c>
      <c r="C29" s="9" t="s">
        <v>150</v>
      </c>
      <c r="D29" s="9" t="s">
        <v>151</v>
      </c>
      <c r="E29" s="10" t="s">
        <v>44</v>
      </c>
      <c r="F29" s="11" t="s">
        <v>152</v>
      </c>
      <c r="G29" s="17"/>
      <c r="H29" s="43" t="str">
        <f>HYPERLINK("https://www.google.com/maps/?q=46.688261111,-64.3358805559999", "https://www.google.com/maps/?q=46.688261111,-64.3358805559999")</f>
        <v>https://www.google.com/maps/?q=46.688261111,-64.3358805559999</v>
      </c>
      <c r="J29" s="17"/>
    </row>
    <row r="30" spans="1:11" ht="29" x14ac:dyDescent="0.35">
      <c r="A30" s="9" t="s">
        <v>153</v>
      </c>
      <c r="B30" s="9" t="s">
        <v>154</v>
      </c>
      <c r="C30" s="9" t="s">
        <v>155</v>
      </c>
      <c r="D30" s="9" t="s">
        <v>156</v>
      </c>
      <c r="E30" s="10" t="s">
        <v>28</v>
      </c>
      <c r="F30" s="11" t="s">
        <v>157</v>
      </c>
      <c r="H30" s="43" t="str">
        <f>HYPERLINK("https://www.google.com/maps/?q=46.4328,-63.866697222", "https://www.google.com/maps/?q=46.4328,-63.866697222")</f>
        <v>https://www.google.com/maps/?q=46.4328,-63.866697222</v>
      </c>
    </row>
    <row r="31" spans="1:11" x14ac:dyDescent="0.35">
      <c r="A31" s="9" t="s">
        <v>158</v>
      </c>
      <c r="B31" s="9" t="s">
        <v>159</v>
      </c>
      <c r="C31" s="9" t="s">
        <v>160</v>
      </c>
      <c r="D31" s="9" t="s">
        <v>161</v>
      </c>
      <c r="E31" s="10" t="s">
        <v>28</v>
      </c>
      <c r="F31" s="11" t="s">
        <v>162</v>
      </c>
      <c r="H31" s="43" t="str">
        <f>HYPERLINK("https://www.google.com/maps/?q=46.8952416670001,-64.148288889", "https://www.google.com/maps/?q=46.8952416670001,-64.148288889")</f>
        <v>https://www.google.com/maps/?q=46.8952416670001,-64.148288889</v>
      </c>
    </row>
    <row r="32" spans="1:11" ht="29" x14ac:dyDescent="0.35">
      <c r="A32" s="9" t="s">
        <v>163</v>
      </c>
      <c r="B32" s="9" t="s">
        <v>164</v>
      </c>
      <c r="C32" s="9" t="s">
        <v>165</v>
      </c>
      <c r="D32" s="9" t="s">
        <v>166</v>
      </c>
      <c r="E32" s="10" t="s">
        <v>50</v>
      </c>
      <c r="F32" s="11" t="s">
        <v>91</v>
      </c>
      <c r="H32" s="43" t="str">
        <f>HYPERLINK("https://www.google.com/maps/?q=46.711402778,-64.2205638889999", "https://www.google.com/maps/?q=46.711402778,-64.2205638889999")</f>
        <v>https://www.google.com/maps/?q=46.711402778,-64.2205638889999</v>
      </c>
    </row>
    <row r="33" spans="1:8" ht="29" x14ac:dyDescent="0.35">
      <c r="A33" s="9" t="s">
        <v>167</v>
      </c>
      <c r="B33" s="9" t="s">
        <v>168</v>
      </c>
      <c r="C33" s="9" t="s">
        <v>169</v>
      </c>
      <c r="D33" s="9" t="s">
        <v>170</v>
      </c>
      <c r="E33" s="10" t="s">
        <v>66</v>
      </c>
      <c r="F33" s="11" t="s">
        <v>171</v>
      </c>
      <c r="H33" s="43" t="str">
        <f>HYPERLINK("https://www.google.com/maps/?q=46.651511111,-64.038561111", "https://www.google.com/maps/?q=46.651511111,-64.038561111")</f>
        <v>https://www.google.com/maps/?q=46.651511111,-64.038561111</v>
      </c>
    </row>
    <row r="34" spans="1:8" ht="29" x14ac:dyDescent="0.35">
      <c r="A34" s="9" t="s">
        <v>172</v>
      </c>
      <c r="B34" s="9" t="s">
        <v>173</v>
      </c>
      <c r="C34" s="9" t="s">
        <v>174</v>
      </c>
      <c r="D34" s="9" t="s">
        <v>175</v>
      </c>
      <c r="E34" s="10" t="s">
        <v>28</v>
      </c>
      <c r="F34" s="11" t="s">
        <v>176</v>
      </c>
      <c r="H34" s="43" t="str">
        <f>HYPERLINK("https://www.google.com/maps/?q=46.4169444440001,-63.7790138889999", "https://www.google.com/maps/?q=46.4169444440001,-63.7790138889999")</f>
        <v>https://www.google.com/maps/?q=46.4169444440001,-63.7790138889999</v>
      </c>
    </row>
    <row r="35" spans="1:8" x14ac:dyDescent="0.35">
      <c r="A35" s="9" t="s">
        <v>177</v>
      </c>
      <c r="B35" s="9" t="s">
        <v>178</v>
      </c>
      <c r="C35" s="9" t="s">
        <v>179</v>
      </c>
      <c r="D35" s="9" t="s">
        <v>180</v>
      </c>
      <c r="E35" s="10" t="s">
        <v>44</v>
      </c>
      <c r="F35" s="11" t="s">
        <v>181</v>
      </c>
      <c r="H35" s="43" t="str">
        <f>HYPERLINK("https://www.google.com/maps/?q=46.4614472220001,-64.051458333", "https://www.google.com/maps/?q=46.4614472220001,-64.051458333")</f>
        <v>https://www.google.com/maps/?q=46.4614472220001,-64.051458333</v>
      </c>
    </row>
    <row r="36" spans="1:8" ht="29" x14ac:dyDescent="0.35">
      <c r="A36" s="9" t="s">
        <v>182</v>
      </c>
      <c r="B36" s="9" t="s">
        <v>183</v>
      </c>
      <c r="C36" s="9" t="s">
        <v>184</v>
      </c>
      <c r="D36" s="9" t="s">
        <v>185</v>
      </c>
      <c r="E36" s="10" t="s">
        <v>44</v>
      </c>
      <c r="F36" s="11" t="s">
        <v>72</v>
      </c>
      <c r="H36" s="43" t="str">
        <f>HYPERLINK("https://www.google.com/maps/?q=46.9489,-64.0658", "https://www.google.com/maps/?q=46.9489,-64.0658")</f>
        <v>https://www.google.com/maps/?q=46.9489,-64.0658</v>
      </c>
    </row>
    <row r="37" spans="1:8" ht="29" x14ac:dyDescent="0.35">
      <c r="A37" s="9" t="s">
        <v>186</v>
      </c>
      <c r="B37" s="9" t="s">
        <v>187</v>
      </c>
      <c r="C37" s="9" t="s">
        <v>188</v>
      </c>
      <c r="D37" s="9" t="s">
        <v>189</v>
      </c>
      <c r="E37" s="10" t="s">
        <v>28</v>
      </c>
      <c r="F37" s="11" t="s">
        <v>190</v>
      </c>
      <c r="H37" s="43" t="str">
        <f>HYPERLINK("https://www.google.com/maps/?q=46.8160333330001,-64.063247222", "https://www.google.com/maps/?q=46.8160333330001,-64.063247222")</f>
        <v>https://www.google.com/maps/?q=46.8160333330001,-64.063247222</v>
      </c>
    </row>
    <row r="38" spans="1:8" ht="29" x14ac:dyDescent="0.35">
      <c r="A38" s="9" t="s">
        <v>191</v>
      </c>
      <c r="B38" s="9" t="s">
        <v>192</v>
      </c>
      <c r="C38" s="9" t="s">
        <v>193</v>
      </c>
      <c r="D38" s="9" t="s">
        <v>194</v>
      </c>
      <c r="E38" s="10" t="s">
        <v>195</v>
      </c>
      <c r="F38" s="11" t="s">
        <v>196</v>
      </c>
      <c r="H38" s="43" t="str">
        <f>HYPERLINK("https://www.google.com/maps/?q=46.2481611110001,-63.702580556", "https://www.google.com/maps/?q=46.2481611110001,-63.702580556")</f>
        <v>https://www.google.com/maps/?q=46.2481611110001,-63.702580556</v>
      </c>
    </row>
    <row r="39" spans="1:8" ht="29" x14ac:dyDescent="0.35">
      <c r="A39" s="9" t="s">
        <v>197</v>
      </c>
      <c r="B39" s="9" t="s">
        <v>198</v>
      </c>
      <c r="C39" s="9" t="s">
        <v>199</v>
      </c>
      <c r="D39" s="9" t="s">
        <v>200</v>
      </c>
      <c r="E39" s="10" t="s">
        <v>17</v>
      </c>
      <c r="F39" s="11" t="s">
        <v>106</v>
      </c>
      <c r="H39" s="43" t="str">
        <f>HYPERLINK("https://www.google.com/maps/?q=46.4642000000001,-63.98", "https://www.google.com/maps/?q=46.4642000000001,-63.98")</f>
        <v>https://www.google.com/maps/?q=46.4642000000001,-63.98</v>
      </c>
    </row>
    <row r="40" spans="1:8" ht="29" x14ac:dyDescent="0.35">
      <c r="A40" s="9" t="s">
        <v>201</v>
      </c>
      <c r="B40" s="9" t="s">
        <v>202</v>
      </c>
      <c r="C40" s="9" t="s">
        <v>203</v>
      </c>
      <c r="D40" s="9" t="s">
        <v>204</v>
      </c>
      <c r="E40" s="10" t="s">
        <v>28</v>
      </c>
      <c r="F40" s="11" t="s">
        <v>205</v>
      </c>
      <c r="H40" s="43" t="str">
        <f>HYPERLINK("https://www.google.com/maps/?q=46.417427778,-63.772972222", "https://www.google.com/maps/?q=46.417427778,-63.772972222")</f>
        <v>https://www.google.com/maps/?q=46.417427778,-63.772972222</v>
      </c>
    </row>
    <row r="41" spans="1:8" ht="29" x14ac:dyDescent="0.35">
      <c r="A41" s="9" t="s">
        <v>206</v>
      </c>
      <c r="B41" s="9" t="s">
        <v>207</v>
      </c>
      <c r="C41" s="9" t="s">
        <v>208</v>
      </c>
      <c r="D41" s="9" t="s">
        <v>209</v>
      </c>
      <c r="E41" s="10" t="s">
        <v>66</v>
      </c>
      <c r="F41" s="11" t="s">
        <v>91</v>
      </c>
      <c r="H41" s="43" t="str">
        <f>HYPERLINK("https://www.google.com/maps/?q=46.711388889,-64.220555556", "https://www.google.com/maps/?q=46.711388889,-64.220555556")</f>
        <v>https://www.google.com/maps/?q=46.711388889,-64.220555556</v>
      </c>
    </row>
    <row r="42" spans="1:8" ht="29" x14ac:dyDescent="0.35">
      <c r="A42" s="9" t="s">
        <v>92</v>
      </c>
      <c r="B42" s="9" t="s">
        <v>210</v>
      </c>
      <c r="C42" s="9" t="s">
        <v>94</v>
      </c>
      <c r="D42" s="9" t="s">
        <v>211</v>
      </c>
      <c r="E42" s="10" t="s">
        <v>66</v>
      </c>
      <c r="F42" s="11" t="s">
        <v>96</v>
      </c>
      <c r="H42" s="43" t="str">
        <f>HYPERLINK("https://www.google.com/maps/?q=46.4114000000001,-63.8018", "https://www.google.com/maps/?q=46.4114000000001,-63.8018")</f>
        <v>https://www.google.com/maps/?q=46.4114000000001,-63.8018</v>
      </c>
    </row>
    <row r="43" spans="1:8" ht="29" x14ac:dyDescent="0.35">
      <c r="A43" s="9" t="s">
        <v>212</v>
      </c>
      <c r="B43" s="9" t="s">
        <v>213</v>
      </c>
      <c r="C43" s="9" t="s">
        <v>214</v>
      </c>
      <c r="D43" s="9" t="s">
        <v>215</v>
      </c>
      <c r="E43" s="10" t="s">
        <v>28</v>
      </c>
      <c r="F43" s="11" t="s">
        <v>216</v>
      </c>
      <c r="H43" s="43" t="str">
        <f>HYPERLINK("https://www.google.com/maps/?q=46.4172333330001,-63.7802166669999", "https://www.google.com/maps/?q=46.4172333330001,-63.7802166669999")</f>
        <v>https://www.google.com/maps/?q=46.4172333330001,-63.7802166669999</v>
      </c>
    </row>
    <row r="44" spans="1:8" x14ac:dyDescent="0.35">
      <c r="A44" s="9" t="s">
        <v>217</v>
      </c>
      <c r="B44" s="9" t="s">
        <v>218</v>
      </c>
      <c r="C44" s="9" t="s">
        <v>219</v>
      </c>
      <c r="D44" s="9" t="s">
        <v>220</v>
      </c>
      <c r="E44" s="10" t="s">
        <v>44</v>
      </c>
      <c r="F44" s="11" t="s">
        <v>23</v>
      </c>
      <c r="H44" s="43" t="str">
        <f>HYPERLINK("https://www.google.com/maps/?q=46.830808333,-64.1410611109999", "https://www.google.com/maps/?q=46.830808333,-64.1410611109999")</f>
        <v>https://www.google.com/maps/?q=46.830808333,-64.1410611109999</v>
      </c>
    </row>
    <row r="45" spans="1:8" ht="29" x14ac:dyDescent="0.35">
      <c r="A45" s="9" t="s">
        <v>221</v>
      </c>
      <c r="B45" s="9" t="s">
        <v>222</v>
      </c>
      <c r="C45" s="9" t="s">
        <v>223</v>
      </c>
      <c r="D45" s="9" t="s">
        <v>224</v>
      </c>
      <c r="E45" s="10" t="s">
        <v>50</v>
      </c>
      <c r="F45" s="11" t="s">
        <v>18</v>
      </c>
      <c r="H45" s="43" t="str">
        <f>HYPERLINK("https://www.google.com/maps/?q=46.5780722220001,-64.001963889", "https://www.google.com/maps/?q=46.5780722220001,-64.001963889")</f>
        <v>https://www.google.com/maps/?q=46.5780722220001,-64.001963889</v>
      </c>
    </row>
    <row r="46" spans="1:8" ht="29" x14ac:dyDescent="0.35">
      <c r="A46" s="9" t="s">
        <v>225</v>
      </c>
      <c r="B46" s="9" t="s">
        <v>226</v>
      </c>
      <c r="C46" s="9" t="s">
        <v>227</v>
      </c>
      <c r="D46" s="9" t="s">
        <v>228</v>
      </c>
      <c r="E46" s="10" t="s">
        <v>66</v>
      </c>
      <c r="F46" s="11" t="s">
        <v>229</v>
      </c>
      <c r="H46" s="43" t="str">
        <f>HYPERLINK("https://www.google.com/maps/?q=46.5989361110001,-63.931830556", "https://www.google.com/maps/?q=46.5989361110001,-63.931830556")</f>
        <v>https://www.google.com/maps/?q=46.5989361110001,-63.931830556</v>
      </c>
    </row>
    <row r="47" spans="1:8" ht="29" x14ac:dyDescent="0.35">
      <c r="A47" s="9" t="s">
        <v>230</v>
      </c>
      <c r="B47" s="9" t="s">
        <v>231</v>
      </c>
      <c r="C47" s="9" t="s">
        <v>232</v>
      </c>
      <c r="D47" s="9" t="s">
        <v>233</v>
      </c>
      <c r="E47" s="10" t="s">
        <v>66</v>
      </c>
      <c r="F47" s="11" t="s">
        <v>234</v>
      </c>
      <c r="H47" s="43" t="str">
        <f>HYPERLINK("https://www.google.com/maps/?q=46.391388889,-63.790280556", "https://www.google.com/maps/?q=46.391388889,-63.790280556")</f>
        <v>https://www.google.com/maps/?q=46.391388889,-63.790280556</v>
      </c>
    </row>
    <row r="48" spans="1:8" x14ac:dyDescent="0.35">
      <c r="A48" s="9" t="s">
        <v>235</v>
      </c>
      <c r="B48" s="9" t="s">
        <v>236</v>
      </c>
      <c r="C48" s="9" t="s">
        <v>237</v>
      </c>
      <c r="D48" s="9" t="s">
        <v>238</v>
      </c>
      <c r="E48" s="10" t="s">
        <v>66</v>
      </c>
      <c r="F48" s="11" t="s">
        <v>239</v>
      </c>
      <c r="H48" s="43" t="str">
        <f>HYPERLINK("https://www.google.com/maps/?q=46.824825,-64.1242972219999", "https://www.google.com/maps/?q=46.824825,-64.1242972219999")</f>
        <v>https://www.google.com/maps/?q=46.824825,-64.1242972219999</v>
      </c>
    </row>
    <row r="49" spans="1:8" x14ac:dyDescent="0.35">
      <c r="A49" s="9" t="s">
        <v>240</v>
      </c>
      <c r="B49" s="9" t="s">
        <v>241</v>
      </c>
      <c r="C49" s="9" t="s">
        <v>242</v>
      </c>
      <c r="D49" s="9" t="s">
        <v>243</v>
      </c>
      <c r="E49" s="10" t="s">
        <v>50</v>
      </c>
      <c r="F49" s="11" t="s">
        <v>244</v>
      </c>
      <c r="H49" s="43" t="str">
        <f>HYPERLINK("https://www.google.com/maps/?q=46.4606055560001,-64.0529999999999", "https://www.google.com/maps/?q=46.4606055560001,-64.0529999999999")</f>
        <v>https://www.google.com/maps/?q=46.4606055560001,-64.0529999999999</v>
      </c>
    </row>
    <row r="50" spans="1:8" ht="29" x14ac:dyDescent="0.35">
      <c r="A50" s="9" t="s">
        <v>92</v>
      </c>
      <c r="B50" s="9" t="s">
        <v>245</v>
      </c>
      <c r="C50" s="9" t="s">
        <v>94</v>
      </c>
      <c r="D50" s="9" t="s">
        <v>246</v>
      </c>
      <c r="E50" s="10" t="s">
        <v>66</v>
      </c>
      <c r="F50" s="11" t="s">
        <v>96</v>
      </c>
      <c r="H50" s="43" t="str">
        <f>HYPERLINK("https://www.google.com/maps/?q=46.4114000000001,-63.801802778", "https://www.google.com/maps/?q=46.4114000000001,-63.801802778")</f>
        <v>https://www.google.com/maps/?q=46.4114000000001,-63.801802778</v>
      </c>
    </row>
    <row r="51" spans="1:8" ht="29" x14ac:dyDescent="0.35">
      <c r="A51" s="9" t="s">
        <v>247</v>
      </c>
      <c r="B51" s="9" t="s">
        <v>248</v>
      </c>
      <c r="C51" s="9" t="s">
        <v>249</v>
      </c>
      <c r="D51" s="9" t="s">
        <v>250</v>
      </c>
      <c r="E51" s="10" t="s">
        <v>28</v>
      </c>
      <c r="F51" s="11" t="s">
        <v>251</v>
      </c>
      <c r="H51" s="43" t="str">
        <f>HYPERLINK("https://www.google.com/maps/?q=46.4127611110001,-63.7817416669999", "https://www.google.com/maps/?q=46.4127611110001,-63.7817416669999")</f>
        <v>https://www.google.com/maps/?q=46.4127611110001,-63.7817416669999</v>
      </c>
    </row>
    <row r="52" spans="1:8" x14ac:dyDescent="0.35">
      <c r="A52" s="9" t="s">
        <v>252</v>
      </c>
      <c r="B52" s="9" t="s">
        <v>253</v>
      </c>
      <c r="C52" s="9" t="s">
        <v>254</v>
      </c>
      <c r="D52" s="9" t="s">
        <v>255</v>
      </c>
      <c r="E52" s="10" t="s">
        <v>66</v>
      </c>
      <c r="F52" s="11" t="s">
        <v>256</v>
      </c>
      <c r="H52" s="43" t="str">
        <f>HYPERLINK("https://www.google.com/maps/?q=46.309,-63.072761111", "https://www.google.com/maps/?q=46.309,-63.072761111")</f>
        <v>https://www.google.com/maps/?q=46.309,-63.072761111</v>
      </c>
    </row>
    <row r="53" spans="1:8" ht="29" x14ac:dyDescent="0.35">
      <c r="A53" s="9" t="s">
        <v>257</v>
      </c>
      <c r="B53" s="9" t="s">
        <v>258</v>
      </c>
      <c r="C53" s="9" t="s">
        <v>259</v>
      </c>
      <c r="D53" s="9" t="s">
        <v>260</v>
      </c>
      <c r="E53" s="10" t="s">
        <v>66</v>
      </c>
      <c r="F53" s="11" t="s">
        <v>261</v>
      </c>
      <c r="H53" s="43" t="str">
        <f>HYPERLINK("https://www.google.com/maps/?q=46.196613889,-62.881227778", "https://www.google.com/maps/?q=46.196613889,-62.881227778")</f>
        <v>https://www.google.com/maps/?q=46.196613889,-62.881227778</v>
      </c>
    </row>
    <row r="54" spans="1:8" x14ac:dyDescent="0.35">
      <c r="A54" s="9" t="s">
        <v>262</v>
      </c>
      <c r="B54" s="9" t="s">
        <v>263</v>
      </c>
      <c r="C54" s="9" t="s">
        <v>264</v>
      </c>
      <c r="D54" s="9" t="s">
        <v>265</v>
      </c>
      <c r="E54" s="10" t="s">
        <v>66</v>
      </c>
      <c r="F54" s="11" t="s">
        <v>266</v>
      </c>
      <c r="H54" s="43" t="str">
        <f>HYPERLINK("https://www.google.com/maps/?q=46.3458527780001,-63.6928583329999", "https://www.google.com/maps/?q=46.3458527780001,-63.6928583329999")</f>
        <v>https://www.google.com/maps/?q=46.3458527780001,-63.6928583329999</v>
      </c>
    </row>
    <row r="55" spans="1:8" x14ac:dyDescent="0.35">
      <c r="A55" s="9" t="s">
        <v>267</v>
      </c>
      <c r="B55" s="9" t="s">
        <v>268</v>
      </c>
      <c r="C55" s="9" t="s">
        <v>269</v>
      </c>
      <c r="D55" s="9" t="s">
        <v>270</v>
      </c>
      <c r="E55" s="10" t="s">
        <v>66</v>
      </c>
      <c r="F55" s="11" t="s">
        <v>271</v>
      </c>
      <c r="H55" s="43" t="str">
        <f>HYPERLINK("https://www.google.com/maps/?q=46.407530556,-62.532047222", "https://www.google.com/maps/?q=46.407530556,-62.532047222")</f>
        <v>https://www.google.com/maps/?q=46.407530556,-62.532047222</v>
      </c>
    </row>
    <row r="56" spans="1:8" ht="29" x14ac:dyDescent="0.35">
      <c r="A56" s="9" t="s">
        <v>272</v>
      </c>
      <c r="B56" s="9" t="s">
        <v>273</v>
      </c>
      <c r="C56" s="9" t="s">
        <v>274</v>
      </c>
      <c r="D56" s="9" t="s">
        <v>275</v>
      </c>
      <c r="E56" s="10" t="s">
        <v>66</v>
      </c>
      <c r="F56" s="11" t="s">
        <v>276</v>
      </c>
      <c r="H56" s="43" t="str">
        <f>HYPERLINK("https://www.google.com/maps/?q=46.255461111,-63.110311111", "https://www.google.com/maps/?q=46.255461111,-63.110311111")</f>
        <v>https://www.google.com/maps/?q=46.255461111,-63.110311111</v>
      </c>
    </row>
    <row r="57" spans="1:8" ht="29" x14ac:dyDescent="0.35">
      <c r="A57" s="9" t="s">
        <v>277</v>
      </c>
      <c r="B57" s="9" t="s">
        <v>278</v>
      </c>
      <c r="C57" s="9" t="s">
        <v>279</v>
      </c>
      <c r="D57" s="9" t="s">
        <v>280</v>
      </c>
      <c r="E57" s="10" t="s">
        <v>17</v>
      </c>
      <c r="F57" s="11" t="s">
        <v>281</v>
      </c>
      <c r="H57" s="43" t="str">
        <f>HYPERLINK("https://www.google.com/maps/?q=46.268611111,-63.6347222219999", "https://www.google.com/maps/?q=46.268611111,-63.6347222219999")</f>
        <v>https://www.google.com/maps/?q=46.268611111,-63.6347222219999</v>
      </c>
    </row>
    <row r="58" spans="1:8" ht="29" x14ac:dyDescent="0.35">
      <c r="A58" s="9" t="s">
        <v>282</v>
      </c>
      <c r="B58" s="9" t="s">
        <v>283</v>
      </c>
      <c r="C58" s="9" t="s">
        <v>284</v>
      </c>
      <c r="D58" s="9" t="s">
        <v>285</v>
      </c>
      <c r="E58" s="10" t="s">
        <v>28</v>
      </c>
      <c r="F58" s="11" t="s">
        <v>286</v>
      </c>
      <c r="H58" s="43" t="str">
        <f>HYPERLINK("https://www.google.com/maps/?q=46.245116667,-62.6228694439999", "https://www.google.com/maps/?q=46.245116667,-62.6228694439999")</f>
        <v>https://www.google.com/maps/?q=46.245116667,-62.6228694439999</v>
      </c>
    </row>
    <row r="59" spans="1:8" ht="29" x14ac:dyDescent="0.35">
      <c r="A59" s="9" t="s">
        <v>287</v>
      </c>
      <c r="B59" s="9" t="s">
        <v>288</v>
      </c>
      <c r="C59" s="9" t="s">
        <v>289</v>
      </c>
      <c r="D59" s="9" t="s">
        <v>290</v>
      </c>
      <c r="E59" s="10" t="s">
        <v>28</v>
      </c>
      <c r="F59" s="11" t="s">
        <v>291</v>
      </c>
      <c r="H59" s="43" t="str">
        <f>HYPERLINK("https://www.google.com/maps/?q=46.0081916670001,-62.592913889", "https://www.google.com/maps/?q=46.0081916670001,-62.592913889")</f>
        <v>https://www.google.com/maps/?q=46.0081916670001,-62.592913889</v>
      </c>
    </row>
    <row r="60" spans="1:8" ht="29" x14ac:dyDescent="0.35">
      <c r="A60" s="9" t="s">
        <v>292</v>
      </c>
      <c r="B60" s="9" t="s">
        <v>293</v>
      </c>
      <c r="C60" s="9" t="s">
        <v>294</v>
      </c>
      <c r="D60" s="9" t="s">
        <v>295</v>
      </c>
      <c r="E60" s="10" t="s">
        <v>28</v>
      </c>
      <c r="F60" s="11" t="s">
        <v>296</v>
      </c>
      <c r="H60" s="43" t="str">
        <f>HYPERLINK("https://www.google.com/maps/?q=46.2560194440001,-63.1007888889999", "https://www.google.com/maps/?q=46.2560194440001,-63.1007888889999")</f>
        <v>https://www.google.com/maps/?q=46.2560194440001,-63.1007888889999</v>
      </c>
    </row>
    <row r="61" spans="1:8" ht="29" x14ac:dyDescent="0.35">
      <c r="A61" s="9" t="s">
        <v>297</v>
      </c>
      <c r="B61" s="9" t="s">
        <v>298</v>
      </c>
      <c r="C61" s="9" t="s">
        <v>299</v>
      </c>
      <c r="D61" s="9" t="s">
        <v>300</v>
      </c>
      <c r="E61" s="10" t="s">
        <v>28</v>
      </c>
      <c r="F61" s="11" t="s">
        <v>301</v>
      </c>
      <c r="H61" s="43" t="str">
        <f>HYPERLINK("https://www.google.com/maps/?q=46.334719444,-63.429897222", "https://www.google.com/maps/?q=46.334719444,-63.429897222")</f>
        <v>https://www.google.com/maps/?q=46.334719444,-63.429897222</v>
      </c>
    </row>
    <row r="62" spans="1:8" ht="29" x14ac:dyDescent="0.35">
      <c r="A62" s="9" t="s">
        <v>302</v>
      </c>
      <c r="B62" s="9" t="s">
        <v>303</v>
      </c>
      <c r="C62" s="9" t="s">
        <v>304</v>
      </c>
      <c r="D62" s="9" t="s">
        <v>305</v>
      </c>
      <c r="E62" s="10" t="s">
        <v>28</v>
      </c>
      <c r="F62" s="11" t="s">
        <v>281</v>
      </c>
      <c r="H62" s="43" t="str">
        <f>HYPERLINK("https://www.google.com/maps/?q=46.268808333,-63.634655556", "https://www.google.com/maps/?q=46.268808333,-63.634655556")</f>
        <v>https://www.google.com/maps/?q=46.268808333,-63.634655556</v>
      </c>
    </row>
    <row r="63" spans="1:8" ht="29" x14ac:dyDescent="0.35">
      <c r="A63" s="9" t="s">
        <v>306</v>
      </c>
      <c r="B63" s="9" t="s">
        <v>307</v>
      </c>
      <c r="C63" s="9" t="s">
        <v>308</v>
      </c>
      <c r="D63" s="9" t="s">
        <v>309</v>
      </c>
      <c r="E63" s="10" t="s">
        <v>44</v>
      </c>
      <c r="F63" s="11" t="s">
        <v>310</v>
      </c>
      <c r="H63" s="43" t="str">
        <f>HYPERLINK("https://www.google.com/maps/?q=46.341525,-62.8400694439999", "https://www.google.com/maps/?q=46.341525,-62.8400694439999")</f>
        <v>https://www.google.com/maps/?q=46.341525,-62.8400694439999</v>
      </c>
    </row>
    <row r="64" spans="1:8" x14ac:dyDescent="0.35">
      <c r="A64" s="9" t="s">
        <v>311</v>
      </c>
      <c r="B64" s="9" t="s">
        <v>312</v>
      </c>
      <c r="C64" s="9" t="s">
        <v>313</v>
      </c>
      <c r="D64" s="9" t="s">
        <v>314</v>
      </c>
      <c r="E64" s="10" t="s">
        <v>44</v>
      </c>
      <c r="F64" s="11" t="s">
        <v>315</v>
      </c>
      <c r="H64" s="43" t="str">
        <f>HYPERLINK("https://www.google.com/maps/?q=46.375711111,-62.345411111", "https://www.google.com/maps/?q=46.375711111,-62.345411111")</f>
        <v>https://www.google.com/maps/?q=46.375711111,-62.345411111</v>
      </c>
    </row>
    <row r="65" spans="1:8" x14ac:dyDescent="0.35">
      <c r="A65" s="9" t="s">
        <v>316</v>
      </c>
      <c r="B65" s="9" t="s">
        <v>317</v>
      </c>
      <c r="C65" s="9" t="s">
        <v>318</v>
      </c>
      <c r="D65" s="9" t="s">
        <v>319</v>
      </c>
      <c r="E65" s="10" t="s">
        <v>44</v>
      </c>
      <c r="F65" s="11" t="s">
        <v>320</v>
      </c>
      <c r="H65" s="43" t="str">
        <f>HYPERLINK("https://www.google.com/maps/?q=46.4559,-63.3654999999999", "https://www.google.com/maps/?q=46.4559,-63.3654999999999")</f>
        <v>https://www.google.com/maps/?q=46.4559,-63.3654999999999</v>
      </c>
    </row>
    <row r="66" spans="1:8" ht="29" x14ac:dyDescent="0.35">
      <c r="A66" s="9" t="s">
        <v>321</v>
      </c>
      <c r="B66" s="9" t="s">
        <v>322</v>
      </c>
      <c r="C66" s="9" t="s">
        <v>323</v>
      </c>
      <c r="D66" s="9" t="s">
        <v>324</v>
      </c>
      <c r="E66" s="10" t="s">
        <v>44</v>
      </c>
      <c r="F66" s="11" t="s">
        <v>325</v>
      </c>
      <c r="H66" s="43" t="str">
        <f>HYPERLINK("https://www.google.com/maps/?q=46.3182694440001,-62.504966667", "https://www.google.com/maps/?q=46.3182694440001,-62.504966667")</f>
        <v>https://www.google.com/maps/?q=46.3182694440001,-62.504966667</v>
      </c>
    </row>
    <row r="67" spans="1:8" ht="29" x14ac:dyDescent="0.35">
      <c r="A67" s="9" t="s">
        <v>326</v>
      </c>
      <c r="B67" s="9" t="s">
        <v>327</v>
      </c>
      <c r="C67" s="9" t="s">
        <v>328</v>
      </c>
      <c r="D67" s="9" t="s">
        <v>329</v>
      </c>
      <c r="E67" s="10" t="s">
        <v>44</v>
      </c>
      <c r="F67" s="11" t="s">
        <v>330</v>
      </c>
      <c r="H67" s="43" t="str">
        <f>HYPERLINK("https://www.google.com/maps/?q=46.42375,-62.091519444", "https://www.google.com/maps/?q=46.42375,-62.091519444")</f>
        <v>https://www.google.com/maps/?q=46.42375,-62.091519444</v>
      </c>
    </row>
    <row r="68" spans="1:8" ht="29" x14ac:dyDescent="0.35">
      <c r="A68" s="9" t="s">
        <v>331</v>
      </c>
      <c r="B68" s="9" t="s">
        <v>332</v>
      </c>
      <c r="C68" s="9" t="s">
        <v>333</v>
      </c>
      <c r="D68" s="9" t="s">
        <v>334</v>
      </c>
      <c r="E68" s="10" t="s">
        <v>28</v>
      </c>
      <c r="F68" s="11" t="s">
        <v>335</v>
      </c>
      <c r="H68" s="43" t="str">
        <f>HYPERLINK("https://www.google.com/maps/?q=46.314308333,-63.186958333", "https://www.google.com/maps/?q=46.314308333,-63.186958333")</f>
        <v>https://www.google.com/maps/?q=46.314308333,-63.186958333</v>
      </c>
    </row>
    <row r="69" spans="1:8" ht="29" x14ac:dyDescent="0.35">
      <c r="A69" s="9" t="s">
        <v>336</v>
      </c>
      <c r="B69" s="9" t="s">
        <v>337</v>
      </c>
      <c r="C69" s="9" t="s">
        <v>338</v>
      </c>
      <c r="D69" s="9" t="s">
        <v>339</v>
      </c>
      <c r="E69" s="10" t="s">
        <v>28</v>
      </c>
      <c r="F69" s="11" t="s">
        <v>340</v>
      </c>
      <c r="H69" s="43" t="str">
        <f>HYPERLINK("https://www.google.com/maps/?q=46.212327778,-63.3417388889999", "https://www.google.com/maps/?q=46.212327778,-63.3417388889999")</f>
        <v>https://www.google.com/maps/?q=46.212327778,-63.3417388889999</v>
      </c>
    </row>
    <row r="70" spans="1:8" ht="29" x14ac:dyDescent="0.35">
      <c r="A70" s="9" t="s">
        <v>341</v>
      </c>
      <c r="B70" s="9" t="s">
        <v>342</v>
      </c>
      <c r="C70" s="9" t="s">
        <v>343</v>
      </c>
      <c r="D70" s="9" t="s">
        <v>344</v>
      </c>
      <c r="E70" s="10" t="s">
        <v>28</v>
      </c>
      <c r="F70" s="11" t="s">
        <v>345</v>
      </c>
      <c r="H70" s="43" t="str">
        <f>HYPERLINK("https://www.google.com/maps/?q=46.4777777780001,-63.395830556", "https://www.google.com/maps/?q=46.4777777780001,-63.395830556")</f>
        <v>https://www.google.com/maps/?q=46.4777777780001,-63.395830556</v>
      </c>
    </row>
    <row r="71" spans="1:8" ht="29" x14ac:dyDescent="0.35">
      <c r="A71" s="9" t="s">
        <v>346</v>
      </c>
      <c r="B71" s="9" t="s">
        <v>347</v>
      </c>
      <c r="C71" s="9" t="s">
        <v>348</v>
      </c>
      <c r="D71" s="9" t="s">
        <v>349</v>
      </c>
      <c r="E71" s="10" t="s">
        <v>28</v>
      </c>
      <c r="F71" s="11" t="s">
        <v>350</v>
      </c>
      <c r="H71" s="43" t="str">
        <f>HYPERLINK("https://www.google.com/maps/?q=46.4878194440001,-63.402561111", "https://www.google.com/maps/?q=46.4878194440001,-63.402561111")</f>
        <v>https://www.google.com/maps/?q=46.4878194440001,-63.402561111</v>
      </c>
    </row>
    <row r="72" spans="1:8" ht="29" x14ac:dyDescent="0.35">
      <c r="A72" s="9" t="s">
        <v>351</v>
      </c>
      <c r="B72" s="9" t="s">
        <v>352</v>
      </c>
      <c r="C72" s="9" t="s">
        <v>353</v>
      </c>
      <c r="D72" s="9" t="s">
        <v>354</v>
      </c>
      <c r="E72" s="10" t="s">
        <v>28</v>
      </c>
      <c r="F72" s="11" t="s">
        <v>355</v>
      </c>
      <c r="H72" s="43" t="str">
        <f>HYPERLINK("https://www.google.com/maps/?q=46.1494555560001,-62.607980556", "https://www.google.com/maps/?q=46.1494555560001,-62.607980556")</f>
        <v>https://www.google.com/maps/?q=46.1494555560001,-62.607980556</v>
      </c>
    </row>
    <row r="73" spans="1:8" ht="29" x14ac:dyDescent="0.35">
      <c r="A73" s="9" t="s">
        <v>356</v>
      </c>
      <c r="B73" s="9" t="s">
        <v>357</v>
      </c>
      <c r="C73" s="9" t="s">
        <v>358</v>
      </c>
      <c r="D73" s="9" t="s">
        <v>359</v>
      </c>
      <c r="E73" s="10" t="s">
        <v>28</v>
      </c>
      <c r="F73" s="11" t="s">
        <v>360</v>
      </c>
      <c r="H73" s="43" t="str">
        <f>HYPERLINK("https://www.google.com/maps/?q=46.2836194440001,-63.119238889", "https://www.google.com/maps/?q=46.2836194440001,-63.119238889")</f>
        <v>https://www.google.com/maps/?q=46.2836194440001,-63.119238889</v>
      </c>
    </row>
    <row r="74" spans="1:8" x14ac:dyDescent="0.35">
      <c r="A74" s="9" t="s">
        <v>361</v>
      </c>
      <c r="B74" s="9" t="s">
        <v>362</v>
      </c>
      <c r="C74" s="9" t="s">
        <v>363</v>
      </c>
      <c r="D74" s="9" t="s">
        <v>364</v>
      </c>
      <c r="E74" s="10" t="s">
        <v>44</v>
      </c>
      <c r="F74" s="11" t="s">
        <v>365</v>
      </c>
      <c r="H74" s="43" t="str">
        <f>HYPERLINK("https://www.google.com/maps/?q=46.3891611110001,-62.647230556", "https://www.google.com/maps/?q=46.3891611110001,-62.647230556")</f>
        <v>https://www.google.com/maps/?q=46.3891611110001,-62.647230556</v>
      </c>
    </row>
    <row r="75" spans="1:8" ht="29" x14ac:dyDescent="0.35">
      <c r="A75" s="9" t="s">
        <v>366</v>
      </c>
      <c r="B75" s="9" t="s">
        <v>367</v>
      </c>
      <c r="C75" s="9" t="s">
        <v>368</v>
      </c>
      <c r="D75" s="9" t="s">
        <v>369</v>
      </c>
      <c r="E75" s="10" t="s">
        <v>44</v>
      </c>
      <c r="F75" s="11" t="s">
        <v>261</v>
      </c>
      <c r="H75" s="43" t="str">
        <f>HYPERLINK("https://www.google.com/maps/?q=46.1967277780001,-62.8812944439999", "https://www.google.com/maps/?q=46.1967277780001,-62.8812944439999")</f>
        <v>https://www.google.com/maps/?q=46.1967277780001,-62.8812944439999</v>
      </c>
    </row>
    <row r="76" spans="1:8" ht="29" x14ac:dyDescent="0.35">
      <c r="A76" s="9" t="s">
        <v>370</v>
      </c>
      <c r="B76" s="9" t="s">
        <v>371</v>
      </c>
      <c r="C76" s="9" t="s">
        <v>372</v>
      </c>
      <c r="D76" s="9" t="s">
        <v>373</v>
      </c>
      <c r="E76" s="10" t="s">
        <v>44</v>
      </c>
      <c r="F76" s="11" t="s">
        <v>374</v>
      </c>
      <c r="H76" s="43" t="str">
        <f>HYPERLINK("https://www.google.com/maps/?q=46.3337500000001,-63.4293916669999", "https://www.google.com/maps/?q=46.3337500000001,-63.4293916669999")</f>
        <v>https://www.google.com/maps/?q=46.3337500000001,-63.4293916669999</v>
      </c>
    </row>
    <row r="77" spans="1:8" ht="29" x14ac:dyDescent="0.35">
      <c r="A77" s="9" t="s">
        <v>375</v>
      </c>
      <c r="B77" s="9" t="s">
        <v>376</v>
      </c>
      <c r="C77" s="9" t="s">
        <v>377</v>
      </c>
      <c r="D77" s="9" t="s">
        <v>378</v>
      </c>
      <c r="E77" s="10" t="s">
        <v>50</v>
      </c>
      <c r="F77" s="11" t="s">
        <v>379</v>
      </c>
      <c r="H77" s="43" t="str">
        <f>HYPERLINK("https://www.google.com/maps/?q=46.3356055560001,-63.034827778", "https://www.google.com/maps/?q=46.3356055560001,-63.034827778")</f>
        <v>https://www.google.com/maps/?q=46.3356055560001,-63.034827778</v>
      </c>
    </row>
    <row r="78" spans="1:8" x14ac:dyDescent="0.35">
      <c r="A78" s="9" t="s">
        <v>380</v>
      </c>
      <c r="B78" s="9" t="s">
        <v>381</v>
      </c>
      <c r="C78" s="9" t="s">
        <v>382</v>
      </c>
      <c r="D78" s="9" t="s">
        <v>383</v>
      </c>
      <c r="E78" s="10" t="s">
        <v>50</v>
      </c>
      <c r="F78" s="11" t="s">
        <v>384</v>
      </c>
      <c r="H78" s="43" t="str">
        <f>HYPERLINK("https://www.google.com/maps/?q=46.4179333330001,-62.7710222219999", "https://www.google.com/maps/?q=46.4179333330001,-62.7710222219999")</f>
        <v>https://www.google.com/maps/?q=46.4179333330001,-62.7710222219999</v>
      </c>
    </row>
    <row r="79" spans="1:8" ht="29" x14ac:dyDescent="0.35">
      <c r="A79" s="9" t="s">
        <v>385</v>
      </c>
      <c r="B79" s="9" t="s">
        <v>386</v>
      </c>
      <c r="C79" s="9" t="s">
        <v>387</v>
      </c>
      <c r="D79" s="9" t="s">
        <v>388</v>
      </c>
      <c r="E79" s="10" t="s">
        <v>44</v>
      </c>
      <c r="F79" s="11" t="s">
        <v>389</v>
      </c>
      <c r="H79" s="43" t="str">
        <f>HYPERLINK("https://www.google.com/maps/?q=46.241008333,-63.486911111", "https://www.google.com/maps/?q=46.241008333,-63.486911111")</f>
        <v>https://www.google.com/maps/?q=46.241008333,-63.486911111</v>
      </c>
    </row>
    <row r="80" spans="1:8" x14ac:dyDescent="0.35">
      <c r="A80" s="9" t="s">
        <v>390</v>
      </c>
      <c r="B80" s="9" t="s">
        <v>391</v>
      </c>
      <c r="C80" s="9" t="s">
        <v>392</v>
      </c>
      <c r="D80" s="9" t="s">
        <v>393</v>
      </c>
      <c r="E80" s="10" t="s">
        <v>44</v>
      </c>
      <c r="F80" s="11" t="s">
        <v>394</v>
      </c>
      <c r="H80" s="43" t="str">
        <f>HYPERLINK("https://www.google.com/maps/?q=46.2796138890001,-63.6231888889999", "https://www.google.com/maps/?q=46.2796138890001,-63.6231888889999")</f>
        <v>https://www.google.com/maps/?q=46.2796138890001,-63.6231888889999</v>
      </c>
    </row>
    <row r="81" spans="1:8" ht="29" x14ac:dyDescent="0.35">
      <c r="A81" s="9" t="s">
        <v>395</v>
      </c>
      <c r="B81" s="9" t="s">
        <v>396</v>
      </c>
      <c r="C81" s="9" t="s">
        <v>397</v>
      </c>
      <c r="D81" s="9" t="s">
        <v>398</v>
      </c>
      <c r="E81" s="10" t="s">
        <v>28</v>
      </c>
      <c r="F81" s="11" t="s">
        <v>399</v>
      </c>
      <c r="H81" s="43" t="str">
        <f>HYPERLINK("https://www.google.com/maps/?q=46.263888889,-63.168888889", "https://www.google.com/maps/?q=46.263888889,-63.168888889")</f>
        <v>https://www.google.com/maps/?q=46.263888889,-63.168888889</v>
      </c>
    </row>
    <row r="82" spans="1:8" ht="29" x14ac:dyDescent="0.35">
      <c r="A82" s="9" t="s">
        <v>400</v>
      </c>
      <c r="B82" s="9" t="s">
        <v>401</v>
      </c>
      <c r="C82" s="9" t="s">
        <v>402</v>
      </c>
      <c r="D82" s="9" t="s">
        <v>403</v>
      </c>
      <c r="E82" s="10" t="s">
        <v>28</v>
      </c>
      <c r="F82" s="11" t="s">
        <v>404</v>
      </c>
      <c r="H82" s="43" t="str">
        <f>HYPERLINK("https://www.google.com/maps/?q=46.357027778,-62.255258333", "https://www.google.com/maps/?q=46.357027778,-62.255258333")</f>
        <v>https://www.google.com/maps/?q=46.357027778,-62.255258333</v>
      </c>
    </row>
    <row r="83" spans="1:8" ht="29" x14ac:dyDescent="0.35">
      <c r="A83" s="9" t="s">
        <v>405</v>
      </c>
      <c r="B83" s="9" t="s">
        <v>406</v>
      </c>
      <c r="C83" s="9" t="s">
        <v>407</v>
      </c>
      <c r="D83" s="9" t="s">
        <v>408</v>
      </c>
      <c r="E83" s="10" t="s">
        <v>28</v>
      </c>
      <c r="F83" s="11" t="s">
        <v>379</v>
      </c>
      <c r="H83" s="43" t="str">
        <f>HYPERLINK("https://www.google.com/maps/?q=46.335608333,-63.0348", "https://www.google.com/maps/?q=46.335608333,-63.0348")</f>
        <v>https://www.google.com/maps/?q=46.335608333,-63.0348</v>
      </c>
    </row>
    <row r="84" spans="1:8" ht="29" x14ac:dyDescent="0.35">
      <c r="A84" s="9" t="s">
        <v>409</v>
      </c>
      <c r="B84" s="9" t="s">
        <v>410</v>
      </c>
      <c r="C84" s="9" t="s">
        <v>411</v>
      </c>
      <c r="D84" s="9" t="s">
        <v>412</v>
      </c>
      <c r="E84" s="10" t="s">
        <v>28</v>
      </c>
      <c r="F84" s="11" t="s">
        <v>413</v>
      </c>
      <c r="H84" s="43" t="str">
        <f>HYPERLINK("https://www.google.com/maps/?q=46.2411083330001,-63.124441667", "https://www.google.com/maps/?q=46.2411083330001,-63.124441667")</f>
        <v>https://www.google.com/maps/?q=46.2411083330001,-63.124441667</v>
      </c>
    </row>
    <row r="85" spans="1:8" x14ac:dyDescent="0.35">
      <c r="A85" s="9" t="s">
        <v>414</v>
      </c>
      <c r="B85" s="9" t="s">
        <v>415</v>
      </c>
      <c r="C85" s="9" t="s">
        <v>416</v>
      </c>
      <c r="D85" s="9" t="s">
        <v>417</v>
      </c>
      <c r="E85" s="10" t="s">
        <v>28</v>
      </c>
      <c r="F85" s="11" t="s">
        <v>418</v>
      </c>
      <c r="G85" s="17"/>
      <c r="H85" s="43" t="str">
        <f>HYPERLINK("https://www.google.com/maps/?q=46.414516667,-62.772525", "https://www.google.com/maps/?q=46.414516667,-62.772525")</f>
        <v>https://www.google.com/maps/?q=46.414516667,-62.772525</v>
      </c>
    </row>
    <row r="86" spans="1:8" ht="29" x14ac:dyDescent="0.35">
      <c r="A86" s="9" t="s">
        <v>419</v>
      </c>
      <c r="B86" s="9" t="s">
        <v>420</v>
      </c>
      <c r="C86" s="9" t="s">
        <v>421</v>
      </c>
      <c r="D86" s="9" t="s">
        <v>422</v>
      </c>
      <c r="E86" s="10" t="s">
        <v>28</v>
      </c>
      <c r="F86" s="11" t="s">
        <v>423</v>
      </c>
      <c r="H86" s="43" t="str">
        <f>HYPERLINK("https://www.google.com/maps/?q=45.978788889,-62.7707944439999", "https://www.google.com/maps/?q=45.978788889,-62.7707944439999")</f>
        <v>https://www.google.com/maps/?q=45.978788889,-62.7707944439999</v>
      </c>
    </row>
    <row r="87" spans="1:8" ht="29" x14ac:dyDescent="0.35">
      <c r="A87" s="9" t="s">
        <v>424</v>
      </c>
      <c r="B87" s="9" t="s">
        <v>425</v>
      </c>
      <c r="C87" s="9" t="s">
        <v>426</v>
      </c>
      <c r="D87" s="9" t="s">
        <v>427</v>
      </c>
      <c r="E87" s="10" t="s">
        <v>28</v>
      </c>
      <c r="F87" s="11" t="s">
        <v>428</v>
      </c>
      <c r="G87" s="17"/>
      <c r="H87" s="43" t="str">
        <f>HYPERLINK("https://www.google.com/maps/?q=46.4909388890001,-63.377427778", "https://www.google.com/maps/?q=46.4909388890001,-63.377427778")</f>
        <v>https://www.google.com/maps/?q=46.4909388890001,-63.377427778</v>
      </c>
    </row>
    <row r="88" spans="1:8" x14ac:dyDescent="0.35">
      <c r="A88" s="9" t="s">
        <v>429</v>
      </c>
      <c r="B88" s="9" t="s">
        <v>430</v>
      </c>
      <c r="C88" s="9" t="s">
        <v>431</v>
      </c>
      <c r="D88" s="9" t="s">
        <v>432</v>
      </c>
      <c r="E88" s="10" t="s">
        <v>28</v>
      </c>
      <c r="F88" s="11" t="s">
        <v>320</v>
      </c>
      <c r="H88" s="43" t="str">
        <f>HYPERLINK("https://www.google.com/maps/?q=46.4549777780001,-63.372147222", "https://www.google.com/maps/?q=46.4549777780001,-63.372147222")</f>
        <v>https://www.google.com/maps/?q=46.4549777780001,-63.372147222</v>
      </c>
    </row>
    <row r="89" spans="1:8" ht="29" x14ac:dyDescent="0.35">
      <c r="A89" s="9" t="s">
        <v>433</v>
      </c>
      <c r="B89" s="9" t="s">
        <v>434</v>
      </c>
      <c r="C89" s="9" t="s">
        <v>435</v>
      </c>
      <c r="D89" s="9" t="s">
        <v>436</v>
      </c>
      <c r="E89" s="10" t="s">
        <v>28</v>
      </c>
      <c r="F89" s="11" t="s">
        <v>437</v>
      </c>
      <c r="H89" s="43" t="str">
        <f>HYPERLINK("https://www.google.com/maps/?q=46.2140305560001,-63.0724999999999", "https://www.google.com/maps/?q=46.2140305560001,-63.0724999999999")</f>
        <v>https://www.google.com/maps/?q=46.2140305560001,-63.0724999999999</v>
      </c>
    </row>
    <row r="90" spans="1:8" ht="29" x14ac:dyDescent="0.35">
      <c r="A90" s="9" t="s">
        <v>438</v>
      </c>
      <c r="B90" s="9" t="s">
        <v>439</v>
      </c>
      <c r="C90" s="9" t="s">
        <v>440</v>
      </c>
      <c r="D90" s="9" t="s">
        <v>441</v>
      </c>
      <c r="E90" s="10" t="s">
        <v>28</v>
      </c>
      <c r="F90" s="11" t="s">
        <v>442</v>
      </c>
      <c r="H90" s="43" t="str">
        <f>HYPERLINK("https://www.google.com/maps/?q=46.3929416670001,-63.0846611109999", "https://www.google.com/maps/?q=46.3929416670001,-63.0846611109999")</f>
        <v>https://www.google.com/maps/?q=46.3929416670001,-63.0846611109999</v>
      </c>
    </row>
    <row r="91" spans="1:8" x14ac:dyDescent="0.35">
      <c r="A91" s="9" t="s">
        <v>443</v>
      </c>
      <c r="B91" s="9" t="s">
        <v>444</v>
      </c>
      <c r="C91" s="9" t="s">
        <v>445</v>
      </c>
      <c r="D91" s="9" t="s">
        <v>446</v>
      </c>
      <c r="E91" s="10" t="s">
        <v>28</v>
      </c>
      <c r="F91" s="11" t="s">
        <v>447</v>
      </c>
      <c r="H91" s="43" t="str">
        <f>HYPERLINK("https://www.google.com/maps/?q=46.2122694440001,-62.7521555559999", "https://www.google.com/maps/?q=46.2122694440001,-62.7521555559999")</f>
        <v>https://www.google.com/maps/?q=46.2122694440001,-62.7521555559999</v>
      </c>
    </row>
    <row r="92" spans="1:8" ht="29" x14ac:dyDescent="0.35">
      <c r="A92" s="9" t="s">
        <v>448</v>
      </c>
      <c r="B92" s="9" t="s">
        <v>449</v>
      </c>
      <c r="C92" s="9" t="s">
        <v>450</v>
      </c>
      <c r="D92" s="9" t="s">
        <v>451</v>
      </c>
      <c r="E92" s="10" t="s">
        <v>50</v>
      </c>
      <c r="F92" s="11" t="s">
        <v>452</v>
      </c>
      <c r="H92" s="43" t="str">
        <f>HYPERLINK("https://www.google.com/maps/?q=46.2408500000001,-63.48275", "https://www.google.com/maps/?q=46.2408500000001,-63.48275")</f>
        <v>https://www.google.com/maps/?q=46.2408500000001,-63.48275</v>
      </c>
    </row>
    <row r="93" spans="1:8" ht="29" x14ac:dyDescent="0.35">
      <c r="A93" s="9" t="s">
        <v>453</v>
      </c>
      <c r="B93" s="9" t="s">
        <v>454</v>
      </c>
      <c r="C93" s="9" t="s">
        <v>455</v>
      </c>
      <c r="D93" s="9" t="s">
        <v>456</v>
      </c>
      <c r="E93" s="10" t="s">
        <v>50</v>
      </c>
      <c r="F93" s="11" t="s">
        <v>360</v>
      </c>
      <c r="H93" s="43" t="str">
        <f>HYPERLINK("https://www.google.com/maps/?q=46.283611111,-63.1191666669999", "https://www.google.com/maps/?q=46.283611111,-63.1191666669999")</f>
        <v>https://www.google.com/maps/?q=46.283611111,-63.1191666669999</v>
      </c>
    </row>
    <row r="94" spans="1:8" x14ac:dyDescent="0.35">
      <c r="A94" s="9" t="s">
        <v>457</v>
      </c>
      <c r="B94" s="9" t="s">
        <v>458</v>
      </c>
      <c r="C94" s="9" t="s">
        <v>459</v>
      </c>
      <c r="D94" s="9" t="s">
        <v>460</v>
      </c>
      <c r="E94" s="10" t="s">
        <v>461</v>
      </c>
      <c r="F94" s="11" t="s">
        <v>394</v>
      </c>
      <c r="H94" s="43" t="str">
        <f>HYPERLINK("https://www.google.com/maps/?q=46.2827972220001,-63.6222361109999", "https://www.google.com/maps/?q=46.2827972220001,-63.6222361109999")</f>
        <v>https://www.google.com/maps/?q=46.2827972220001,-63.6222361109999</v>
      </c>
    </row>
    <row r="95" spans="1:8" ht="29" x14ac:dyDescent="0.35">
      <c r="A95" s="9" t="s">
        <v>462</v>
      </c>
      <c r="B95" s="9" t="s">
        <v>463</v>
      </c>
      <c r="C95" s="9" t="s">
        <v>464</v>
      </c>
      <c r="D95" s="9" t="s">
        <v>465</v>
      </c>
      <c r="E95" s="10" t="s">
        <v>50</v>
      </c>
      <c r="F95" s="11" t="s">
        <v>466</v>
      </c>
      <c r="H95" s="43" t="str">
        <f>HYPERLINK("https://www.google.com/maps/?q=46.1494500000001,-62.607791667", "https://www.google.com/maps/?q=46.1494500000001,-62.607791667")</f>
        <v>https://www.google.com/maps/?q=46.1494500000001,-62.607791667</v>
      </c>
    </row>
    <row r="96" spans="1:8" ht="29" x14ac:dyDescent="0.35">
      <c r="A96" s="9" t="s">
        <v>467</v>
      </c>
      <c r="B96" s="9" t="s">
        <v>468</v>
      </c>
      <c r="C96" s="9" t="s">
        <v>469</v>
      </c>
      <c r="D96" s="9" t="s">
        <v>470</v>
      </c>
      <c r="E96" s="10" t="s">
        <v>66</v>
      </c>
      <c r="F96" s="11" t="s">
        <v>471</v>
      </c>
      <c r="G96" s="19"/>
      <c r="H96" s="43" t="str">
        <f>HYPERLINK("https://www.google.com/maps/?q=46.2355555560001,-63.1288888889999", "https://www.google.com/maps/?q=46.2355555560001,-63.1288888889999")</f>
        <v>https://www.google.com/maps/?q=46.2355555560001,-63.1288888889999</v>
      </c>
    </row>
    <row r="97" spans="1:8" ht="29" x14ac:dyDescent="0.35">
      <c r="A97" s="9" t="s">
        <v>472</v>
      </c>
      <c r="B97" s="9" t="s">
        <v>473</v>
      </c>
      <c r="C97" s="9" t="s">
        <v>474</v>
      </c>
      <c r="D97" s="9" t="s">
        <v>475</v>
      </c>
      <c r="E97" s="10" t="s">
        <v>66</v>
      </c>
      <c r="F97" s="11" t="s">
        <v>476</v>
      </c>
      <c r="H97" s="43" t="str">
        <f>HYPERLINK("https://www.google.com/maps/?q=46.2316555560001,-63.123936111", "https://www.google.com/maps/?q=46.2316555560001,-63.123936111")</f>
        <v>https://www.google.com/maps/?q=46.2316555560001,-63.123936111</v>
      </c>
    </row>
    <row r="98" spans="1:8" x14ac:dyDescent="0.35">
      <c r="A98" s="9" t="s">
        <v>477</v>
      </c>
      <c r="B98" s="9" t="s">
        <v>478</v>
      </c>
      <c r="C98" s="9" t="s">
        <v>479</v>
      </c>
      <c r="D98" s="9" t="s">
        <v>480</v>
      </c>
      <c r="E98" s="10" t="s">
        <v>66</v>
      </c>
      <c r="F98" s="11" t="s">
        <v>481</v>
      </c>
      <c r="H98" s="43" t="str">
        <f>HYPERLINK("https://www.google.com/maps/?q=46.359169444,-62.6344694439999", "https://www.google.com/maps/?q=46.359169444,-62.6344694439999")</f>
        <v>https://www.google.com/maps/?q=46.359169444,-62.6344694439999</v>
      </c>
    </row>
    <row r="99" spans="1:8" ht="29" x14ac:dyDescent="0.35">
      <c r="A99" s="9" t="s">
        <v>482</v>
      </c>
      <c r="B99" s="9" t="s">
        <v>483</v>
      </c>
      <c r="C99" s="9" t="s">
        <v>484</v>
      </c>
      <c r="D99" s="9" t="s">
        <v>485</v>
      </c>
      <c r="E99" s="10" t="s">
        <v>66</v>
      </c>
      <c r="F99" s="11" t="s">
        <v>486</v>
      </c>
      <c r="H99" s="43" t="str">
        <f>HYPERLINK("https://www.google.com/maps/?q=46.1972222220001,-63.404722222", "https://www.google.com/maps/?q=46.1972222220001,-63.404722222")</f>
        <v>https://www.google.com/maps/?q=46.1972222220001,-63.404722222</v>
      </c>
    </row>
    <row r="100" spans="1:8" x14ac:dyDescent="0.35">
      <c r="A100" s="9" t="s">
        <v>487</v>
      </c>
      <c r="B100" s="9" t="s">
        <v>488</v>
      </c>
      <c r="C100" s="9" t="s">
        <v>489</v>
      </c>
      <c r="D100" s="9" t="s">
        <v>490</v>
      </c>
      <c r="E100" s="10" t="s">
        <v>66</v>
      </c>
      <c r="F100" s="11" t="s">
        <v>491</v>
      </c>
      <c r="H100" s="43" t="str">
        <f>HYPERLINK("https://www.google.com/maps/?q=46.391336111,-63.214733333", "https://www.google.com/maps/?q=46.391336111,-63.214733333")</f>
        <v>https://www.google.com/maps/?q=46.391336111,-63.214733333</v>
      </c>
    </row>
    <row r="101" spans="1:8" ht="29" x14ac:dyDescent="0.35">
      <c r="A101" s="9" t="s">
        <v>492</v>
      </c>
      <c r="B101" s="9" t="s">
        <v>493</v>
      </c>
      <c r="C101" s="9" t="s">
        <v>494</v>
      </c>
      <c r="D101" s="9" t="s">
        <v>495</v>
      </c>
      <c r="E101" s="10" t="s">
        <v>66</v>
      </c>
      <c r="F101" s="11" t="s">
        <v>496</v>
      </c>
      <c r="H101" s="43" t="str">
        <f>HYPERLINK("https://www.google.com/maps/?q=46.262538889,-63.139319444", "https://www.google.com/maps/?q=46.262538889,-63.139319444")</f>
        <v>https://www.google.com/maps/?q=46.262538889,-63.139319444</v>
      </c>
    </row>
    <row r="102" spans="1:8" ht="29" x14ac:dyDescent="0.35">
      <c r="A102" s="9" t="s">
        <v>497</v>
      </c>
      <c r="B102" s="9" t="s">
        <v>498</v>
      </c>
      <c r="C102" s="9" t="s">
        <v>499</v>
      </c>
      <c r="D102" s="9" t="s">
        <v>500</v>
      </c>
      <c r="E102" s="10" t="s">
        <v>28</v>
      </c>
      <c r="F102" s="11" t="s">
        <v>501</v>
      </c>
      <c r="H102" s="43" t="str">
        <f>HYPERLINK("https://www.google.com/maps/?q=46.254125,-63.121280556", "https://www.google.com/maps/?q=46.254125,-63.121280556")</f>
        <v>https://www.google.com/maps/?q=46.254125,-63.121280556</v>
      </c>
    </row>
    <row r="103" spans="1:8" ht="29" x14ac:dyDescent="0.35">
      <c r="A103" s="9" t="s">
        <v>502</v>
      </c>
      <c r="B103" s="9" t="s">
        <v>503</v>
      </c>
      <c r="C103" s="9" t="s">
        <v>504</v>
      </c>
      <c r="D103" s="9" t="s">
        <v>505</v>
      </c>
      <c r="E103" s="10" t="s">
        <v>28</v>
      </c>
      <c r="F103" s="11" t="s">
        <v>452</v>
      </c>
      <c r="H103" s="43" t="str">
        <f>HYPERLINK("https://www.google.com/maps/?q=46.241183333,-63.482716667", "https://www.google.com/maps/?q=46.241183333,-63.482716667")</f>
        <v>https://www.google.com/maps/?q=46.241183333,-63.482716667</v>
      </c>
    </row>
    <row r="104" spans="1:8" ht="29" x14ac:dyDescent="0.35">
      <c r="A104" s="9" t="s">
        <v>506</v>
      </c>
      <c r="B104" s="9" t="s">
        <v>507</v>
      </c>
      <c r="C104" s="9" t="s">
        <v>508</v>
      </c>
      <c r="D104" s="9" t="s">
        <v>509</v>
      </c>
      <c r="E104" s="10" t="s">
        <v>28</v>
      </c>
      <c r="F104" s="11" t="s">
        <v>510</v>
      </c>
      <c r="H104" s="43" t="str">
        <f>HYPERLINK("https://www.google.com/maps/?q=46.192283333,-63.3426527779999", "https://www.google.com/maps/?q=46.192283333,-63.3426527779999")</f>
        <v>https://www.google.com/maps/?q=46.192283333,-63.3426527779999</v>
      </c>
    </row>
    <row r="105" spans="1:8" x14ac:dyDescent="0.35">
      <c r="A105" s="9" t="s">
        <v>511</v>
      </c>
      <c r="B105" s="9" t="s">
        <v>512</v>
      </c>
      <c r="C105" s="9" t="s">
        <v>513</v>
      </c>
      <c r="D105" s="9" t="s">
        <v>514</v>
      </c>
      <c r="E105" s="10" t="s">
        <v>28</v>
      </c>
      <c r="F105" s="11" t="s">
        <v>515</v>
      </c>
      <c r="H105" s="43" t="str">
        <f>HYPERLINK("https://www.google.com/maps/?q=46.364675,-63.410052778", "https://www.google.com/maps/?q=46.364675,-63.410052778")</f>
        <v>https://www.google.com/maps/?q=46.364675,-63.410052778</v>
      </c>
    </row>
    <row r="106" spans="1:8" ht="29" x14ac:dyDescent="0.35">
      <c r="A106" s="9" t="s">
        <v>516</v>
      </c>
      <c r="B106" s="9" t="s">
        <v>517</v>
      </c>
      <c r="C106" s="9" t="s">
        <v>518</v>
      </c>
      <c r="D106" s="9" t="s">
        <v>519</v>
      </c>
      <c r="E106" s="10" t="s">
        <v>28</v>
      </c>
      <c r="F106" s="11" t="s">
        <v>520</v>
      </c>
      <c r="H106" s="43" t="str">
        <f>HYPERLINK("https://www.google.com/maps/?q=46.2609138890001,-63.1196805559999", "https://www.google.com/maps/?q=46.2609138890001,-63.1196805559999")</f>
        <v>https://www.google.com/maps/?q=46.2609138890001,-63.1196805559999</v>
      </c>
    </row>
    <row r="107" spans="1:8" ht="29" x14ac:dyDescent="0.35">
      <c r="A107" s="9" t="s">
        <v>521</v>
      </c>
      <c r="B107" s="9" t="s">
        <v>522</v>
      </c>
      <c r="C107" s="9" t="s">
        <v>523</v>
      </c>
      <c r="D107" s="9" t="s">
        <v>524</v>
      </c>
      <c r="E107" s="10" t="s">
        <v>28</v>
      </c>
      <c r="F107" s="11" t="s">
        <v>525</v>
      </c>
      <c r="H107" s="43" t="str">
        <f>HYPERLINK("https://www.google.com/maps/?q=46.2146000000001,-63.4977", "https://www.google.com/maps/?q=46.2146000000001,-63.4977")</f>
        <v>https://www.google.com/maps/?q=46.2146000000001,-63.4977</v>
      </c>
    </row>
    <row r="108" spans="1:8" ht="29" x14ac:dyDescent="0.35">
      <c r="A108" s="9" t="s">
        <v>526</v>
      </c>
      <c r="B108" s="9" t="s">
        <v>527</v>
      </c>
      <c r="C108" s="9" t="s">
        <v>528</v>
      </c>
      <c r="D108" s="9" t="s">
        <v>529</v>
      </c>
      <c r="E108" s="10" t="s">
        <v>28</v>
      </c>
      <c r="F108" s="11" t="s">
        <v>530</v>
      </c>
      <c r="H108" s="43" t="str">
        <f>HYPERLINK("https://www.google.com/maps/?q=46.051277778,-62.721319444", "https://www.google.com/maps/?q=46.051277778,-62.721319444")</f>
        <v>https://www.google.com/maps/?q=46.051277778,-62.721319444</v>
      </c>
    </row>
    <row r="109" spans="1:8" ht="29" x14ac:dyDescent="0.35">
      <c r="A109" s="9" t="s">
        <v>531</v>
      </c>
      <c r="B109" s="9" t="s">
        <v>532</v>
      </c>
      <c r="C109" s="9" t="s">
        <v>533</v>
      </c>
      <c r="D109" s="9" t="s">
        <v>534</v>
      </c>
      <c r="E109" s="10" t="s">
        <v>28</v>
      </c>
      <c r="F109" s="11" t="s">
        <v>535</v>
      </c>
      <c r="G109" s="17"/>
      <c r="H109" s="43" t="str">
        <f>HYPERLINK("https://www.google.com/maps/?q=46.490719444,-63.381147222", "https://www.google.com/maps/?q=46.490719444,-63.381147222")</f>
        <v>https://www.google.com/maps/?q=46.490719444,-63.381147222</v>
      </c>
    </row>
    <row r="110" spans="1:8" ht="29" x14ac:dyDescent="0.35">
      <c r="A110" s="9" t="s">
        <v>536</v>
      </c>
      <c r="B110" s="9" t="s">
        <v>537</v>
      </c>
      <c r="C110" s="9" t="s">
        <v>538</v>
      </c>
      <c r="D110" s="9" t="s">
        <v>539</v>
      </c>
      <c r="E110" s="10" t="s">
        <v>28</v>
      </c>
      <c r="F110" s="11" t="s">
        <v>540</v>
      </c>
      <c r="H110" s="43" t="str">
        <f>HYPERLINK("https://www.google.com/maps/?q=46.2625694440001,-63.117758333", "https://www.google.com/maps/?q=46.2625694440001,-63.117758333")</f>
        <v>https://www.google.com/maps/?q=46.2625694440001,-63.117758333</v>
      </c>
    </row>
    <row r="111" spans="1:8" ht="29" x14ac:dyDescent="0.35">
      <c r="A111" s="9" t="s">
        <v>541</v>
      </c>
      <c r="B111" s="9" t="s">
        <v>542</v>
      </c>
      <c r="C111" s="9" t="s">
        <v>543</v>
      </c>
      <c r="D111" s="9" t="s">
        <v>544</v>
      </c>
      <c r="E111" s="10" t="s">
        <v>28</v>
      </c>
      <c r="F111" s="11" t="s">
        <v>545</v>
      </c>
      <c r="H111" s="43" t="str">
        <f>HYPERLINK("https://www.google.com/maps/?q=46.4253972220001,-63.6227916669999", "https://www.google.com/maps/?q=46.4253972220001,-63.6227916669999")</f>
        <v>https://www.google.com/maps/?q=46.4253972220001,-63.6227916669999</v>
      </c>
    </row>
    <row r="112" spans="1:8" ht="29" x14ac:dyDescent="0.35">
      <c r="A112" s="9" t="s">
        <v>546</v>
      </c>
      <c r="B112" s="9" t="s">
        <v>547</v>
      </c>
      <c r="C112" s="9" t="s">
        <v>548</v>
      </c>
      <c r="D112" s="9" t="s">
        <v>549</v>
      </c>
      <c r="E112" s="10" t="s">
        <v>44</v>
      </c>
      <c r="F112" s="11" t="s">
        <v>530</v>
      </c>
      <c r="H112" s="43" t="str">
        <f>HYPERLINK("https://www.google.com/maps/?q=46.0513333330001,-62.7213166669999", "https://www.google.com/maps/?q=46.0513333330001,-62.7213166669999")</f>
        <v>https://www.google.com/maps/?q=46.0513333330001,-62.7213166669999</v>
      </c>
    </row>
    <row r="113" spans="1:8" ht="29" x14ac:dyDescent="0.35">
      <c r="A113" s="9" t="s">
        <v>550</v>
      </c>
      <c r="B113" s="9" t="s">
        <v>551</v>
      </c>
      <c r="C113" s="9" t="s">
        <v>552</v>
      </c>
      <c r="D113" s="9" t="s">
        <v>553</v>
      </c>
      <c r="E113" s="10" t="s">
        <v>28</v>
      </c>
      <c r="F113" s="11" t="s">
        <v>554</v>
      </c>
      <c r="H113" s="43" t="str">
        <f>HYPERLINK("https://www.google.com/maps/?q=46.2492,-63.1218388889999", "https://www.google.com/maps/?q=46.2492,-63.1218388889999")</f>
        <v>https://www.google.com/maps/?q=46.2492,-63.1218388889999</v>
      </c>
    </row>
    <row r="114" spans="1:8" ht="29" x14ac:dyDescent="0.35">
      <c r="A114" s="9" t="s">
        <v>555</v>
      </c>
      <c r="B114" s="9" t="s">
        <v>556</v>
      </c>
      <c r="C114" s="9" t="s">
        <v>557</v>
      </c>
      <c r="D114" s="9" t="s">
        <v>558</v>
      </c>
      <c r="E114" s="10" t="s">
        <v>50</v>
      </c>
      <c r="F114" s="11" t="s">
        <v>559</v>
      </c>
      <c r="H114" s="43" t="str">
        <f>HYPERLINK("https://www.google.com/maps/?q=46.212247222,-62.763616667", "https://www.google.com/maps/?q=46.212247222,-62.763616667")</f>
        <v>https://www.google.com/maps/?q=46.212247222,-62.763616667</v>
      </c>
    </row>
    <row r="115" spans="1:8" ht="29" x14ac:dyDescent="0.35">
      <c r="A115" s="9" t="s">
        <v>560</v>
      </c>
      <c r="B115" s="9" t="s">
        <v>561</v>
      </c>
      <c r="C115" s="9" t="s">
        <v>562</v>
      </c>
      <c r="D115" s="9" t="s">
        <v>563</v>
      </c>
      <c r="E115" s="10" t="s">
        <v>28</v>
      </c>
      <c r="F115" s="11" t="s">
        <v>564</v>
      </c>
      <c r="H115" s="43" t="str">
        <f>HYPERLINK("https://www.google.com/maps/?q=46.2511000000001,-63.1425", "https://www.google.com/maps/?q=46.2511000000001,-63.1425")</f>
        <v>https://www.google.com/maps/?q=46.2511000000001,-63.1425</v>
      </c>
    </row>
    <row r="116" spans="1:8" ht="29" x14ac:dyDescent="0.35">
      <c r="A116" s="9" t="s">
        <v>565</v>
      </c>
      <c r="B116" s="9" t="s">
        <v>566</v>
      </c>
      <c r="C116" s="9" t="s">
        <v>567</v>
      </c>
      <c r="D116" s="9" t="s">
        <v>568</v>
      </c>
      <c r="E116" s="10" t="s">
        <v>28</v>
      </c>
      <c r="F116" s="11" t="s">
        <v>569</v>
      </c>
      <c r="H116" s="43" t="str">
        <f>HYPERLINK("https://www.google.com/maps/?q=46.4859916670001,-63.392361111", "https://www.google.com/maps/?q=46.4859916670001,-63.392361111")</f>
        <v>https://www.google.com/maps/?q=46.4859916670001,-63.392361111</v>
      </c>
    </row>
    <row r="117" spans="1:8" ht="29" x14ac:dyDescent="0.35">
      <c r="A117" s="9" t="s">
        <v>570</v>
      </c>
      <c r="B117" s="9" t="s">
        <v>571</v>
      </c>
      <c r="C117" s="9" t="s">
        <v>572</v>
      </c>
      <c r="D117" s="9" t="s">
        <v>573</v>
      </c>
      <c r="E117" s="10" t="s">
        <v>28</v>
      </c>
      <c r="F117" s="11" t="s">
        <v>574</v>
      </c>
      <c r="H117" s="43" t="str">
        <f>HYPERLINK("https://www.google.com/maps/?q=46.2306,-63.24", "https://www.google.com/maps/?q=46.2306,-63.24")</f>
        <v>https://www.google.com/maps/?q=46.2306,-63.24</v>
      </c>
    </row>
    <row r="118" spans="1:8" ht="29" x14ac:dyDescent="0.35">
      <c r="A118" s="9" t="s">
        <v>575</v>
      </c>
      <c r="B118" s="9" t="s">
        <v>576</v>
      </c>
      <c r="C118" s="9" t="s">
        <v>577</v>
      </c>
      <c r="D118" s="9" t="s">
        <v>578</v>
      </c>
      <c r="E118" s="10" t="s">
        <v>28</v>
      </c>
      <c r="F118" s="11" t="s">
        <v>330</v>
      </c>
      <c r="H118" s="43" t="str">
        <f>HYPERLINK("https://www.google.com/maps/?q=46.423775,-62.0915027779999", "https://www.google.com/maps/?q=46.423775,-62.0915027779999")</f>
        <v>https://www.google.com/maps/?q=46.423775,-62.0915027779999</v>
      </c>
    </row>
    <row r="119" spans="1:8" x14ac:dyDescent="0.35">
      <c r="A119" s="9" t="s">
        <v>579</v>
      </c>
      <c r="B119" s="9" t="s">
        <v>580</v>
      </c>
      <c r="C119" s="9" t="s">
        <v>581</v>
      </c>
      <c r="D119" s="9" t="s">
        <v>582</v>
      </c>
      <c r="E119" s="10" t="s">
        <v>28</v>
      </c>
      <c r="F119" s="11" t="s">
        <v>266</v>
      </c>
      <c r="H119" s="43" t="str">
        <f>HYPERLINK("https://www.google.com/maps/?q=46.345886111,-63.6929", "https://www.google.com/maps/?q=46.345886111,-63.6929")</f>
        <v>https://www.google.com/maps/?q=46.345886111,-63.6929</v>
      </c>
    </row>
    <row r="120" spans="1:8" ht="29" x14ac:dyDescent="0.35">
      <c r="A120" s="9" t="s">
        <v>583</v>
      </c>
      <c r="B120" s="9" t="s">
        <v>584</v>
      </c>
      <c r="C120" s="9" t="s">
        <v>585</v>
      </c>
      <c r="D120" s="9" t="s">
        <v>586</v>
      </c>
      <c r="E120" s="10" t="s">
        <v>50</v>
      </c>
      <c r="F120" s="11" t="s">
        <v>330</v>
      </c>
      <c r="H120" s="43" t="str">
        <f>HYPERLINK("https://www.google.com/maps/?q=46.4238333330001,-62.091675", "https://www.google.com/maps/?q=46.4238333330001,-62.091675")</f>
        <v>https://www.google.com/maps/?q=46.4238333330001,-62.091675</v>
      </c>
    </row>
    <row r="121" spans="1:8" ht="29" x14ac:dyDescent="0.35">
      <c r="A121" s="9" t="s">
        <v>587</v>
      </c>
      <c r="B121" s="9" t="s">
        <v>588</v>
      </c>
      <c r="C121" s="9" t="s">
        <v>589</v>
      </c>
      <c r="D121" s="9" t="s">
        <v>590</v>
      </c>
      <c r="E121" s="10" t="s">
        <v>66</v>
      </c>
      <c r="F121" s="11" t="s">
        <v>360</v>
      </c>
      <c r="H121" s="43" t="str">
        <f>HYPERLINK("https://www.google.com/maps/?q=46.283430556,-63.1198277779999", "https://www.google.com/maps/?q=46.283430556,-63.1198277779999")</f>
        <v>https://www.google.com/maps/?q=46.283430556,-63.1198277779999</v>
      </c>
    </row>
    <row r="122" spans="1:8" ht="29" x14ac:dyDescent="0.35">
      <c r="A122" s="9" t="s">
        <v>591</v>
      </c>
      <c r="B122" s="9" t="s">
        <v>592</v>
      </c>
      <c r="C122" s="9" t="s">
        <v>593</v>
      </c>
      <c r="D122" s="9" t="s">
        <v>594</v>
      </c>
      <c r="E122" s="10" t="s">
        <v>66</v>
      </c>
      <c r="F122" s="11" t="s">
        <v>595</v>
      </c>
      <c r="H122" s="43" t="str">
        <f>HYPERLINK("https://www.google.com/maps/?q=46.477769444,-63.395555556", "https://www.google.com/maps/?q=46.477769444,-63.395555556")</f>
        <v>https://www.google.com/maps/?q=46.477769444,-63.395555556</v>
      </c>
    </row>
    <row r="123" spans="1:8" ht="29" x14ac:dyDescent="0.35">
      <c r="A123" s="9" t="s">
        <v>596</v>
      </c>
      <c r="B123" s="9" t="s">
        <v>597</v>
      </c>
      <c r="C123" s="9" t="s">
        <v>598</v>
      </c>
      <c r="D123" s="9" t="s">
        <v>599</v>
      </c>
      <c r="E123" s="10" t="s">
        <v>66</v>
      </c>
      <c r="F123" s="11" t="s">
        <v>600</v>
      </c>
      <c r="H123" s="43" t="str">
        <f>HYPERLINK("https://www.google.com/maps/?q=46.2131444440001,-63.081766667", "https://www.google.com/maps/?q=46.2131444440001,-63.081766667")</f>
        <v>https://www.google.com/maps/?q=46.2131444440001,-63.081766667</v>
      </c>
    </row>
    <row r="124" spans="1:8" ht="29" x14ac:dyDescent="0.35">
      <c r="A124" s="9" t="s">
        <v>601</v>
      </c>
      <c r="B124" s="9" t="s">
        <v>602</v>
      </c>
      <c r="C124" s="9" t="s">
        <v>603</v>
      </c>
      <c r="D124" s="9" t="s">
        <v>604</v>
      </c>
      <c r="E124" s="10" t="s">
        <v>66</v>
      </c>
      <c r="F124" s="11" t="s">
        <v>605</v>
      </c>
      <c r="H124" s="43" t="str">
        <f>HYPERLINK("https://www.google.com/maps/?q=46.5175194440001,-63.64805", "https://www.google.com/maps/?q=46.5175194440001,-63.64805")</f>
        <v>https://www.google.com/maps/?q=46.5175194440001,-63.64805</v>
      </c>
    </row>
    <row r="125" spans="1:8" ht="29" x14ac:dyDescent="0.35">
      <c r="A125" s="9" t="s">
        <v>277</v>
      </c>
      <c r="B125" s="9" t="s">
        <v>606</v>
      </c>
      <c r="C125" s="9" t="s">
        <v>279</v>
      </c>
      <c r="D125" s="9" t="s">
        <v>607</v>
      </c>
      <c r="E125" s="10" t="s">
        <v>66</v>
      </c>
      <c r="F125" s="11" t="s">
        <v>281</v>
      </c>
      <c r="H125" s="43" t="str">
        <f>HYPERLINK("https://www.google.com/maps/?q=46.268611111,-63.6344444439999", "https://www.google.com/maps/?q=46.268611111,-63.6344444439999")</f>
        <v>https://www.google.com/maps/?q=46.268611111,-63.6344444439999</v>
      </c>
    </row>
    <row r="126" spans="1:8" ht="29" x14ac:dyDescent="0.35">
      <c r="A126" s="9" t="s">
        <v>608</v>
      </c>
      <c r="B126" s="9" t="s">
        <v>609</v>
      </c>
      <c r="C126" s="9" t="s">
        <v>610</v>
      </c>
      <c r="D126" s="9" t="s">
        <v>611</v>
      </c>
      <c r="E126" s="10" t="s">
        <v>17</v>
      </c>
      <c r="F126" s="11" t="s">
        <v>545</v>
      </c>
      <c r="H126" s="43" t="str">
        <f>HYPERLINK("https://www.google.com/maps/?q=46.4254000000001,-63.6228", "https://www.google.com/maps/?q=46.4254000000001,-63.6228")</f>
        <v>https://www.google.com/maps/?q=46.4254000000001,-63.6228</v>
      </c>
    </row>
    <row r="127" spans="1:8" ht="29" x14ac:dyDescent="0.35">
      <c r="A127" s="9" t="s">
        <v>612</v>
      </c>
      <c r="B127" s="9" t="s">
        <v>613</v>
      </c>
      <c r="C127" s="9" t="s">
        <v>614</v>
      </c>
      <c r="D127" s="9" t="s">
        <v>615</v>
      </c>
      <c r="E127" s="10" t="s">
        <v>50</v>
      </c>
      <c r="F127" s="11" t="s">
        <v>616</v>
      </c>
      <c r="H127" s="43" t="str">
        <f>HYPERLINK("https://www.google.com/maps/?q=46.4778388890001,-63.3958527779999", "https://www.google.com/maps/?q=46.4778388890001,-63.3958527779999")</f>
        <v>https://www.google.com/maps/?q=46.4778388890001,-63.3958527779999</v>
      </c>
    </row>
    <row r="128" spans="1:8" ht="29" x14ac:dyDescent="0.35">
      <c r="A128" s="9" t="s">
        <v>617</v>
      </c>
      <c r="B128" s="9" t="s">
        <v>618</v>
      </c>
      <c r="C128" s="9" t="s">
        <v>619</v>
      </c>
      <c r="D128" s="9" t="s">
        <v>620</v>
      </c>
      <c r="E128" s="10" t="s">
        <v>50</v>
      </c>
      <c r="F128" s="11" t="s">
        <v>335</v>
      </c>
      <c r="H128" s="43" t="str">
        <f>HYPERLINK("https://www.google.com/maps/?q=46.31435,-63.186941667", "https://www.google.com/maps/?q=46.31435,-63.186941667")</f>
        <v>https://www.google.com/maps/?q=46.31435,-63.186941667</v>
      </c>
    </row>
    <row r="129" spans="1:8" ht="29" x14ac:dyDescent="0.35">
      <c r="A129" s="9" t="s">
        <v>621</v>
      </c>
      <c r="B129" s="9" t="s">
        <v>622</v>
      </c>
      <c r="C129" s="9" t="s">
        <v>623</v>
      </c>
      <c r="D129" s="9" t="s">
        <v>624</v>
      </c>
      <c r="E129" s="10" t="s">
        <v>28</v>
      </c>
      <c r="F129" s="11" t="s">
        <v>569</v>
      </c>
      <c r="H129" s="43" t="str">
        <f>HYPERLINK("https://www.google.com/maps/?q=46.4837972220001,-63.391513889", "https://www.google.com/maps/?q=46.4837972220001,-63.391513889")</f>
        <v>https://www.google.com/maps/?q=46.4837972220001,-63.391513889</v>
      </c>
    </row>
    <row r="130" spans="1:8" ht="29" x14ac:dyDescent="0.35">
      <c r="A130" s="9" t="s">
        <v>625</v>
      </c>
      <c r="B130" s="9" t="s">
        <v>626</v>
      </c>
      <c r="C130" s="9" t="s">
        <v>627</v>
      </c>
      <c r="D130" s="9" t="s">
        <v>628</v>
      </c>
      <c r="E130" s="10" t="s">
        <v>44</v>
      </c>
      <c r="F130" s="11" t="s">
        <v>629</v>
      </c>
      <c r="H130" s="43" t="str">
        <f>HYPERLINK("https://www.google.com/maps/?q=46.194888889,-62.539277778", "https://www.google.com/maps/?q=46.194888889,-62.539277778")</f>
        <v>https://www.google.com/maps/?q=46.194888889,-62.539277778</v>
      </c>
    </row>
    <row r="131" spans="1:8" ht="29" x14ac:dyDescent="0.35">
      <c r="A131" s="9" t="s">
        <v>630</v>
      </c>
      <c r="B131" s="9" t="s">
        <v>631</v>
      </c>
      <c r="C131" s="9" t="s">
        <v>632</v>
      </c>
      <c r="D131" s="9" t="s">
        <v>633</v>
      </c>
      <c r="E131" s="10" t="s">
        <v>28</v>
      </c>
      <c r="F131" s="11" t="s">
        <v>634</v>
      </c>
      <c r="H131" s="43" t="str">
        <f>HYPERLINK("https://www.google.com/maps/?q=46.1658,-62.6475", "https://www.google.com/maps/?q=46.1658,-62.6475")</f>
        <v>https://www.google.com/maps/?q=46.1658,-62.6475</v>
      </c>
    </row>
    <row r="132" spans="1:8" x14ac:dyDescent="0.35">
      <c r="A132" s="9" t="s">
        <v>635</v>
      </c>
      <c r="B132" s="9" t="s">
        <v>636</v>
      </c>
      <c r="C132" s="9" t="s">
        <v>637</v>
      </c>
      <c r="D132" s="9" t="s">
        <v>638</v>
      </c>
      <c r="E132" s="10" t="s">
        <v>28</v>
      </c>
      <c r="F132" s="11" t="s">
        <v>315</v>
      </c>
      <c r="H132" s="43" t="str">
        <f>HYPERLINK("https://www.google.com/maps/?q=46.3744,-62.3441999999999", "https://www.google.com/maps/?q=46.3744,-62.3441999999999")</f>
        <v>https://www.google.com/maps/?q=46.3744,-62.3441999999999</v>
      </c>
    </row>
    <row r="133" spans="1:8" ht="29" x14ac:dyDescent="0.35">
      <c r="A133" s="9" t="s">
        <v>272</v>
      </c>
      <c r="B133" s="9" t="s">
        <v>639</v>
      </c>
      <c r="C133" s="9" t="s">
        <v>274</v>
      </c>
      <c r="D133" s="9" t="s">
        <v>640</v>
      </c>
      <c r="E133" s="10" t="s">
        <v>50</v>
      </c>
      <c r="F133" s="11" t="s">
        <v>276</v>
      </c>
      <c r="H133" s="43" t="str">
        <f>HYPERLINK("https://www.google.com/maps/?q=46.255461111,-63.1103138889999", "https://www.google.com/maps/?q=46.255461111,-63.1103138889999")</f>
        <v>https://www.google.com/maps/?q=46.255461111,-63.1103138889999</v>
      </c>
    </row>
    <row r="134" spans="1:8" ht="29" x14ac:dyDescent="0.35">
      <c r="A134" s="9" t="s">
        <v>641</v>
      </c>
      <c r="B134" s="9" t="s">
        <v>642</v>
      </c>
      <c r="C134" s="9" t="s">
        <v>643</v>
      </c>
      <c r="D134" s="9" t="s">
        <v>644</v>
      </c>
      <c r="E134" s="10" t="s">
        <v>50</v>
      </c>
      <c r="F134" s="11" t="s">
        <v>496</v>
      </c>
      <c r="H134" s="43" t="str">
        <f>HYPERLINK("https://www.google.com/maps/?q=46.26255,-63.1394722219999", "https://www.google.com/maps/?q=46.26255,-63.1394722219999")</f>
        <v>https://www.google.com/maps/?q=46.26255,-63.1394722219999</v>
      </c>
    </row>
    <row r="135" spans="1:8" ht="29" x14ac:dyDescent="0.35">
      <c r="A135" s="9" t="s">
        <v>645</v>
      </c>
      <c r="B135" s="9" t="s">
        <v>646</v>
      </c>
      <c r="C135" s="9" t="s">
        <v>647</v>
      </c>
      <c r="D135" s="9" t="s">
        <v>648</v>
      </c>
      <c r="E135" s="10" t="s">
        <v>28</v>
      </c>
      <c r="F135" s="11" t="s">
        <v>649</v>
      </c>
      <c r="H135" s="43" t="str">
        <f>HYPERLINK("https://www.google.com/maps/?q=46.2356,-63.1303", "https://www.google.com/maps/?q=46.2356,-63.1303")</f>
        <v>https://www.google.com/maps/?q=46.2356,-63.1303</v>
      </c>
    </row>
    <row r="136" spans="1:8" ht="29" x14ac:dyDescent="0.35">
      <c r="A136" s="9" t="s">
        <v>650</v>
      </c>
      <c r="B136" s="9" t="s">
        <v>651</v>
      </c>
      <c r="C136" s="9" t="s">
        <v>652</v>
      </c>
      <c r="D136" s="9" t="s">
        <v>653</v>
      </c>
      <c r="E136" s="10" t="s">
        <v>28</v>
      </c>
      <c r="F136" s="11" t="s">
        <v>654</v>
      </c>
      <c r="H136" s="43" t="str">
        <f>HYPERLINK("https://www.google.com/maps/?q=46.528969444,-63.670302778", "https://www.google.com/maps/?q=46.528969444,-63.670302778")</f>
        <v>https://www.google.com/maps/?q=46.528969444,-63.670302778</v>
      </c>
    </row>
    <row r="137" spans="1:8" ht="29" x14ac:dyDescent="0.35">
      <c r="A137" s="9" t="s">
        <v>655</v>
      </c>
      <c r="B137" s="9" t="s">
        <v>656</v>
      </c>
      <c r="C137" s="9" t="s">
        <v>657</v>
      </c>
      <c r="D137" s="9" t="s">
        <v>658</v>
      </c>
      <c r="E137" s="10" t="s">
        <v>28</v>
      </c>
      <c r="F137" s="11" t="s">
        <v>659</v>
      </c>
      <c r="H137" s="43" t="str">
        <f>HYPERLINK("https://www.google.com/maps/?q=46.47965,-63.3899472219999", "https://www.google.com/maps/?q=46.47965,-63.3899472219999")</f>
        <v>https://www.google.com/maps/?q=46.47965,-63.3899472219999</v>
      </c>
    </row>
    <row r="138" spans="1:8" x14ac:dyDescent="0.35">
      <c r="A138" s="9" t="s">
        <v>660</v>
      </c>
      <c r="B138" s="9" t="s">
        <v>661</v>
      </c>
      <c r="C138" s="9" t="s">
        <v>662</v>
      </c>
      <c r="D138" s="9" t="s">
        <v>663</v>
      </c>
      <c r="E138" s="10" t="s">
        <v>28</v>
      </c>
      <c r="F138" s="11" t="s">
        <v>664</v>
      </c>
      <c r="H138" s="43" t="str">
        <f>HYPERLINK("https://www.google.com/maps/?q=46.435416667,-63.428930556", "https://www.google.com/maps/?q=46.435416667,-63.428930556")</f>
        <v>https://www.google.com/maps/?q=46.435416667,-63.428930556</v>
      </c>
    </row>
    <row r="139" spans="1:8" ht="29" x14ac:dyDescent="0.35">
      <c r="A139" s="9" t="s">
        <v>665</v>
      </c>
      <c r="B139" s="9" t="s">
        <v>666</v>
      </c>
      <c r="C139" s="9" t="s">
        <v>667</v>
      </c>
      <c r="D139" s="9" t="s">
        <v>668</v>
      </c>
      <c r="E139" s="10" t="s">
        <v>28</v>
      </c>
      <c r="F139" s="11" t="s">
        <v>476</v>
      </c>
      <c r="H139" s="43" t="str">
        <f>HYPERLINK("https://www.google.com/maps/?q=46.231788889,-63.123788889", "https://www.google.com/maps/?q=46.231788889,-63.123788889")</f>
        <v>https://www.google.com/maps/?q=46.231788889,-63.123788889</v>
      </c>
    </row>
    <row r="140" spans="1:8" ht="29" x14ac:dyDescent="0.35">
      <c r="A140" s="9" t="s">
        <v>669</v>
      </c>
      <c r="B140" s="9" t="s">
        <v>670</v>
      </c>
      <c r="C140" s="9" t="s">
        <v>671</v>
      </c>
      <c r="D140" s="9" t="s">
        <v>672</v>
      </c>
      <c r="E140" s="10" t="s">
        <v>195</v>
      </c>
      <c r="F140" s="11" t="s">
        <v>673</v>
      </c>
      <c r="H140" s="43" t="str">
        <f>HYPERLINK("https://www.google.com/maps/?q=46.2889777780001,-63.140961111", "https://www.google.com/maps/?q=46.2889777780001,-63.140961111")</f>
        <v>https://www.google.com/maps/?q=46.2889777780001,-63.140961111</v>
      </c>
    </row>
    <row r="141" spans="1:8" ht="29" x14ac:dyDescent="0.35">
      <c r="A141" s="9" t="s">
        <v>674</v>
      </c>
      <c r="B141" s="9" t="s">
        <v>675</v>
      </c>
      <c r="C141" s="9" t="s">
        <v>676</v>
      </c>
      <c r="D141" s="9" t="s">
        <v>677</v>
      </c>
      <c r="E141" s="10" t="s">
        <v>66</v>
      </c>
      <c r="F141" s="11" t="s">
        <v>678</v>
      </c>
      <c r="H141" s="43" t="str">
        <f>HYPERLINK("https://www.google.com/maps/?q=46.149194444,-62.6067944439999", "https://www.google.com/maps/?q=46.149194444,-62.6067944439999")</f>
        <v>https://www.google.com/maps/?q=46.149194444,-62.6067944439999</v>
      </c>
    </row>
    <row r="142" spans="1:8" x14ac:dyDescent="0.35">
      <c r="A142" s="9" t="s">
        <v>679</v>
      </c>
      <c r="B142" s="9" t="s">
        <v>680</v>
      </c>
      <c r="C142" s="9" t="s">
        <v>681</v>
      </c>
      <c r="D142" s="9" t="s">
        <v>682</v>
      </c>
      <c r="E142" s="10" t="s">
        <v>66</v>
      </c>
      <c r="F142" s="11" t="s">
        <v>683</v>
      </c>
      <c r="H142" s="43" t="str">
        <f>HYPERLINK("https://www.google.com/maps/?q=46.342988889,-63.32865", "https://www.google.com/maps/?q=46.342988889,-63.32865")</f>
        <v>https://www.google.com/maps/?q=46.342988889,-63.32865</v>
      </c>
    </row>
    <row r="143" spans="1:8" x14ac:dyDescent="0.35">
      <c r="A143" s="9" t="s">
        <v>684</v>
      </c>
      <c r="B143" s="9" t="s">
        <v>685</v>
      </c>
      <c r="C143" s="9" t="s">
        <v>686</v>
      </c>
      <c r="D143" s="9" t="s">
        <v>687</v>
      </c>
      <c r="E143" s="10" t="s">
        <v>66</v>
      </c>
      <c r="F143" s="11" t="s">
        <v>688</v>
      </c>
      <c r="H143" s="43" t="str">
        <f>HYPERLINK("https://www.google.com/maps/?q=46.4109444440001,-62.775425", "https://www.google.com/maps/?q=46.4109444440001,-62.775425")</f>
        <v>https://www.google.com/maps/?q=46.4109444440001,-62.775425</v>
      </c>
    </row>
    <row r="144" spans="1:8" x14ac:dyDescent="0.35">
      <c r="A144" s="9" t="s">
        <v>689</v>
      </c>
      <c r="B144" s="9" t="s">
        <v>690</v>
      </c>
      <c r="C144" s="9" t="s">
        <v>691</v>
      </c>
      <c r="D144" s="9" t="s">
        <v>692</v>
      </c>
      <c r="E144" s="10" t="s">
        <v>66</v>
      </c>
      <c r="F144" s="11" t="s">
        <v>693</v>
      </c>
      <c r="H144" s="43" t="str">
        <f>HYPERLINK("https://www.google.com/maps/?q=46.0067083330001,-62.585588889", "https://www.google.com/maps/?q=46.0067083330001,-62.585588889")</f>
        <v>https://www.google.com/maps/?q=46.0067083330001,-62.585588889</v>
      </c>
    </row>
    <row r="145" spans="1:10" ht="29" x14ac:dyDescent="0.35">
      <c r="A145" s="9" t="s">
        <v>694</v>
      </c>
      <c r="B145" s="9" t="s">
        <v>695</v>
      </c>
      <c r="C145" s="9" t="s">
        <v>696</v>
      </c>
      <c r="D145" s="9" t="s">
        <v>697</v>
      </c>
      <c r="E145" s="10" t="s">
        <v>66</v>
      </c>
      <c r="F145" s="11" t="s">
        <v>698</v>
      </c>
      <c r="H145" s="43" t="str">
        <f>HYPERLINK("https://www.google.com/maps/?q=46.401919444,-63.0919499999999", "https://www.google.com/maps/?q=46.401919444,-63.0919499999999")</f>
        <v>https://www.google.com/maps/?q=46.401919444,-63.0919499999999</v>
      </c>
    </row>
    <row r="146" spans="1:10" x14ac:dyDescent="0.35">
      <c r="A146" s="9" t="s">
        <v>699</v>
      </c>
      <c r="B146" s="9" t="s">
        <v>700</v>
      </c>
      <c r="C146" s="9" t="s">
        <v>701</v>
      </c>
      <c r="D146" s="9" t="s">
        <v>702</v>
      </c>
      <c r="E146" s="10" t="s">
        <v>50</v>
      </c>
      <c r="F146" s="11" t="s">
        <v>320</v>
      </c>
      <c r="H146" s="43" t="str">
        <f>HYPERLINK("https://www.google.com/maps/?q=46.454972222,-63.371966667", "https://www.google.com/maps/?q=46.454972222,-63.371966667")</f>
        <v>https://www.google.com/maps/?q=46.454972222,-63.371966667</v>
      </c>
      <c r="J146" s="17"/>
    </row>
    <row r="147" spans="1:10" x14ac:dyDescent="0.35">
      <c r="A147" s="9" t="s">
        <v>703</v>
      </c>
      <c r="B147" s="9" t="s">
        <v>704</v>
      </c>
      <c r="C147" s="9" t="s">
        <v>705</v>
      </c>
      <c r="D147" s="9" t="s">
        <v>706</v>
      </c>
      <c r="E147" s="10" t="s">
        <v>50</v>
      </c>
      <c r="F147" s="11" t="s">
        <v>707</v>
      </c>
      <c r="H147" s="43" t="str">
        <f>HYPERLINK("https://www.google.com/maps/?q=46.2076555560001,-63.033858333", "https://www.google.com/maps/?q=46.2076555560001,-63.033858333")</f>
        <v>https://www.google.com/maps/?q=46.2076555560001,-63.033858333</v>
      </c>
    </row>
    <row r="148" spans="1:10" ht="43.5" x14ac:dyDescent="0.35">
      <c r="A148" s="9" t="s">
        <v>708</v>
      </c>
      <c r="B148" s="9" t="s">
        <v>709</v>
      </c>
      <c r="C148" s="9" t="s">
        <v>710</v>
      </c>
      <c r="D148" s="9" t="s">
        <v>711</v>
      </c>
      <c r="E148" s="10" t="s">
        <v>28</v>
      </c>
      <c r="F148" s="11" t="s">
        <v>712</v>
      </c>
      <c r="H148" s="43" t="str">
        <f>HYPERLINK("https://www.google.com/maps/?q=46.481738889,-63.411566667", "https://www.google.com/maps/?q=46.481738889,-63.411566667")</f>
        <v>https://www.google.com/maps/?q=46.481738889,-63.411566667</v>
      </c>
    </row>
    <row r="149" spans="1:10" ht="29" x14ac:dyDescent="0.35">
      <c r="A149" s="9" t="s">
        <v>713</v>
      </c>
      <c r="B149" s="9" t="s">
        <v>714</v>
      </c>
      <c r="C149" s="9" t="s">
        <v>715</v>
      </c>
      <c r="D149" s="9" t="s">
        <v>716</v>
      </c>
      <c r="E149" s="10" t="s">
        <v>28</v>
      </c>
      <c r="F149" s="11" t="s">
        <v>717</v>
      </c>
      <c r="H149" s="43" t="str">
        <f>HYPERLINK("https://www.google.com/maps/?q=46.356105556,-63.351327778", "https://www.google.com/maps/?q=46.356105556,-63.351327778")</f>
        <v>https://www.google.com/maps/?q=46.356105556,-63.351327778</v>
      </c>
    </row>
    <row r="150" spans="1:10" ht="29" x14ac:dyDescent="0.35">
      <c r="A150" s="9" t="s">
        <v>718</v>
      </c>
      <c r="B150" s="9" t="s">
        <v>719</v>
      </c>
      <c r="C150" s="9" t="s">
        <v>720</v>
      </c>
      <c r="D150" s="9" t="s">
        <v>721</v>
      </c>
      <c r="E150" s="10" t="s">
        <v>44</v>
      </c>
      <c r="F150" s="11" t="s">
        <v>722</v>
      </c>
      <c r="H150" s="43" t="str">
        <f>HYPERLINK("https://www.google.com/maps/?q=46.1704750000001,-63.2469555559999", "https://www.google.com/maps/?q=46.1704750000001,-63.2469555559999")</f>
        <v>https://www.google.com/maps/?q=46.1704750000001,-63.2469555559999</v>
      </c>
    </row>
    <row r="151" spans="1:10" x14ac:dyDescent="0.35">
      <c r="A151" s="9" t="s">
        <v>723</v>
      </c>
      <c r="B151" s="9" t="s">
        <v>724</v>
      </c>
      <c r="C151" s="9" t="s">
        <v>725</v>
      </c>
      <c r="D151" s="9" t="s">
        <v>726</v>
      </c>
      <c r="E151" s="10" t="s">
        <v>44</v>
      </c>
      <c r="F151" s="11" t="s">
        <v>447</v>
      </c>
      <c r="H151" s="43" t="str">
        <f>HYPERLINK("https://www.google.com/maps/?q=46.212288889,-62.7521166669999", "https://www.google.com/maps/?q=46.212288889,-62.7521166669999")</f>
        <v>https://www.google.com/maps/?q=46.212288889,-62.7521166669999</v>
      </c>
    </row>
    <row r="152" spans="1:10" ht="29" x14ac:dyDescent="0.35">
      <c r="A152" s="9" t="s">
        <v>727</v>
      </c>
      <c r="B152" s="9" t="s">
        <v>728</v>
      </c>
      <c r="C152" s="9" t="s">
        <v>729</v>
      </c>
      <c r="D152" s="9" t="s">
        <v>730</v>
      </c>
      <c r="E152" s="10" t="s">
        <v>28</v>
      </c>
      <c r="F152" s="11" t="s">
        <v>731</v>
      </c>
      <c r="H152" s="43" t="str">
        <f>HYPERLINK("https://www.google.com/maps/?q=46.252469444,-63.1213999999999", "https://www.google.com/maps/?q=46.252469444,-63.1213999999999")</f>
        <v>https://www.google.com/maps/?q=46.252469444,-63.1213999999999</v>
      </c>
    </row>
    <row r="153" spans="1:10" ht="29" x14ac:dyDescent="0.35">
      <c r="A153" s="9" t="s">
        <v>732</v>
      </c>
      <c r="B153" s="9" t="s">
        <v>733</v>
      </c>
      <c r="C153" s="9" t="s">
        <v>734</v>
      </c>
      <c r="D153" s="9" t="s">
        <v>735</v>
      </c>
      <c r="E153" s="10" t="s">
        <v>50</v>
      </c>
      <c r="F153" s="11" t="s">
        <v>510</v>
      </c>
      <c r="H153" s="43" t="str">
        <f>HYPERLINK("https://www.google.com/maps/?q=46.1922750000001,-63.342475", "https://www.google.com/maps/?q=46.1922750000001,-63.342475")</f>
        <v>https://www.google.com/maps/?q=46.1922750000001,-63.342475</v>
      </c>
    </row>
    <row r="154" spans="1:10" ht="29" x14ac:dyDescent="0.35">
      <c r="A154" s="9" t="s">
        <v>736</v>
      </c>
      <c r="B154" s="9" t="s">
        <v>737</v>
      </c>
      <c r="C154" s="9" t="s">
        <v>738</v>
      </c>
      <c r="D154" s="9" t="s">
        <v>739</v>
      </c>
      <c r="E154" s="10" t="s">
        <v>28</v>
      </c>
      <c r="F154" s="11" t="s">
        <v>740</v>
      </c>
      <c r="H154" s="43" t="str">
        <f>HYPERLINK("https://www.google.com/maps/?q=46.2649500000001,-63.144641667", "https://www.google.com/maps/?q=46.2649500000001,-63.144641667")</f>
        <v>https://www.google.com/maps/?q=46.2649500000001,-63.144641667</v>
      </c>
    </row>
    <row r="155" spans="1:10" ht="29" x14ac:dyDescent="0.35">
      <c r="A155" s="9" t="s">
        <v>741</v>
      </c>
      <c r="B155" s="9" t="s">
        <v>742</v>
      </c>
      <c r="C155" s="9" t="s">
        <v>743</v>
      </c>
      <c r="D155" s="9" t="s">
        <v>744</v>
      </c>
      <c r="E155" s="10" t="s">
        <v>28</v>
      </c>
      <c r="F155" s="11" t="s">
        <v>745</v>
      </c>
      <c r="H155" s="43" t="str">
        <f>HYPERLINK("https://www.google.com/maps/?q=46.2661277780001,-63.1478083329999", "https://www.google.com/maps/?q=46.2661277780001,-63.1478083329999")</f>
        <v>https://www.google.com/maps/?q=46.2661277780001,-63.1478083329999</v>
      </c>
    </row>
    <row r="156" spans="1:10" ht="29" x14ac:dyDescent="0.35">
      <c r="A156" s="9" t="s">
        <v>746</v>
      </c>
      <c r="B156" s="9" t="s">
        <v>747</v>
      </c>
      <c r="C156" s="9" t="s">
        <v>748</v>
      </c>
      <c r="D156" s="9" t="s">
        <v>749</v>
      </c>
      <c r="E156" s="10" t="s">
        <v>28</v>
      </c>
      <c r="F156" s="11" t="s">
        <v>750</v>
      </c>
      <c r="H156" s="43" t="str">
        <f>HYPERLINK("https://www.google.com/maps/?q=46.197352778,-63.100183333", "https://www.google.com/maps/?q=46.197352778,-63.100183333")</f>
        <v>https://www.google.com/maps/?q=46.197352778,-63.100183333</v>
      </c>
    </row>
    <row r="157" spans="1:10" x14ac:dyDescent="0.35">
      <c r="A157" s="9" t="s">
        <v>751</v>
      </c>
      <c r="B157" s="9" t="s">
        <v>752</v>
      </c>
      <c r="C157" s="9" t="s">
        <v>753</v>
      </c>
      <c r="D157" s="9" t="s">
        <v>754</v>
      </c>
      <c r="E157" s="10" t="s">
        <v>28</v>
      </c>
      <c r="F157" s="11" t="s">
        <v>755</v>
      </c>
      <c r="H157" s="43" t="str">
        <f>HYPERLINK("https://www.google.com/maps/?q=46.3319416670001,-62.837219444", "https://www.google.com/maps/?q=46.3319416670001,-62.837219444")</f>
        <v>https://www.google.com/maps/?q=46.3319416670001,-62.837219444</v>
      </c>
    </row>
    <row r="158" spans="1:10" ht="29" x14ac:dyDescent="0.35">
      <c r="A158" s="9" t="s">
        <v>756</v>
      </c>
      <c r="B158" s="9" t="s">
        <v>757</v>
      </c>
      <c r="C158" s="9" t="s">
        <v>758</v>
      </c>
      <c r="D158" s="9" t="s">
        <v>759</v>
      </c>
      <c r="E158" s="10" t="s">
        <v>66</v>
      </c>
      <c r="F158" s="11" t="s">
        <v>399</v>
      </c>
      <c r="H158" s="43" t="str">
        <f>HYPERLINK("https://www.google.com/maps/?q=46.2638694440001,-63.169088889", "https://www.google.com/maps/?q=46.2638694440001,-63.169088889")</f>
        <v>https://www.google.com/maps/?q=46.2638694440001,-63.169088889</v>
      </c>
    </row>
    <row r="159" spans="1:10" ht="29" x14ac:dyDescent="0.35">
      <c r="A159" s="9" t="s">
        <v>760</v>
      </c>
      <c r="B159" s="9" t="s">
        <v>761</v>
      </c>
      <c r="C159" s="9" t="s">
        <v>762</v>
      </c>
      <c r="D159" s="9" t="s">
        <v>763</v>
      </c>
      <c r="E159" s="10" t="s">
        <v>66</v>
      </c>
      <c r="F159" s="11" t="s">
        <v>764</v>
      </c>
      <c r="H159" s="43" t="str">
        <f>HYPERLINK("https://www.google.com/maps/?q=46.1825305560001,-62.653388889", "https://www.google.com/maps/?q=46.1825305560001,-62.653388889")</f>
        <v>https://www.google.com/maps/?q=46.1825305560001,-62.653388889</v>
      </c>
    </row>
    <row r="160" spans="1:10" ht="29" x14ac:dyDescent="0.35">
      <c r="A160" s="9" t="s">
        <v>765</v>
      </c>
      <c r="B160" s="9" t="s">
        <v>766</v>
      </c>
      <c r="C160" s="9" t="s">
        <v>767</v>
      </c>
      <c r="D160" s="9" t="s">
        <v>768</v>
      </c>
      <c r="E160" s="10" t="s">
        <v>50</v>
      </c>
      <c r="F160" s="11" t="s">
        <v>769</v>
      </c>
      <c r="H160" s="43" t="str">
        <f>HYPERLINK("https://www.google.com/maps/?q=46.333691667,-63.429313889", "https://www.google.com/maps/?q=46.333691667,-63.429313889")</f>
        <v>https://www.google.com/maps/?q=46.333691667,-63.429313889</v>
      </c>
    </row>
    <row r="161" spans="1:8" ht="29" x14ac:dyDescent="0.35">
      <c r="A161" s="9" t="s">
        <v>770</v>
      </c>
      <c r="B161" s="9" t="s">
        <v>771</v>
      </c>
      <c r="C161" s="9" t="s">
        <v>772</v>
      </c>
      <c r="D161" s="9" t="s">
        <v>773</v>
      </c>
      <c r="E161" s="10" t="s">
        <v>28</v>
      </c>
      <c r="F161" s="11" t="s">
        <v>774</v>
      </c>
      <c r="H161" s="43" t="str">
        <f>HYPERLINK("https://www.google.com/maps/?q=46.4573111110001,-63.308388889", "https://www.google.com/maps/?q=46.4573111110001,-63.308388889")</f>
        <v>https://www.google.com/maps/?q=46.4573111110001,-63.308388889</v>
      </c>
    </row>
    <row r="162" spans="1:8" ht="29" x14ac:dyDescent="0.35">
      <c r="A162" s="9" t="s">
        <v>775</v>
      </c>
      <c r="B162" s="9" t="s">
        <v>776</v>
      </c>
      <c r="C162" s="9" t="s">
        <v>777</v>
      </c>
      <c r="D162" s="9" t="s">
        <v>778</v>
      </c>
      <c r="E162" s="10" t="s">
        <v>28</v>
      </c>
      <c r="F162" s="11" t="s">
        <v>779</v>
      </c>
      <c r="H162" s="43" t="str">
        <f>HYPERLINK("https://www.google.com/maps/?q=46.2660194440001,-63.1168083329999", "https://www.google.com/maps/?q=46.2660194440001,-63.1168083329999")</f>
        <v>https://www.google.com/maps/?q=46.2660194440001,-63.1168083329999</v>
      </c>
    </row>
    <row r="163" spans="1:8" ht="29" x14ac:dyDescent="0.35">
      <c r="A163" s="9" t="s">
        <v>780</v>
      </c>
      <c r="B163" s="9" t="s">
        <v>781</v>
      </c>
      <c r="C163" s="9" t="s">
        <v>782</v>
      </c>
      <c r="D163" s="9" t="s">
        <v>783</v>
      </c>
      <c r="E163" s="10" t="s">
        <v>28</v>
      </c>
      <c r="F163" s="11" t="s">
        <v>784</v>
      </c>
      <c r="H163" s="43" t="str">
        <f>HYPERLINK("https://www.google.com/maps/?q=46.2051250000001,-63.108655556", "https://www.google.com/maps/?q=46.2051250000001,-63.108655556")</f>
        <v>https://www.google.com/maps/?q=46.2051250000001,-63.108655556</v>
      </c>
    </row>
    <row r="164" spans="1:8" ht="29" x14ac:dyDescent="0.35">
      <c r="A164" s="9" t="s">
        <v>785</v>
      </c>
      <c r="B164" s="9" t="s">
        <v>786</v>
      </c>
      <c r="C164" s="9" t="s">
        <v>787</v>
      </c>
      <c r="D164" s="9" t="s">
        <v>788</v>
      </c>
      <c r="E164" s="10" t="s">
        <v>50</v>
      </c>
      <c r="F164" s="11" t="s">
        <v>789</v>
      </c>
      <c r="H164" s="43" t="str">
        <f>HYPERLINK("https://www.google.com/maps/?q=46.3683472220001,-62.3133472219999", "https://www.google.com/maps/?q=46.3683472220001,-62.3133472219999")</f>
        <v>https://www.google.com/maps/?q=46.3683472220001,-62.3133472219999</v>
      </c>
    </row>
    <row r="165" spans="1:8" ht="29" x14ac:dyDescent="0.35">
      <c r="A165" s="9" t="s">
        <v>790</v>
      </c>
      <c r="B165" s="9" t="s">
        <v>791</v>
      </c>
      <c r="C165" s="9" t="s">
        <v>792</v>
      </c>
      <c r="D165" s="9" t="s">
        <v>793</v>
      </c>
      <c r="E165" s="10" t="s">
        <v>28</v>
      </c>
      <c r="F165" s="11" t="s">
        <v>794</v>
      </c>
      <c r="H165" s="43" t="str">
        <f>HYPERLINK("https://www.google.com/maps/?q=46.198808333,-63.1051305559999", "https://www.google.com/maps/?q=46.198808333,-63.1051305559999")</f>
        <v>https://www.google.com/maps/?q=46.198808333,-63.1051305559999</v>
      </c>
    </row>
    <row r="166" spans="1:8" ht="29" x14ac:dyDescent="0.35">
      <c r="A166" s="9" t="s">
        <v>795</v>
      </c>
      <c r="B166" s="9" t="s">
        <v>796</v>
      </c>
      <c r="C166" s="9" t="s">
        <v>797</v>
      </c>
      <c r="D166" s="9" t="s">
        <v>798</v>
      </c>
      <c r="E166" s="10" t="s">
        <v>44</v>
      </c>
      <c r="F166" s="11" t="s">
        <v>335</v>
      </c>
      <c r="H166" s="43" t="str">
        <f>HYPERLINK("https://www.google.com/maps/?q=46.3174805560001,-63.182188889", "https://www.google.com/maps/?q=46.3174805560001,-63.182188889")</f>
        <v>https://www.google.com/maps/?q=46.3174805560001,-63.182188889</v>
      </c>
    </row>
    <row r="167" spans="1:8" ht="29" x14ac:dyDescent="0.35">
      <c r="A167" s="9" t="s">
        <v>799</v>
      </c>
      <c r="B167" s="9" t="s">
        <v>800</v>
      </c>
      <c r="C167" s="9" t="s">
        <v>801</v>
      </c>
      <c r="D167" s="9" t="s">
        <v>802</v>
      </c>
      <c r="E167" s="10" t="s">
        <v>44</v>
      </c>
      <c r="F167" s="11" t="s">
        <v>803</v>
      </c>
      <c r="H167" s="43" t="str">
        <f>HYPERLINK("https://www.google.com/maps/?q=46.212219444,-63.3416694439999", "https://www.google.com/maps/?q=46.212219444,-63.3416694439999")</f>
        <v>https://www.google.com/maps/?q=46.212219444,-63.3416694439999</v>
      </c>
    </row>
    <row r="168" spans="1:8" ht="29" x14ac:dyDescent="0.35">
      <c r="A168" s="9" t="s">
        <v>804</v>
      </c>
      <c r="B168" s="9" t="s">
        <v>805</v>
      </c>
      <c r="C168" s="9" t="s">
        <v>806</v>
      </c>
      <c r="D168" s="9" t="s">
        <v>807</v>
      </c>
      <c r="E168" s="10" t="s">
        <v>44</v>
      </c>
      <c r="F168" s="11" t="s">
        <v>379</v>
      </c>
      <c r="H168" s="43" t="str">
        <f>HYPERLINK("https://www.google.com/maps/?q=46.335611111,-63.034797222", "https://www.google.com/maps/?q=46.335611111,-63.034797222")</f>
        <v>https://www.google.com/maps/?q=46.335611111,-63.034797222</v>
      </c>
    </row>
    <row r="169" spans="1:8" ht="29" x14ac:dyDescent="0.35">
      <c r="A169" s="9" t="s">
        <v>808</v>
      </c>
      <c r="B169" s="9" t="s">
        <v>809</v>
      </c>
      <c r="C169" s="9" t="s">
        <v>810</v>
      </c>
      <c r="D169" s="9" t="s">
        <v>811</v>
      </c>
      <c r="E169" s="10" t="s">
        <v>28</v>
      </c>
      <c r="F169" s="11" t="s">
        <v>261</v>
      </c>
      <c r="H169" s="43" t="str">
        <f>HYPERLINK("https://www.google.com/maps/?q=46.1966305560001,-62.881247222", "https://www.google.com/maps/?q=46.1966305560001,-62.881247222")</f>
        <v>https://www.google.com/maps/?q=46.1966305560001,-62.881247222</v>
      </c>
    </row>
    <row r="170" spans="1:8" ht="29" x14ac:dyDescent="0.35">
      <c r="A170" s="9" t="s">
        <v>812</v>
      </c>
      <c r="B170" s="9" t="s">
        <v>813</v>
      </c>
      <c r="C170" s="9" t="s">
        <v>814</v>
      </c>
      <c r="D170" s="9" t="s">
        <v>815</v>
      </c>
      <c r="E170" s="10" t="s">
        <v>28</v>
      </c>
      <c r="F170" s="11" t="s">
        <v>816</v>
      </c>
      <c r="H170" s="43" t="str">
        <f>HYPERLINK("https://www.google.com/maps/?q=46.2563000000001,-63.1373972219999", "https://www.google.com/maps/?q=46.2563000000001,-63.1373972219999")</f>
        <v>https://www.google.com/maps/?q=46.2563000000001,-63.1373972219999</v>
      </c>
    </row>
    <row r="171" spans="1:8" ht="29" x14ac:dyDescent="0.35">
      <c r="A171" s="9" t="s">
        <v>817</v>
      </c>
      <c r="B171" s="9" t="s">
        <v>818</v>
      </c>
      <c r="C171" s="9" t="s">
        <v>819</v>
      </c>
      <c r="D171" s="9" t="s">
        <v>820</v>
      </c>
      <c r="E171" s="10" t="s">
        <v>28</v>
      </c>
      <c r="F171" s="11" t="s">
        <v>821</v>
      </c>
      <c r="H171" s="43" t="str">
        <f>HYPERLINK("https://www.google.com/maps/?q=46.4371305560001,-63.637505556", "https://www.google.com/maps/?q=46.4371305560001,-63.637505556")</f>
        <v>https://www.google.com/maps/?q=46.4371305560001,-63.637505556</v>
      </c>
    </row>
    <row r="172" spans="1:8" ht="29" x14ac:dyDescent="0.35">
      <c r="A172" s="9" t="s">
        <v>822</v>
      </c>
      <c r="B172" s="9" t="s">
        <v>823</v>
      </c>
      <c r="C172" s="9" t="s">
        <v>824</v>
      </c>
      <c r="D172" s="9" t="s">
        <v>825</v>
      </c>
      <c r="E172" s="10" t="s">
        <v>28</v>
      </c>
      <c r="F172" s="11" t="s">
        <v>826</v>
      </c>
      <c r="H172" s="43" t="str">
        <f>HYPERLINK("https://www.google.com/maps/?q=46.062219444,-62.8525", "https://www.google.com/maps/?q=46.062219444,-62.8525")</f>
        <v>https://www.google.com/maps/?q=46.062219444,-62.8525</v>
      </c>
    </row>
    <row r="173" spans="1:8" ht="29" x14ac:dyDescent="0.35">
      <c r="A173" s="9" t="s">
        <v>827</v>
      </c>
      <c r="B173" s="9" t="s">
        <v>828</v>
      </c>
      <c r="C173" s="9" t="s">
        <v>829</v>
      </c>
      <c r="D173" s="9" t="s">
        <v>830</v>
      </c>
      <c r="E173" s="10" t="s">
        <v>66</v>
      </c>
      <c r="F173" s="11" t="s">
        <v>452</v>
      </c>
      <c r="H173" s="43" t="str">
        <f>HYPERLINK("https://www.google.com/maps/?q=46.241225,-63.482675", "https://www.google.com/maps/?q=46.241225,-63.482675")</f>
        <v>https://www.google.com/maps/?q=46.241225,-63.482675</v>
      </c>
    </row>
    <row r="174" spans="1:8" ht="29" x14ac:dyDescent="0.35">
      <c r="A174" s="9" t="s">
        <v>831</v>
      </c>
      <c r="B174" s="9" t="s">
        <v>503</v>
      </c>
      <c r="C174" s="9" t="s">
        <v>832</v>
      </c>
      <c r="D174" s="9" t="s">
        <v>505</v>
      </c>
      <c r="E174" s="10" t="s">
        <v>17</v>
      </c>
      <c r="F174" s="11" t="s">
        <v>452</v>
      </c>
      <c r="H174" s="43" t="str">
        <f>HYPERLINK("https://www.google.com/maps/?q=46.241186111,-63.482716667", "https://www.google.com/maps/?q=46.241186111,-63.482716667")</f>
        <v>https://www.google.com/maps/?q=46.241186111,-63.482716667</v>
      </c>
    </row>
    <row r="175" spans="1:8" x14ac:dyDescent="0.35">
      <c r="A175" s="9" t="s">
        <v>833</v>
      </c>
      <c r="B175" s="9" t="s">
        <v>834</v>
      </c>
      <c r="C175" s="9" t="s">
        <v>835</v>
      </c>
      <c r="D175" s="9" t="s">
        <v>836</v>
      </c>
      <c r="E175" s="10" t="s">
        <v>17</v>
      </c>
      <c r="F175" s="11" t="s">
        <v>394</v>
      </c>
      <c r="H175" s="43" t="str">
        <f>HYPERLINK("https://www.google.com/maps/?q=46.282805556,-63.62225", "https://www.google.com/maps/?q=46.282805556,-63.62225")</f>
        <v>https://www.google.com/maps/?q=46.282805556,-63.62225</v>
      </c>
    </row>
    <row r="176" spans="1:8" x14ac:dyDescent="0.35">
      <c r="A176" s="9" t="s">
        <v>837</v>
      </c>
      <c r="B176" s="9" t="s">
        <v>838</v>
      </c>
      <c r="C176" s="9" t="s">
        <v>839</v>
      </c>
      <c r="D176" s="9" t="s">
        <v>840</v>
      </c>
      <c r="E176" s="10" t="s">
        <v>28</v>
      </c>
      <c r="F176" s="11" t="s">
        <v>841</v>
      </c>
      <c r="H176" s="43" t="str">
        <f>HYPERLINK("https://www.google.com/maps/?q=46.422213889,-63.6837", "https://www.google.com/maps/?q=46.422213889,-63.6837")</f>
        <v>https://www.google.com/maps/?q=46.422213889,-63.6837</v>
      </c>
    </row>
    <row r="177" spans="1:8" ht="29" x14ac:dyDescent="0.35">
      <c r="A177" s="9" t="s">
        <v>842</v>
      </c>
      <c r="B177" s="9" t="s">
        <v>843</v>
      </c>
      <c r="C177" s="9" t="s">
        <v>844</v>
      </c>
      <c r="D177" s="9" t="s">
        <v>845</v>
      </c>
      <c r="E177" s="10" t="s">
        <v>44</v>
      </c>
      <c r="F177" s="11" t="s">
        <v>846</v>
      </c>
      <c r="H177" s="43" t="str">
        <f>HYPERLINK("https://www.google.com/maps/?q=46.5048416670001,-63.626511111", "https://www.google.com/maps/?q=46.5048416670001,-63.626511111")</f>
        <v>https://www.google.com/maps/?q=46.5048416670001,-63.626511111</v>
      </c>
    </row>
    <row r="178" spans="1:8" ht="43.5" x14ac:dyDescent="0.35">
      <c r="A178" s="9" t="s">
        <v>847</v>
      </c>
      <c r="B178" s="9" t="s">
        <v>848</v>
      </c>
      <c r="C178" s="9" t="s">
        <v>849</v>
      </c>
      <c r="D178" s="9" t="s">
        <v>850</v>
      </c>
      <c r="E178" s="10" t="s">
        <v>28</v>
      </c>
      <c r="F178" s="11" t="s">
        <v>851</v>
      </c>
      <c r="H178" s="43" t="str">
        <f>HYPERLINK("https://www.google.com/maps/?q=46.4851583330001,-63.404627778", "https://www.google.com/maps/?q=46.4851583330001,-63.404627778")</f>
        <v>https://www.google.com/maps/?q=46.4851583330001,-63.404627778</v>
      </c>
    </row>
    <row r="179" spans="1:8" ht="29" x14ac:dyDescent="0.35">
      <c r="A179" s="9" t="s">
        <v>852</v>
      </c>
      <c r="B179" s="9" t="s">
        <v>853</v>
      </c>
      <c r="C179" s="9" t="s">
        <v>854</v>
      </c>
      <c r="D179" s="9" t="s">
        <v>855</v>
      </c>
      <c r="E179" s="10" t="s">
        <v>66</v>
      </c>
      <c r="F179" s="11" t="s">
        <v>545</v>
      </c>
      <c r="H179" s="43" t="str">
        <f>HYPERLINK("https://www.google.com/maps/?q=46.4252777780001,-63.6224999999999", "https://www.google.com/maps/?q=46.4252777780001,-63.6224999999999")</f>
        <v>https://www.google.com/maps/?q=46.4252777780001,-63.6224999999999</v>
      </c>
    </row>
    <row r="180" spans="1:8" ht="29" x14ac:dyDescent="0.35">
      <c r="A180" s="9" t="s">
        <v>856</v>
      </c>
      <c r="B180" s="9" t="s">
        <v>857</v>
      </c>
      <c r="C180" s="9" t="s">
        <v>858</v>
      </c>
      <c r="D180" s="9" t="s">
        <v>859</v>
      </c>
      <c r="E180" s="10" t="s">
        <v>28</v>
      </c>
      <c r="F180" s="11" t="s">
        <v>860</v>
      </c>
      <c r="H180" s="43" t="str">
        <f>HYPERLINK("https://www.google.com/maps/?q=46.2562194440001,-63.119938889", "https://www.google.com/maps/?q=46.2562194440001,-63.119938889")</f>
        <v>https://www.google.com/maps/?q=46.2562194440001,-63.119938889</v>
      </c>
    </row>
    <row r="181" spans="1:8" x14ac:dyDescent="0.35">
      <c r="A181" s="9" t="s">
        <v>861</v>
      </c>
      <c r="B181" s="9" t="s">
        <v>862</v>
      </c>
      <c r="C181" s="9" t="s">
        <v>863</v>
      </c>
      <c r="D181" s="9" t="s">
        <v>864</v>
      </c>
      <c r="E181" s="10" t="s">
        <v>44</v>
      </c>
      <c r="F181" s="11" t="s">
        <v>865</v>
      </c>
      <c r="H181" s="43" t="str">
        <f>HYPERLINK("https://www.google.com/maps/?q=46.007430556,-62.5843694439999", "https://www.google.com/maps/?q=46.007430556,-62.5843694439999")</f>
        <v>https://www.google.com/maps/?q=46.007430556,-62.5843694439999</v>
      </c>
    </row>
    <row r="182" spans="1:8" ht="29" x14ac:dyDescent="0.35">
      <c r="A182" s="9" t="s">
        <v>866</v>
      </c>
      <c r="B182" s="9" t="s">
        <v>867</v>
      </c>
      <c r="C182" s="9" t="s">
        <v>868</v>
      </c>
      <c r="D182" s="9" t="s">
        <v>869</v>
      </c>
      <c r="E182" s="10" t="s">
        <v>50</v>
      </c>
      <c r="F182" s="11" t="s">
        <v>545</v>
      </c>
      <c r="H182" s="43" t="str">
        <f>HYPERLINK("https://www.google.com/maps/?q=46.4253,-63.622522222", "https://www.google.com/maps/?q=46.4253,-63.622522222")</f>
        <v>https://www.google.com/maps/?q=46.4253,-63.622522222</v>
      </c>
    </row>
    <row r="183" spans="1:8" ht="29" x14ac:dyDescent="0.35">
      <c r="A183" s="9" t="s">
        <v>870</v>
      </c>
      <c r="B183" s="9" t="s">
        <v>871</v>
      </c>
      <c r="C183" s="9" t="s">
        <v>872</v>
      </c>
      <c r="D183" s="9" t="s">
        <v>873</v>
      </c>
      <c r="E183" s="10" t="s">
        <v>66</v>
      </c>
      <c r="F183" s="11" t="s">
        <v>826</v>
      </c>
      <c r="H183" s="43" t="str">
        <f>HYPERLINK("https://www.google.com/maps/?q=46.070061111,-62.822719444", "https://www.google.com/maps/?q=46.070061111,-62.822719444")</f>
        <v>https://www.google.com/maps/?q=46.070061111,-62.822719444</v>
      </c>
    </row>
    <row r="184" spans="1:8" ht="29" x14ac:dyDescent="0.35">
      <c r="A184" s="9" t="s">
        <v>874</v>
      </c>
      <c r="B184" s="9" t="s">
        <v>875</v>
      </c>
      <c r="C184" s="9" t="s">
        <v>876</v>
      </c>
      <c r="D184" s="9" t="s">
        <v>877</v>
      </c>
      <c r="E184" s="10" t="s">
        <v>50</v>
      </c>
      <c r="F184" s="11" t="s">
        <v>878</v>
      </c>
      <c r="H184" s="43" t="str">
        <f>HYPERLINK("https://www.google.com/maps/?q=46.2357805560001,-63.128944444", "https://www.google.com/maps/?q=46.2357805560001,-63.128944444")</f>
        <v>https://www.google.com/maps/?q=46.2357805560001,-63.128944444</v>
      </c>
    </row>
    <row r="185" spans="1:8" x14ac:dyDescent="0.35">
      <c r="A185" s="9" t="s">
        <v>879</v>
      </c>
      <c r="B185" s="9" t="s">
        <v>880</v>
      </c>
      <c r="C185" s="9" t="s">
        <v>881</v>
      </c>
      <c r="D185" s="9" t="s">
        <v>882</v>
      </c>
      <c r="E185" s="10" t="s">
        <v>28</v>
      </c>
      <c r="F185" s="11" t="s">
        <v>491</v>
      </c>
      <c r="H185" s="43" t="str">
        <f>HYPERLINK("https://www.google.com/maps/?q=46.391333333,-63.2147305559999", "https://www.google.com/maps/?q=46.391333333,-63.2147305559999")</f>
        <v>https://www.google.com/maps/?q=46.391333333,-63.2147305559999</v>
      </c>
    </row>
    <row r="186" spans="1:8" ht="29" x14ac:dyDescent="0.35">
      <c r="A186" s="9" t="s">
        <v>883</v>
      </c>
      <c r="B186" s="9" t="s">
        <v>884</v>
      </c>
      <c r="C186" s="9" t="s">
        <v>885</v>
      </c>
      <c r="D186" s="9" t="s">
        <v>886</v>
      </c>
      <c r="E186" s="10" t="s">
        <v>28</v>
      </c>
      <c r="F186" s="11" t="s">
        <v>887</v>
      </c>
      <c r="H186" s="43" t="str">
        <f>HYPERLINK("https://www.google.com/maps/?q=46.4888361110001,-63.391077778", "https://www.google.com/maps/?q=46.4888361110001,-63.391077778")</f>
        <v>https://www.google.com/maps/?q=46.4888361110001,-63.391077778</v>
      </c>
    </row>
    <row r="187" spans="1:8" ht="29" x14ac:dyDescent="0.35">
      <c r="A187" s="9" t="s">
        <v>888</v>
      </c>
      <c r="B187" s="9" t="s">
        <v>889</v>
      </c>
      <c r="C187" s="9" t="s">
        <v>890</v>
      </c>
      <c r="D187" s="9" t="s">
        <v>891</v>
      </c>
      <c r="E187" s="10" t="s">
        <v>66</v>
      </c>
      <c r="F187" s="11" t="s">
        <v>892</v>
      </c>
      <c r="H187" s="43" t="str">
        <f>HYPERLINK("https://www.google.com/maps/?q=46.254388889,-62.617838889", "https://www.google.com/maps/?q=46.254388889,-62.617838889")</f>
        <v>https://www.google.com/maps/?q=46.254388889,-62.617838889</v>
      </c>
    </row>
    <row r="188" spans="1:8" ht="29" x14ac:dyDescent="0.35">
      <c r="A188" s="9" t="s">
        <v>893</v>
      </c>
      <c r="B188" s="9" t="s">
        <v>894</v>
      </c>
      <c r="C188" s="9" t="s">
        <v>895</v>
      </c>
      <c r="D188" s="9" t="s">
        <v>896</v>
      </c>
      <c r="E188" s="10" t="s">
        <v>28</v>
      </c>
      <c r="F188" s="11" t="s">
        <v>897</v>
      </c>
      <c r="H188" s="43" t="str">
        <f>HYPERLINK("https://www.google.com/maps/?q=46.488527778,-63.392527778", "https://www.google.com/maps/?q=46.488527778,-63.392527778")</f>
        <v>https://www.google.com/maps/?q=46.488527778,-63.392527778</v>
      </c>
    </row>
    <row r="189" spans="1:8" ht="29" x14ac:dyDescent="0.35">
      <c r="A189" s="9" t="s">
        <v>898</v>
      </c>
      <c r="B189" s="9" t="s">
        <v>899</v>
      </c>
      <c r="C189" s="9" t="s">
        <v>900</v>
      </c>
      <c r="D189" s="9" t="s">
        <v>901</v>
      </c>
      <c r="E189" s="10" t="s">
        <v>44</v>
      </c>
      <c r="F189" s="11" t="s">
        <v>902</v>
      </c>
      <c r="H189" s="43" t="str">
        <f>HYPERLINK("https://www.google.com/maps/?q=46.0890944440001,-62.879702778", "https://www.google.com/maps/?q=46.0890944440001,-62.879702778")</f>
        <v>https://www.google.com/maps/?q=46.0890944440001,-62.879702778</v>
      </c>
    </row>
    <row r="190" spans="1:8" x14ac:dyDescent="0.35">
      <c r="A190" s="9" t="s">
        <v>903</v>
      </c>
      <c r="B190" s="9" t="s">
        <v>904</v>
      </c>
      <c r="C190" s="9" t="s">
        <v>905</v>
      </c>
      <c r="D190" s="9" t="s">
        <v>906</v>
      </c>
      <c r="E190" s="10" t="s">
        <v>44</v>
      </c>
      <c r="F190" s="11" t="s">
        <v>707</v>
      </c>
      <c r="H190" s="43" t="str">
        <f>HYPERLINK("https://www.google.com/maps/?q=46.2076777780001,-63.033863889", "https://www.google.com/maps/?q=46.2076777780001,-63.033863889")</f>
        <v>https://www.google.com/maps/?q=46.2076777780001,-63.033863889</v>
      </c>
    </row>
    <row r="191" spans="1:8" ht="29" x14ac:dyDescent="0.35">
      <c r="A191" s="9" t="s">
        <v>907</v>
      </c>
      <c r="B191" s="9" t="s">
        <v>908</v>
      </c>
      <c r="C191" s="9" t="s">
        <v>909</v>
      </c>
      <c r="D191" s="9" t="s">
        <v>910</v>
      </c>
      <c r="E191" s="10" t="s">
        <v>28</v>
      </c>
      <c r="F191" s="11" t="s">
        <v>911</v>
      </c>
      <c r="H191" s="43" t="str">
        <f>HYPERLINK("https://www.google.com/maps/?q=46.2111166670001,-63.1057611109999", "https://www.google.com/maps/?q=46.2111166670001,-63.1057611109999")</f>
        <v>https://www.google.com/maps/?q=46.2111166670001,-63.1057611109999</v>
      </c>
    </row>
    <row r="192" spans="1:8" ht="29" x14ac:dyDescent="0.35">
      <c r="A192" s="9" t="s">
        <v>912</v>
      </c>
      <c r="B192" s="9" t="s">
        <v>913</v>
      </c>
      <c r="C192" s="9" t="s">
        <v>914</v>
      </c>
      <c r="D192" s="9" t="s">
        <v>915</v>
      </c>
      <c r="E192" s="10" t="s">
        <v>66</v>
      </c>
      <c r="F192" s="11" t="s">
        <v>803</v>
      </c>
      <c r="H192" s="43" t="str">
        <f>HYPERLINK("https://www.google.com/maps/?q=46.212277778,-63.34155", "https://www.google.com/maps/?q=46.212277778,-63.34155")</f>
        <v>https://www.google.com/maps/?q=46.212277778,-63.34155</v>
      </c>
    </row>
    <row r="193" spans="1:8" ht="29" x14ac:dyDescent="0.35">
      <c r="A193" s="9" t="s">
        <v>916</v>
      </c>
      <c r="B193" s="9" t="s">
        <v>917</v>
      </c>
      <c r="C193" s="9" t="s">
        <v>918</v>
      </c>
      <c r="D193" s="9" t="s">
        <v>919</v>
      </c>
      <c r="E193" s="10" t="s">
        <v>66</v>
      </c>
      <c r="F193" s="11" t="s">
        <v>920</v>
      </c>
      <c r="H193" s="43" t="str">
        <f>HYPERLINK("https://www.google.com/maps/?q=46.2972194440001,-62.483888889", "https://www.google.com/maps/?q=46.2972194440001,-62.483888889")</f>
        <v>https://www.google.com/maps/?q=46.2972194440001,-62.483888889</v>
      </c>
    </row>
    <row r="194" spans="1:8" ht="29" x14ac:dyDescent="0.35">
      <c r="A194" s="9" t="s">
        <v>921</v>
      </c>
      <c r="B194" s="9" t="s">
        <v>922</v>
      </c>
      <c r="C194" s="9" t="s">
        <v>923</v>
      </c>
      <c r="D194" s="9" t="s">
        <v>924</v>
      </c>
      <c r="E194" s="10" t="s">
        <v>28</v>
      </c>
      <c r="F194" s="11" t="s">
        <v>925</v>
      </c>
      <c r="H194" s="43" t="str">
        <f>HYPERLINK("https://www.google.com/maps/?q=46.201427778,-63.1076138889999", "https://www.google.com/maps/?q=46.201427778,-63.1076138889999")</f>
        <v>https://www.google.com/maps/?q=46.201427778,-63.1076138889999</v>
      </c>
    </row>
    <row r="195" spans="1:8" ht="29" x14ac:dyDescent="0.35">
      <c r="A195" s="9" t="s">
        <v>926</v>
      </c>
      <c r="B195" s="9" t="s">
        <v>927</v>
      </c>
      <c r="C195" s="9" t="s">
        <v>928</v>
      </c>
      <c r="D195" s="9" t="s">
        <v>929</v>
      </c>
      <c r="E195" s="10" t="s">
        <v>66</v>
      </c>
      <c r="F195" s="11" t="s">
        <v>335</v>
      </c>
      <c r="H195" s="43" t="str">
        <f>HYPERLINK("https://www.google.com/maps/?q=46.3141694440001,-63.186669444", "https://www.google.com/maps/?q=46.3141694440001,-63.186669444")</f>
        <v>https://www.google.com/maps/?q=46.3141694440001,-63.186669444</v>
      </c>
    </row>
    <row r="196" spans="1:8" ht="29" x14ac:dyDescent="0.35">
      <c r="A196" s="9" t="s">
        <v>930</v>
      </c>
      <c r="B196" s="9" t="s">
        <v>931</v>
      </c>
      <c r="C196" s="9" t="s">
        <v>932</v>
      </c>
      <c r="D196" s="9" t="s">
        <v>933</v>
      </c>
      <c r="E196" s="10" t="s">
        <v>50</v>
      </c>
      <c r="F196" s="11" t="s">
        <v>934</v>
      </c>
      <c r="H196" s="43" t="str">
        <f>HYPERLINK("https://www.google.com/maps/?q=46.340555556,-62.838611111", "https://www.google.com/maps/?q=46.340555556,-62.838611111")</f>
        <v>https://www.google.com/maps/?q=46.340555556,-62.838611111</v>
      </c>
    </row>
    <row r="197" spans="1:8" ht="29" x14ac:dyDescent="0.35">
      <c r="A197" s="9" t="s">
        <v>935</v>
      </c>
      <c r="B197" s="9" t="s">
        <v>936</v>
      </c>
      <c r="C197" s="9" t="s">
        <v>937</v>
      </c>
      <c r="D197" s="9" t="s">
        <v>938</v>
      </c>
      <c r="E197" s="10" t="s">
        <v>28</v>
      </c>
      <c r="F197" s="11" t="s">
        <v>939</v>
      </c>
      <c r="H197" s="43" t="str">
        <f>HYPERLINK("https://www.google.com/maps/?q=46.4578194440001,-63.313644444", "https://www.google.com/maps/?q=46.4578194440001,-63.313644444")</f>
        <v>https://www.google.com/maps/?q=46.4578194440001,-63.313644444</v>
      </c>
    </row>
    <row r="198" spans="1:8" ht="29" x14ac:dyDescent="0.35">
      <c r="A198" s="9" t="s">
        <v>940</v>
      </c>
      <c r="B198" s="9" t="s">
        <v>941</v>
      </c>
      <c r="C198" s="9" t="s">
        <v>942</v>
      </c>
      <c r="D198" s="9" t="s">
        <v>943</v>
      </c>
      <c r="E198" s="10" t="s">
        <v>28</v>
      </c>
      <c r="F198" s="11" t="s">
        <v>816</v>
      </c>
      <c r="H198" s="43" t="str">
        <f>HYPERLINK("https://www.google.com/maps/?q=46.2577027780001,-63.1389833329999", "https://www.google.com/maps/?q=46.2577027780001,-63.1389833329999")</f>
        <v>https://www.google.com/maps/?q=46.2577027780001,-63.1389833329999</v>
      </c>
    </row>
    <row r="199" spans="1:8" x14ac:dyDescent="0.35">
      <c r="A199" s="9" t="s">
        <v>944</v>
      </c>
      <c r="B199" s="9" t="s">
        <v>945</v>
      </c>
      <c r="C199" s="9" t="s">
        <v>946</v>
      </c>
      <c r="D199" s="9" t="s">
        <v>947</v>
      </c>
      <c r="E199" s="10" t="s">
        <v>66</v>
      </c>
      <c r="F199" s="11" t="s">
        <v>948</v>
      </c>
      <c r="H199" s="43" t="str">
        <f>HYPERLINK("https://www.google.com/maps/?q=46.3511583330001,-62.380355556", "https://www.google.com/maps/?q=46.3511583330001,-62.380355556")</f>
        <v>https://www.google.com/maps/?q=46.3511583330001,-62.380355556</v>
      </c>
    </row>
    <row r="200" spans="1:8" ht="29" x14ac:dyDescent="0.35">
      <c r="A200" s="9" t="s">
        <v>949</v>
      </c>
      <c r="B200" s="9" t="s">
        <v>950</v>
      </c>
      <c r="C200" s="9" t="s">
        <v>951</v>
      </c>
      <c r="D200" s="9" t="s">
        <v>952</v>
      </c>
      <c r="E200" s="10" t="s">
        <v>66</v>
      </c>
      <c r="F200" s="11" t="s">
        <v>678</v>
      </c>
      <c r="H200" s="43" t="str">
        <f>HYPERLINK("https://www.google.com/maps/?q=46.1491888890001,-62.606788889", "https://www.google.com/maps/?q=46.1491888890001,-62.606788889")</f>
        <v>https://www.google.com/maps/?q=46.1491888890001,-62.606788889</v>
      </c>
    </row>
    <row r="201" spans="1:8" x14ac:dyDescent="0.35">
      <c r="A201" s="9" t="s">
        <v>953</v>
      </c>
      <c r="B201" s="9" t="s">
        <v>954</v>
      </c>
      <c r="C201" s="9" t="s">
        <v>955</v>
      </c>
      <c r="D201" s="9" t="s">
        <v>956</v>
      </c>
      <c r="E201" s="10" t="s">
        <v>50</v>
      </c>
      <c r="F201" s="11" t="s">
        <v>266</v>
      </c>
      <c r="H201" s="43" t="str">
        <f>HYPERLINK("https://www.google.com/maps/?q=46.3456,-63.6928", "https://www.google.com/maps/?q=46.3456,-63.6928")</f>
        <v>https://www.google.com/maps/?q=46.3456,-63.6928</v>
      </c>
    </row>
    <row r="202" spans="1:8" ht="29" x14ac:dyDescent="0.35">
      <c r="A202" s="9" t="s">
        <v>957</v>
      </c>
      <c r="B202" s="9" t="s">
        <v>958</v>
      </c>
      <c r="C202" s="9" t="s">
        <v>959</v>
      </c>
      <c r="D202" s="9" t="s">
        <v>960</v>
      </c>
      <c r="E202" s="10" t="s">
        <v>28</v>
      </c>
      <c r="F202" s="11" t="s">
        <v>961</v>
      </c>
      <c r="H202" s="43" t="str">
        <f>HYPERLINK("https://www.google.com/maps/?q=46.4812416670001,-63.3909", "https://www.google.com/maps/?q=46.4812416670001,-63.3909")</f>
        <v>https://www.google.com/maps/?q=46.4812416670001,-63.3909</v>
      </c>
    </row>
    <row r="203" spans="1:8" ht="29" x14ac:dyDescent="0.35">
      <c r="A203" s="9" t="s">
        <v>962</v>
      </c>
      <c r="B203" s="9" t="s">
        <v>963</v>
      </c>
      <c r="C203" s="9" t="s">
        <v>964</v>
      </c>
      <c r="D203" s="9" t="s">
        <v>965</v>
      </c>
      <c r="E203" s="10" t="s">
        <v>28</v>
      </c>
      <c r="F203" s="11" t="s">
        <v>939</v>
      </c>
      <c r="H203" s="43" t="str">
        <f>HYPERLINK("https://www.google.com/maps/?q=46.45505,-63.316291667", "https://www.google.com/maps/?q=46.45505,-63.316291667")</f>
        <v>https://www.google.com/maps/?q=46.45505,-63.316291667</v>
      </c>
    </row>
    <row r="204" spans="1:8" ht="29" x14ac:dyDescent="0.35">
      <c r="A204" s="9" t="s">
        <v>966</v>
      </c>
      <c r="B204" s="9" t="s">
        <v>967</v>
      </c>
      <c r="C204" s="9" t="s">
        <v>968</v>
      </c>
      <c r="D204" s="9" t="s">
        <v>969</v>
      </c>
      <c r="E204" s="10" t="s">
        <v>66</v>
      </c>
      <c r="F204" s="11" t="s">
        <v>970</v>
      </c>
      <c r="H204" s="43" t="str">
        <f>HYPERLINK("https://www.google.com/maps/?q=46.2507138890001,-63.694097222", "https://www.google.com/maps/?q=46.2507138890001,-63.694097222")</f>
        <v>https://www.google.com/maps/?q=46.2507138890001,-63.694097222</v>
      </c>
    </row>
    <row r="205" spans="1:8" ht="29" x14ac:dyDescent="0.35">
      <c r="A205" s="9" t="s">
        <v>971</v>
      </c>
      <c r="B205" s="9" t="s">
        <v>972</v>
      </c>
      <c r="C205" s="9" t="s">
        <v>973</v>
      </c>
      <c r="D205" s="9" t="s">
        <v>974</v>
      </c>
      <c r="E205" s="10" t="s">
        <v>50</v>
      </c>
      <c r="F205" s="11" t="s">
        <v>530</v>
      </c>
      <c r="H205" s="43" t="str">
        <f>HYPERLINK("https://www.google.com/maps/?q=46.0511277780001,-62.721125", "https://www.google.com/maps/?q=46.0511277780001,-62.721125")</f>
        <v>https://www.google.com/maps/?q=46.0511277780001,-62.721125</v>
      </c>
    </row>
    <row r="206" spans="1:8" ht="29" x14ac:dyDescent="0.35">
      <c r="A206" s="9" t="s">
        <v>975</v>
      </c>
      <c r="B206" s="9" t="s">
        <v>976</v>
      </c>
      <c r="C206" s="9" t="s">
        <v>977</v>
      </c>
      <c r="D206" s="9" t="s">
        <v>978</v>
      </c>
      <c r="E206" s="10" t="s">
        <v>66</v>
      </c>
      <c r="F206" s="11" t="s">
        <v>496</v>
      </c>
      <c r="H206" s="43" t="str">
        <f>HYPERLINK("https://www.google.com/maps/?q=46.262536111,-63.139325", "https://www.google.com/maps/?q=46.262536111,-63.139325")</f>
        <v>https://www.google.com/maps/?q=46.262536111,-63.139325</v>
      </c>
    </row>
    <row r="207" spans="1:8" ht="29" x14ac:dyDescent="0.35">
      <c r="A207" s="9" t="s">
        <v>979</v>
      </c>
      <c r="B207" s="9" t="s">
        <v>980</v>
      </c>
      <c r="C207" s="9" t="s">
        <v>981</v>
      </c>
      <c r="D207" s="9" t="s">
        <v>982</v>
      </c>
      <c r="E207" s="10" t="s">
        <v>66</v>
      </c>
      <c r="F207" s="11" t="s">
        <v>335</v>
      </c>
      <c r="H207" s="43" t="str">
        <f>HYPERLINK("https://www.google.com/maps/?q=46.3141666670001,-63.1866666669999", "https://www.google.com/maps/?q=46.3141666670001,-63.1866666669999")</f>
        <v>https://www.google.com/maps/?q=46.3141666670001,-63.1866666669999</v>
      </c>
    </row>
    <row r="208" spans="1:8" ht="29" x14ac:dyDescent="0.35">
      <c r="A208" s="9" t="s">
        <v>983</v>
      </c>
      <c r="B208" s="9" t="s">
        <v>984</v>
      </c>
      <c r="C208" s="9" t="s">
        <v>985</v>
      </c>
      <c r="D208" s="9" t="s">
        <v>986</v>
      </c>
      <c r="E208" s="10" t="s">
        <v>66</v>
      </c>
      <c r="F208" s="11" t="s">
        <v>423</v>
      </c>
      <c r="H208" s="43" t="str">
        <f>HYPERLINK("https://www.google.com/maps/?q=45.9787388890001,-62.7707722219999", "https://www.google.com/maps/?q=45.9787388890001,-62.7707722219999")</f>
        <v>https://www.google.com/maps/?q=45.9787388890001,-62.7707722219999</v>
      </c>
    </row>
    <row r="209" spans="1:8" ht="29" x14ac:dyDescent="0.35">
      <c r="A209" s="9" t="s">
        <v>987</v>
      </c>
      <c r="B209" s="9" t="s">
        <v>988</v>
      </c>
      <c r="C209" s="9" t="s">
        <v>989</v>
      </c>
      <c r="D209" s="9" t="s">
        <v>990</v>
      </c>
      <c r="E209" s="10" t="s">
        <v>28</v>
      </c>
      <c r="F209" s="11" t="s">
        <v>991</v>
      </c>
      <c r="H209" s="43" t="str">
        <f>HYPERLINK("https://www.google.com/maps/?q=46.4867694440001,-63.399669444", "https://www.google.com/maps/?q=46.4867694440001,-63.399669444")</f>
        <v>https://www.google.com/maps/?q=46.4867694440001,-63.399669444</v>
      </c>
    </row>
    <row r="210" spans="1:8" ht="43.5" x14ac:dyDescent="0.35">
      <c r="A210" s="9" t="s">
        <v>992</v>
      </c>
      <c r="B210" s="9" t="s">
        <v>993</v>
      </c>
      <c r="C210" s="9" t="s">
        <v>994</v>
      </c>
      <c r="D210" s="9" t="s">
        <v>995</v>
      </c>
      <c r="E210" s="10" t="s">
        <v>28</v>
      </c>
      <c r="F210" s="11" t="s">
        <v>996</v>
      </c>
      <c r="H210" s="43" t="str">
        <f>HYPERLINK("https://www.google.com/maps/?q=46.4919583330001,-63.374458333", "https://www.google.com/maps/?q=46.4919583330001,-63.374458333")</f>
        <v>https://www.google.com/maps/?q=46.4919583330001,-63.374458333</v>
      </c>
    </row>
    <row r="211" spans="1:8" ht="29" x14ac:dyDescent="0.35">
      <c r="A211" s="9" t="s">
        <v>997</v>
      </c>
      <c r="B211" s="9" t="s">
        <v>998</v>
      </c>
      <c r="C211" s="9" t="s">
        <v>999</v>
      </c>
      <c r="D211" s="9" t="s">
        <v>1000</v>
      </c>
      <c r="E211" s="10" t="s">
        <v>66</v>
      </c>
      <c r="F211" s="11" t="s">
        <v>826</v>
      </c>
      <c r="H211" s="43" t="str">
        <f>HYPERLINK("https://www.google.com/maps/?q=46.070063889,-62.822722222", "https://www.google.com/maps/?q=46.070063889,-62.822722222")</f>
        <v>https://www.google.com/maps/?q=46.070063889,-62.822722222</v>
      </c>
    </row>
    <row r="212" spans="1:8" ht="29" x14ac:dyDescent="0.35">
      <c r="A212" s="9" t="s">
        <v>1001</v>
      </c>
      <c r="B212" s="9" t="s">
        <v>1002</v>
      </c>
      <c r="C212" s="9" t="s">
        <v>1003</v>
      </c>
      <c r="D212" s="9" t="s">
        <v>1004</v>
      </c>
      <c r="E212" s="10" t="s">
        <v>66</v>
      </c>
      <c r="F212" s="11" t="s">
        <v>1005</v>
      </c>
      <c r="H212" s="43" t="str">
        <f>HYPERLINK("https://www.google.com/maps/?q=46.289236111,-63.194891667", "https://www.google.com/maps/?q=46.289236111,-63.194891667")</f>
        <v>https://www.google.com/maps/?q=46.289236111,-63.194891667</v>
      </c>
    </row>
    <row r="213" spans="1:8" ht="29" x14ac:dyDescent="0.35">
      <c r="A213" s="9" t="s">
        <v>1006</v>
      </c>
      <c r="B213" s="9" t="s">
        <v>1007</v>
      </c>
      <c r="C213" s="9" t="s">
        <v>1008</v>
      </c>
      <c r="D213" s="9" t="s">
        <v>1009</v>
      </c>
      <c r="E213" s="10" t="s">
        <v>17</v>
      </c>
      <c r="F213" s="11" t="s">
        <v>1010</v>
      </c>
      <c r="H213" s="43" t="str">
        <f>HYPERLINK("https://www.google.com/maps/?q=46.334444444,-63.4299999999999", "https://www.google.com/maps/?q=46.334444444,-63.4299999999999")</f>
        <v>https://www.google.com/maps/?q=46.334444444,-63.4299999999999</v>
      </c>
    </row>
    <row r="214" spans="1:8" ht="29" x14ac:dyDescent="0.35">
      <c r="A214" s="9" t="s">
        <v>1011</v>
      </c>
      <c r="B214" s="9" t="s">
        <v>1012</v>
      </c>
      <c r="C214" s="9" t="s">
        <v>1013</v>
      </c>
      <c r="D214" s="9" t="s">
        <v>1014</v>
      </c>
      <c r="E214" s="10" t="s">
        <v>28</v>
      </c>
      <c r="F214" s="11" t="s">
        <v>1015</v>
      </c>
      <c r="H214" s="43" t="str">
        <f>HYPERLINK("https://www.google.com/maps/?q=46.245205556,-63.1173527779999", "https://www.google.com/maps/?q=46.245205556,-63.1173527779999")</f>
        <v>https://www.google.com/maps/?q=46.245205556,-63.1173527779999</v>
      </c>
    </row>
    <row r="215" spans="1:8" ht="29" x14ac:dyDescent="0.35">
      <c r="A215" s="9" t="s">
        <v>1016</v>
      </c>
      <c r="B215" s="9" t="s">
        <v>1017</v>
      </c>
      <c r="C215" s="9" t="s">
        <v>1018</v>
      </c>
      <c r="D215" s="9" t="s">
        <v>1019</v>
      </c>
      <c r="E215" s="10" t="s">
        <v>195</v>
      </c>
      <c r="F215" s="11" t="s">
        <v>740</v>
      </c>
      <c r="H215" s="43" t="str">
        <f>HYPERLINK("https://www.google.com/maps/?q=46.2646333330001,-63.144405556", "https://www.google.com/maps/?q=46.2646333330001,-63.144405556")</f>
        <v>https://www.google.com/maps/?q=46.2646333330001,-63.144405556</v>
      </c>
    </row>
    <row r="216" spans="1:8" ht="29" x14ac:dyDescent="0.35">
      <c r="A216" s="9" t="s">
        <v>1020</v>
      </c>
      <c r="B216" s="9" t="s">
        <v>1021</v>
      </c>
      <c r="C216" s="9" t="s">
        <v>1022</v>
      </c>
      <c r="D216" s="9" t="s">
        <v>1023</v>
      </c>
      <c r="E216" s="10" t="s">
        <v>28</v>
      </c>
      <c r="F216" s="11" t="s">
        <v>1024</v>
      </c>
      <c r="H216" s="43" t="str">
        <f>HYPERLINK("https://www.google.com/maps/?q=46.2083638890001,-63.1079444439999", "https://www.google.com/maps/?q=46.2083638890001,-63.1079444439999")</f>
        <v>https://www.google.com/maps/?q=46.2083638890001,-63.1079444439999</v>
      </c>
    </row>
    <row r="217" spans="1:8" ht="29" x14ac:dyDescent="0.35">
      <c r="A217" s="9" t="s">
        <v>1025</v>
      </c>
      <c r="B217" s="9" t="s">
        <v>1026</v>
      </c>
      <c r="C217" s="9" t="s">
        <v>1027</v>
      </c>
      <c r="D217" s="9" t="s">
        <v>1028</v>
      </c>
      <c r="E217" s="10" t="s">
        <v>28</v>
      </c>
      <c r="F217" s="11" t="s">
        <v>1029</v>
      </c>
      <c r="H217" s="43" t="str">
        <f>HYPERLINK("https://www.google.com/maps/?q=46.4921583330001,-63.3788777779999", "https://www.google.com/maps/?q=46.4921583330001,-63.3788777779999")</f>
        <v>https://www.google.com/maps/?q=46.4921583330001,-63.3788777779999</v>
      </c>
    </row>
    <row r="218" spans="1:8" ht="29" x14ac:dyDescent="0.35">
      <c r="A218" s="9" t="s">
        <v>1030</v>
      </c>
      <c r="B218" s="9" t="s">
        <v>1031</v>
      </c>
      <c r="C218" s="9" t="s">
        <v>1032</v>
      </c>
      <c r="D218" s="9" t="s">
        <v>1033</v>
      </c>
      <c r="E218" s="10" t="s">
        <v>66</v>
      </c>
      <c r="F218" s="11" t="s">
        <v>1034</v>
      </c>
      <c r="H218" s="43" t="str">
        <f>HYPERLINK("https://www.google.com/maps/?q=46.339247222,-63.424002778", "https://www.google.com/maps/?q=46.339247222,-63.424002778")</f>
        <v>https://www.google.com/maps/?q=46.339247222,-63.424002778</v>
      </c>
    </row>
    <row r="219" spans="1:8" ht="29" x14ac:dyDescent="0.35">
      <c r="A219" s="9" t="s">
        <v>1035</v>
      </c>
      <c r="B219" s="9" t="s">
        <v>1036</v>
      </c>
      <c r="C219" s="9" t="s">
        <v>1037</v>
      </c>
      <c r="D219" s="9" t="s">
        <v>1038</v>
      </c>
      <c r="E219" s="10" t="s">
        <v>28</v>
      </c>
      <c r="F219" s="11" t="s">
        <v>1039</v>
      </c>
      <c r="H219" s="43" t="str">
        <f>HYPERLINK("https://www.google.com/maps/?q=46.460055556,-63.314555556", "https://www.google.com/maps/?q=46.460055556,-63.314555556")</f>
        <v>https://www.google.com/maps/?q=46.460055556,-63.314555556</v>
      </c>
    </row>
    <row r="220" spans="1:8" ht="43.5" x14ac:dyDescent="0.35">
      <c r="A220" s="9" t="s">
        <v>1040</v>
      </c>
      <c r="B220" s="9" t="s">
        <v>1041</v>
      </c>
      <c r="C220" s="9" t="s">
        <v>1042</v>
      </c>
      <c r="D220" s="9" t="s">
        <v>1043</v>
      </c>
      <c r="E220" s="10" t="s">
        <v>28</v>
      </c>
      <c r="F220" s="11" t="s">
        <v>1044</v>
      </c>
      <c r="H220" s="43" t="str">
        <f>HYPERLINK("https://www.google.com/maps/?q=46.4926,-63.370688889", "https://www.google.com/maps/?q=46.4926,-63.370688889")</f>
        <v>https://www.google.com/maps/?q=46.4926,-63.370688889</v>
      </c>
    </row>
    <row r="221" spans="1:8" ht="29" x14ac:dyDescent="0.35">
      <c r="A221" s="9" t="s">
        <v>1045</v>
      </c>
      <c r="B221" s="9" t="s">
        <v>1046</v>
      </c>
      <c r="C221" s="9" t="s">
        <v>1047</v>
      </c>
      <c r="D221" s="9" t="s">
        <v>1048</v>
      </c>
      <c r="E221" s="10" t="s">
        <v>66</v>
      </c>
      <c r="F221" s="11" t="s">
        <v>1034</v>
      </c>
      <c r="H221" s="43" t="str">
        <f>HYPERLINK("https://www.google.com/maps/?q=46.33925,-63.424", "https://www.google.com/maps/?q=46.33925,-63.424")</f>
        <v>https://www.google.com/maps/?q=46.33925,-63.424</v>
      </c>
    </row>
    <row r="222" spans="1:8" ht="29" x14ac:dyDescent="0.35">
      <c r="A222" s="9" t="s">
        <v>587</v>
      </c>
      <c r="B222" s="9" t="s">
        <v>1049</v>
      </c>
      <c r="C222" s="9" t="s">
        <v>589</v>
      </c>
      <c r="D222" s="9" t="s">
        <v>1050</v>
      </c>
      <c r="E222" s="10" t="s">
        <v>66</v>
      </c>
      <c r="F222" s="11" t="s">
        <v>360</v>
      </c>
      <c r="H222" s="43" t="str">
        <f>HYPERLINK("https://www.google.com/maps/?q=46.283430556,-63.119830556", "https://www.google.com/maps/?q=46.283430556,-63.119830556")</f>
        <v>https://www.google.com/maps/?q=46.283430556,-63.119830556</v>
      </c>
    </row>
    <row r="223" spans="1:8" ht="29" x14ac:dyDescent="0.35">
      <c r="A223" s="9" t="s">
        <v>1051</v>
      </c>
      <c r="B223" s="9" t="s">
        <v>1052</v>
      </c>
      <c r="C223" s="9" t="s">
        <v>1053</v>
      </c>
      <c r="D223" s="9" t="s">
        <v>1054</v>
      </c>
      <c r="E223" s="10" t="s">
        <v>66</v>
      </c>
      <c r="F223" s="11" t="s">
        <v>600</v>
      </c>
      <c r="H223" s="43" t="str">
        <f>HYPERLINK("https://www.google.com/maps/?q=46.213138889,-63.081769444", "https://www.google.com/maps/?q=46.213138889,-63.081769444")</f>
        <v>https://www.google.com/maps/?q=46.213138889,-63.081769444</v>
      </c>
    </row>
    <row r="224" spans="1:8" ht="29" x14ac:dyDescent="0.35">
      <c r="A224" s="9" t="s">
        <v>983</v>
      </c>
      <c r="B224" s="9" t="s">
        <v>1055</v>
      </c>
      <c r="C224" s="9" t="s">
        <v>985</v>
      </c>
      <c r="D224" s="9" t="s">
        <v>1056</v>
      </c>
      <c r="E224" s="10" t="s">
        <v>66</v>
      </c>
      <c r="F224" s="11" t="s">
        <v>423</v>
      </c>
      <c r="H224" s="43" t="str">
        <f>HYPERLINK("https://www.google.com/maps/?q=45.9787388890001,-62.7707694439999", "https://www.google.com/maps/?q=45.9787388890001,-62.7707694439999")</f>
        <v>https://www.google.com/maps/?q=45.9787388890001,-62.7707694439999</v>
      </c>
    </row>
    <row r="225" spans="1:10" x14ac:dyDescent="0.35">
      <c r="A225" s="9" t="s">
        <v>511</v>
      </c>
      <c r="B225" s="9" t="s">
        <v>1057</v>
      </c>
      <c r="C225" s="9" t="s">
        <v>513</v>
      </c>
      <c r="D225" s="9" t="s">
        <v>1058</v>
      </c>
      <c r="E225" s="10" t="s">
        <v>17</v>
      </c>
      <c r="F225" s="11" t="s">
        <v>515</v>
      </c>
      <c r="H225" s="43" t="str">
        <f>HYPERLINK("https://www.google.com/maps/?q=46.364675,-63.410055556", "https://www.google.com/maps/?q=46.364675,-63.410055556")</f>
        <v>https://www.google.com/maps/?q=46.364675,-63.410055556</v>
      </c>
    </row>
    <row r="226" spans="1:10" ht="29" x14ac:dyDescent="0.35">
      <c r="A226" s="9" t="s">
        <v>1059</v>
      </c>
      <c r="B226" s="9" t="s">
        <v>602</v>
      </c>
      <c r="C226" s="9" t="s">
        <v>1060</v>
      </c>
      <c r="D226" s="9" t="s">
        <v>604</v>
      </c>
      <c r="E226" s="10" t="s">
        <v>50</v>
      </c>
      <c r="F226" s="11" t="s">
        <v>605</v>
      </c>
      <c r="H226" s="43" t="str">
        <f>HYPERLINK("https://www.google.com/maps/?q=46.517522222,-63.64805", "https://www.google.com/maps/?q=46.517522222,-63.64805")</f>
        <v>https://www.google.com/maps/?q=46.517522222,-63.64805</v>
      </c>
    </row>
    <row r="227" spans="1:10" x14ac:dyDescent="0.35">
      <c r="A227" s="9" t="s">
        <v>1061</v>
      </c>
      <c r="B227" s="9" t="s">
        <v>1062</v>
      </c>
      <c r="C227" s="9" t="s">
        <v>1063</v>
      </c>
      <c r="D227" s="9" t="s">
        <v>1064</v>
      </c>
      <c r="E227" s="10" t="s">
        <v>66</v>
      </c>
      <c r="F227" s="11" t="s">
        <v>266</v>
      </c>
      <c r="H227" s="43" t="str">
        <f>HYPERLINK("https://www.google.com/maps/?q=46.34585,-63.692861111", "https://www.google.com/maps/?q=46.34585,-63.692861111")</f>
        <v>https://www.google.com/maps/?q=46.34585,-63.692861111</v>
      </c>
    </row>
    <row r="228" spans="1:10" ht="29" x14ac:dyDescent="0.35">
      <c r="A228" s="9" t="s">
        <v>1065</v>
      </c>
      <c r="B228" s="9" t="s">
        <v>1066</v>
      </c>
      <c r="C228" s="9" t="s">
        <v>1067</v>
      </c>
      <c r="D228" s="9" t="s">
        <v>1068</v>
      </c>
      <c r="E228" s="10" t="s">
        <v>50</v>
      </c>
      <c r="F228" s="11" t="s">
        <v>1069</v>
      </c>
      <c r="H228" s="43" t="str">
        <f>HYPERLINK("https://www.google.com/maps/?q=46.2974888890001,-63.1408888889999", "https://www.google.com/maps/?q=46.2974888890001,-63.1408888889999")</f>
        <v>https://www.google.com/maps/?q=46.2974888890001,-63.1408888889999</v>
      </c>
    </row>
    <row r="229" spans="1:10" ht="29" x14ac:dyDescent="0.35">
      <c r="A229" s="9" t="s">
        <v>1070</v>
      </c>
      <c r="B229" s="9" t="s">
        <v>1071</v>
      </c>
      <c r="C229" s="9" t="s">
        <v>1072</v>
      </c>
      <c r="D229" s="9" t="s">
        <v>1073</v>
      </c>
      <c r="E229" s="10" t="s">
        <v>195</v>
      </c>
      <c r="F229" s="11" t="s">
        <v>1074</v>
      </c>
      <c r="H229" s="43" t="str">
        <f>HYPERLINK("https://www.google.com/maps/?q=46.2802,-63.345927778", "https://www.google.com/maps/?q=46.2802,-63.345927778")</f>
        <v>https://www.google.com/maps/?q=46.2802,-63.345927778</v>
      </c>
    </row>
    <row r="230" spans="1:10" ht="29" x14ac:dyDescent="0.35">
      <c r="A230" s="9" t="s">
        <v>1075</v>
      </c>
      <c r="B230" s="9" t="s">
        <v>468</v>
      </c>
      <c r="C230" s="9" t="s">
        <v>1076</v>
      </c>
      <c r="D230" s="9" t="s">
        <v>470</v>
      </c>
      <c r="E230" s="10" t="s">
        <v>66</v>
      </c>
      <c r="F230" s="11" t="s">
        <v>471</v>
      </c>
      <c r="H230" s="43" t="str">
        <f>HYPERLINK("https://www.google.com/maps/?q=46.235561111,-63.1288888889999", "https://www.google.com/maps/?q=46.235561111,-63.1288888889999")</f>
        <v>https://www.google.com/maps/?q=46.235561111,-63.1288888889999</v>
      </c>
    </row>
    <row r="231" spans="1:10" ht="29" x14ac:dyDescent="0.35">
      <c r="A231" s="9" t="s">
        <v>1077</v>
      </c>
      <c r="B231" s="9" t="s">
        <v>1078</v>
      </c>
      <c r="C231" s="9" t="s">
        <v>1079</v>
      </c>
      <c r="D231" s="9" t="s">
        <v>1080</v>
      </c>
      <c r="E231" s="10" t="s">
        <v>17</v>
      </c>
      <c r="F231" s="11" t="s">
        <v>1081</v>
      </c>
      <c r="H231" s="43" t="str">
        <f>HYPERLINK("https://www.google.com/maps/?q=46.5286444440001,-63.6702333329999", "https://www.google.com/maps/?q=46.5286444440001,-63.6702333329999")</f>
        <v>https://www.google.com/maps/?q=46.5286444440001,-63.6702333329999</v>
      </c>
    </row>
    <row r="232" spans="1:10" ht="29" x14ac:dyDescent="0.35">
      <c r="A232" s="9" t="s">
        <v>1082</v>
      </c>
      <c r="B232" s="9" t="s">
        <v>913</v>
      </c>
      <c r="C232" s="9" t="s">
        <v>1083</v>
      </c>
      <c r="D232" s="9" t="s">
        <v>915</v>
      </c>
      <c r="E232" s="10" t="s">
        <v>66</v>
      </c>
      <c r="F232" s="11" t="s">
        <v>803</v>
      </c>
      <c r="H232" s="43" t="str">
        <f>HYPERLINK("https://www.google.com/maps/?q=46.2122805560001,-63.34155", "https://www.google.com/maps/?q=46.2122805560001,-63.34155")</f>
        <v>https://www.google.com/maps/?q=46.2122805560001,-63.34155</v>
      </c>
      <c r="J232" s="17"/>
    </row>
    <row r="233" spans="1:10" x14ac:dyDescent="0.35">
      <c r="A233" s="9" t="s">
        <v>1084</v>
      </c>
      <c r="B233" s="9" t="s">
        <v>690</v>
      </c>
      <c r="C233" s="9" t="s">
        <v>1085</v>
      </c>
      <c r="D233" s="9" t="s">
        <v>692</v>
      </c>
      <c r="E233" s="10" t="s">
        <v>66</v>
      </c>
      <c r="F233" s="11" t="s">
        <v>693</v>
      </c>
      <c r="H233" s="43" t="str">
        <f>HYPERLINK("https://www.google.com/maps/?q=46.0067111110001,-62.585588889", "https://www.google.com/maps/?q=46.0067111110001,-62.585588889")</f>
        <v>https://www.google.com/maps/?q=46.0067111110001,-62.585588889</v>
      </c>
    </row>
    <row r="234" spans="1:10" ht="29" x14ac:dyDescent="0.35">
      <c r="A234" s="9" t="s">
        <v>1086</v>
      </c>
      <c r="B234" s="9" t="s">
        <v>1087</v>
      </c>
      <c r="C234" s="9" t="s">
        <v>1088</v>
      </c>
      <c r="D234" s="9" t="s">
        <v>1089</v>
      </c>
      <c r="E234" s="10" t="s">
        <v>28</v>
      </c>
      <c r="F234" s="11" t="s">
        <v>1090</v>
      </c>
      <c r="H234" s="43" t="str">
        <f>HYPERLINK("https://www.google.com/maps/?q=46.2395333330001,-63.120677778", "https://www.google.com/maps/?q=46.2395333330001,-63.120677778")</f>
        <v>https://www.google.com/maps/?q=46.2395333330001,-63.120677778</v>
      </c>
    </row>
    <row r="235" spans="1:10" ht="29" x14ac:dyDescent="0.35">
      <c r="A235" s="9" t="s">
        <v>1091</v>
      </c>
      <c r="B235" s="9" t="s">
        <v>1092</v>
      </c>
      <c r="C235" s="9" t="s">
        <v>1093</v>
      </c>
      <c r="D235" s="9" t="s">
        <v>1094</v>
      </c>
      <c r="E235" s="10" t="s">
        <v>66</v>
      </c>
      <c r="F235" s="11" t="s">
        <v>261</v>
      </c>
      <c r="H235" s="43" t="str">
        <f>HYPERLINK("https://www.google.com/maps/?q=46.196611111,-62.8812305559999", "https://www.google.com/maps/?q=46.196611111,-62.8812305559999")</f>
        <v>https://www.google.com/maps/?q=46.196611111,-62.8812305559999</v>
      </c>
    </row>
    <row r="236" spans="1:10" ht="29" x14ac:dyDescent="0.35">
      <c r="A236" s="9" t="s">
        <v>1095</v>
      </c>
      <c r="B236" s="9" t="s">
        <v>1096</v>
      </c>
      <c r="C236" s="9" t="s">
        <v>1097</v>
      </c>
      <c r="D236" s="9" t="s">
        <v>1098</v>
      </c>
      <c r="E236" s="10" t="s">
        <v>28</v>
      </c>
      <c r="F236" s="11" t="s">
        <v>1099</v>
      </c>
      <c r="H236" s="43" t="str">
        <f>HYPERLINK("https://www.google.com/maps/?q=46.259069444,-63.1191277779999", "https://www.google.com/maps/?q=46.259069444,-63.1191277779999")</f>
        <v>https://www.google.com/maps/?q=46.259069444,-63.1191277779999</v>
      </c>
    </row>
    <row r="237" spans="1:10" ht="29" x14ac:dyDescent="0.35">
      <c r="A237" s="9" t="s">
        <v>1100</v>
      </c>
      <c r="B237" s="9" t="s">
        <v>1101</v>
      </c>
      <c r="C237" s="9" t="s">
        <v>1102</v>
      </c>
      <c r="D237" s="9" t="s">
        <v>1103</v>
      </c>
      <c r="E237" s="10" t="s">
        <v>66</v>
      </c>
      <c r="F237" s="11" t="s">
        <v>476</v>
      </c>
      <c r="H237" s="43" t="str">
        <f>HYPERLINK("https://www.google.com/maps/?q=46.2316611110001,-63.123938889", "https://www.google.com/maps/?q=46.2316611110001,-63.123938889")</f>
        <v>https://www.google.com/maps/?q=46.2316611110001,-63.123938889</v>
      </c>
    </row>
    <row r="238" spans="1:10" ht="29" x14ac:dyDescent="0.35">
      <c r="A238" s="9" t="s">
        <v>1104</v>
      </c>
      <c r="B238" s="9" t="s">
        <v>1105</v>
      </c>
      <c r="C238" s="9" t="s">
        <v>1106</v>
      </c>
      <c r="D238" s="9" t="s">
        <v>1107</v>
      </c>
      <c r="E238" s="10" t="s">
        <v>66</v>
      </c>
      <c r="F238" s="11" t="s">
        <v>452</v>
      </c>
      <c r="H238" s="43" t="str">
        <f>HYPERLINK("https://www.google.com/maps/?q=46.2412305560001,-63.4826805559999", "https://www.google.com/maps/?q=46.2412305560001,-63.4826805559999")</f>
        <v>https://www.google.com/maps/?q=46.2412305560001,-63.4826805559999</v>
      </c>
    </row>
    <row r="245" spans="7:7" x14ac:dyDescent="0.35">
      <c r="G245" s="17"/>
    </row>
    <row r="265" spans="7:7" x14ac:dyDescent="0.35">
      <c r="G265" s="17"/>
    </row>
    <row r="290" spans="7:7" x14ac:dyDescent="0.35">
      <c r="G290" s="17"/>
    </row>
    <row r="295" spans="7:7" x14ac:dyDescent="0.35">
      <c r="G295" s="17"/>
    </row>
    <row r="321" spans="7:7" x14ac:dyDescent="0.35">
      <c r="G321" s="17"/>
    </row>
    <row r="339" spans="7:7" x14ac:dyDescent="0.35">
      <c r="G339" s="17"/>
    </row>
    <row r="419" spans="7:7" x14ac:dyDescent="0.35">
      <c r="G419" s="17"/>
    </row>
    <row r="451" spans="9:10" x14ac:dyDescent="0.35">
      <c r="I451" s="20"/>
      <c r="J451" s="20"/>
    </row>
    <row r="452" spans="9:10" x14ac:dyDescent="0.35">
      <c r="I452" s="20"/>
      <c r="J452" s="20"/>
    </row>
    <row r="453" spans="9:10" x14ac:dyDescent="0.35">
      <c r="I453" s="20"/>
      <c r="J453" s="20"/>
    </row>
    <row r="454" spans="9:10" x14ac:dyDescent="0.35">
      <c r="I454" s="20"/>
      <c r="J454" s="20"/>
    </row>
    <row r="455" spans="9:10" x14ac:dyDescent="0.35">
      <c r="I455" s="20"/>
      <c r="J455" s="20"/>
    </row>
    <row r="924" spans="7:7" x14ac:dyDescent="0.35">
      <c r="G924" s="17"/>
    </row>
    <row r="1040" spans="7:7" x14ac:dyDescent="0.35">
      <c r="G1040" s="17"/>
    </row>
    <row r="1212" spans="7:7" x14ac:dyDescent="0.35">
      <c r="G1212" s="17"/>
    </row>
    <row r="1423" spans="7:7" x14ac:dyDescent="0.35">
      <c r="G1423" s="17"/>
    </row>
    <row r="2016" spans="7:7" x14ac:dyDescent="0.35">
      <c r="G2016" s="17"/>
    </row>
    <row r="1032808" spans="9:11" ht="18.5" x14ac:dyDescent="0.35">
      <c r="I1032808" s="4"/>
      <c r="J1032808" s="5"/>
      <c r="K1032808" s="6"/>
    </row>
    <row r="1032809" spans="9:11" x14ac:dyDescent="0.35">
      <c r="K1032809" s="13"/>
    </row>
    <row r="1032810" spans="9:11" x14ac:dyDescent="0.35">
      <c r="K1032810" s="13"/>
    </row>
    <row r="1032811" spans="9:11" x14ac:dyDescent="0.35">
      <c r="I1032811" s="14"/>
      <c r="J1032811" s="15"/>
      <c r="K1032811" s="13"/>
    </row>
    <row r="1032812" spans="9:11" x14ac:dyDescent="0.35">
      <c r="K1032812" s="13"/>
    </row>
    <row r="1032815" spans="9:11" x14ac:dyDescent="0.35">
      <c r="K1032815" s="13"/>
    </row>
    <row r="1032817" spans="9:11" x14ac:dyDescent="0.35">
      <c r="J1032817" s="16"/>
    </row>
    <row r="1032818" spans="9:11" x14ac:dyDescent="0.35">
      <c r="K1032818" s="13"/>
    </row>
    <row r="1032819" spans="9:11" x14ac:dyDescent="0.35">
      <c r="K1032819" s="13"/>
    </row>
    <row r="1032820" spans="9:11" x14ac:dyDescent="0.35">
      <c r="K1032820" s="13"/>
    </row>
    <row r="1032822" spans="9:11" x14ac:dyDescent="0.35">
      <c r="I1032822" s="16"/>
      <c r="J1032822" s="17"/>
    </row>
    <row r="1032823" spans="9:11" x14ac:dyDescent="0.35">
      <c r="I1032823" s="16"/>
    </row>
    <row r="1032824" spans="9:11" x14ac:dyDescent="0.35">
      <c r="K1032824" s="13"/>
    </row>
    <row r="1032825" spans="9:11" x14ac:dyDescent="0.35">
      <c r="K1032825" s="13"/>
    </row>
    <row r="1032826" spans="9:11" x14ac:dyDescent="0.35">
      <c r="K1032826" s="13"/>
    </row>
    <row r="1032827" spans="9:11" x14ac:dyDescent="0.35">
      <c r="K1032827" s="13"/>
    </row>
    <row r="1032829" spans="9:11" x14ac:dyDescent="0.35">
      <c r="K1032829" s="18"/>
    </row>
    <row r="1032830" spans="9:11" x14ac:dyDescent="0.35">
      <c r="K1032830" s="18"/>
    </row>
    <row r="1032831" spans="9:11" x14ac:dyDescent="0.35">
      <c r="K1032831" s="13"/>
    </row>
    <row r="1032832" spans="9:11" x14ac:dyDescent="0.35">
      <c r="K1032832" s="13"/>
    </row>
    <row r="1032833" spans="10:11" x14ac:dyDescent="0.35">
      <c r="K1032833" s="13"/>
    </row>
    <row r="1032834" spans="10:11" x14ac:dyDescent="0.35">
      <c r="K1032834" s="13"/>
    </row>
    <row r="1032835" spans="10:11" x14ac:dyDescent="0.35">
      <c r="K1032835" s="13"/>
    </row>
    <row r="1032836" spans="10:11" x14ac:dyDescent="0.35">
      <c r="J1032836" s="17"/>
    </row>
    <row r="1032953" spans="10:10" x14ac:dyDescent="0.35">
      <c r="J1032953" s="17"/>
    </row>
    <row r="1033039" spans="10:10" x14ac:dyDescent="0.35">
      <c r="J1033039" s="17"/>
    </row>
    <row r="1033258" spans="9:10" x14ac:dyDescent="0.35">
      <c r="I1033258" s="20"/>
      <c r="J1033258" s="20"/>
    </row>
    <row r="1033259" spans="9:10" x14ac:dyDescent="0.35">
      <c r="I1033259" s="20"/>
      <c r="J1033259" s="20"/>
    </row>
    <row r="1033260" spans="9:10" x14ac:dyDescent="0.35">
      <c r="I1033260" s="20"/>
      <c r="J1033260" s="20"/>
    </row>
    <row r="1033261" spans="9:10" x14ac:dyDescent="0.35">
      <c r="I1033261" s="20"/>
      <c r="J1033261" s="20"/>
    </row>
    <row r="1033262" spans="9:10" x14ac:dyDescent="0.35">
      <c r="I1033262" s="20"/>
      <c r="J1033262" s="20"/>
    </row>
  </sheetData>
  <autoFilter ref="A1:M1" xr:uid="{62F60EDE-A75E-4FDF-AC32-29A90FE61FE8}"/>
  <conditionalFormatting sqref="E1:E1048576">
    <cfRule type="expression" dxfId="23" priority="9">
      <formula>MOD(ROW(),2)=0</formula>
    </cfRule>
    <cfRule type="colorScale" priority="10">
      <colorScale>
        <cfvo type="min"/>
        <cfvo type="max"/>
        <color theme="6"/>
        <color theme="0"/>
      </colorScale>
    </cfRule>
    <cfRule type="expression" priority="11">
      <formula>MOD(ROW(),2)=0</formula>
    </cfRule>
  </conditionalFormatting>
  <conditionalFormatting sqref="E1:F1048576">
    <cfRule type="expression" dxfId="22" priority="6">
      <formula>MOD(ROW(),2)=0</formula>
    </cfRule>
  </conditionalFormatting>
  <conditionalFormatting sqref="F1:F1048576">
    <cfRule type="expression" dxfId="21" priority="7">
      <formula>MOD(ROW(),2)=0</formula>
    </cfRule>
  </conditionalFormatting>
  <conditionalFormatting sqref="G1:G1048576">
    <cfRule type="expression" dxfId="20" priority="4">
      <formula>MOD(ROW(),2)=0</formula>
    </cfRule>
  </conditionalFormatting>
  <conditionalFormatting sqref="H1:H1048576">
    <cfRule type="expression" dxfId="19" priority="5">
      <formula>MOD(ROW(),2)=0</formula>
    </cfRule>
  </conditionalFormatting>
  <conditionalFormatting sqref="I1:I1033278">
    <cfRule type="expression" dxfId="18" priority="3">
      <formula>MOD(ROW(),2)=0</formula>
    </cfRule>
  </conditionalFormatting>
  <conditionalFormatting sqref="J1:J1033278">
    <cfRule type="expression" dxfId="17" priority="2">
      <formula>MOD(ROW(),2)=0</formula>
    </cfRule>
  </conditionalFormatting>
  <conditionalFormatting sqref="K1:K1033278">
    <cfRule type="expression" dxfId="16" priority="1">
      <formula>MOD(ROW(),2)=0</formula>
    </cfRule>
  </conditionalFormatting>
  <dataValidations count="1">
    <dataValidation type="list" allowBlank="1" showInputMessage="1" showErrorMessage="1" sqref="G1:G1048576" xr:uid="{E819A861-518F-4E91-840C-0C020D0FE08C}">
      <formula1>"Apartment,Commercial Building,Warehouse,Office,Guyed,Lattice Tower,Monopole Tower,Tree,Other Structure"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D0816-A7C1-4C88-96E5-A4F52D9270CA}">
  <sheetPr>
    <tabColor theme="5" tint="-0.249977111117893"/>
  </sheetPr>
  <dimension ref="A1:M1033262"/>
  <sheetViews>
    <sheetView topLeftCell="E1" workbookViewId="0">
      <pane ySplit="1" topLeftCell="A10" activePane="bottomLeft" state="frozen"/>
      <selection activeCell="E1" sqref="E1"/>
      <selection pane="bottomLeft" activeCell="I39" sqref="I39"/>
    </sheetView>
  </sheetViews>
  <sheetFormatPr defaultColWidth="8.7265625" defaultRowHeight="14.5" x14ac:dyDescent="0.35"/>
  <cols>
    <col min="1" max="1" width="15.453125" hidden="1" customWidth="1"/>
    <col min="2" max="2" width="10.453125" hidden="1" customWidth="1"/>
    <col min="3" max="3" width="11.54296875" hidden="1" customWidth="1"/>
    <col min="4" max="4" width="12.54296875" hidden="1" customWidth="1"/>
    <col min="5" max="5" width="26.1796875" style="10" customWidth="1"/>
    <col min="6" max="6" width="77.453125" style="11" customWidth="1"/>
    <col min="7" max="7" width="21.26953125" style="12" customWidth="1"/>
    <col min="8" max="8" width="42" style="17" customWidth="1"/>
    <col min="9" max="9" width="68.1796875" style="17" customWidth="1"/>
    <col min="10" max="10" width="61.453125" style="12" customWidth="1"/>
    <col min="11" max="11" width="36.54296875" style="74" bestFit="1" customWidth="1"/>
    <col min="12" max="12" width="18.26953125" style="38" customWidth="1"/>
    <col min="13" max="13" width="31.54296875" style="38" customWidth="1"/>
  </cols>
  <sheetData>
    <row r="1" spans="1:13" ht="34.5" customHeight="1" x14ac:dyDescent="0.35">
      <c r="A1" s="45" t="s">
        <v>0</v>
      </c>
      <c r="B1" s="45" t="s">
        <v>1</v>
      </c>
      <c r="C1" s="45" t="s">
        <v>2</v>
      </c>
      <c r="D1" s="45" t="s">
        <v>3</v>
      </c>
      <c r="E1" s="2" t="s">
        <v>4</v>
      </c>
      <c r="F1" s="3" t="s">
        <v>5</v>
      </c>
      <c r="G1" s="44" t="s">
        <v>6</v>
      </c>
      <c r="H1" s="50" t="s">
        <v>7</v>
      </c>
      <c r="I1" s="21" t="s">
        <v>8</v>
      </c>
      <c r="J1" s="5" t="s">
        <v>9</v>
      </c>
      <c r="K1" s="64" t="s">
        <v>10</v>
      </c>
      <c r="L1" s="7" t="s">
        <v>11</v>
      </c>
      <c r="M1" s="49" t="s">
        <v>1108</v>
      </c>
    </row>
    <row r="2" spans="1:13" ht="46.5" x14ac:dyDescent="0.35">
      <c r="A2" t="s">
        <v>1126</v>
      </c>
      <c r="B2" t="s">
        <v>1127</v>
      </c>
      <c r="C2" t="s">
        <v>1128</v>
      </c>
      <c r="D2" t="s">
        <v>1129</v>
      </c>
      <c r="E2" s="10" t="s">
        <v>66</v>
      </c>
      <c r="F2" s="11" t="s">
        <v>1130</v>
      </c>
      <c r="G2" s="12" t="s">
        <v>1131</v>
      </c>
      <c r="H2" s="17" t="str">
        <f>HYPERLINK("https://www.google.com/maps/?q=46.1029638890001,-64.784166667", "https://www.google.com/maps/?q=46.1029638890001,-64.784166667")</f>
        <v>https://www.google.com/maps/?q=46.1029638890001,-64.784166667</v>
      </c>
      <c r="I2" s="17" t="s">
        <v>1132</v>
      </c>
      <c r="J2" s="55" t="s">
        <v>1133</v>
      </c>
      <c r="K2" s="65" t="s">
        <v>1134</v>
      </c>
    </row>
    <row r="3" spans="1:13" ht="58" x14ac:dyDescent="0.35">
      <c r="A3" t="s">
        <v>1123</v>
      </c>
      <c r="B3" t="s">
        <v>1135</v>
      </c>
      <c r="C3" t="s">
        <v>1124</v>
      </c>
      <c r="D3" t="s">
        <v>1136</v>
      </c>
      <c r="E3" s="10" t="s">
        <v>66</v>
      </c>
      <c r="F3" s="11" t="s">
        <v>1137</v>
      </c>
      <c r="G3" s="12" t="s">
        <v>1138</v>
      </c>
      <c r="H3" s="17" t="str">
        <f>HYPERLINK("https://www.google.com/maps/?q=46.097222222,-64.8375", "https://www.google.com/maps/?q=46.097222222,-64.8375")</f>
        <v>https://www.google.com/maps/?q=46.097222222,-64.8375</v>
      </c>
      <c r="I3" s="113" t="s">
        <v>1139</v>
      </c>
      <c r="J3" s="113" t="s">
        <v>1140</v>
      </c>
      <c r="K3" s="66">
        <v>15068592643</v>
      </c>
      <c r="L3" s="58" t="s">
        <v>1141</v>
      </c>
    </row>
    <row r="4" spans="1:13" ht="58" x14ac:dyDescent="0.35">
      <c r="A4" t="s">
        <v>1142</v>
      </c>
      <c r="B4" t="s">
        <v>1143</v>
      </c>
      <c r="C4" t="s">
        <v>1144</v>
      </c>
      <c r="D4" t="s">
        <v>1145</v>
      </c>
      <c r="E4" s="10" t="s">
        <v>66</v>
      </c>
      <c r="F4" s="11" t="s">
        <v>1146</v>
      </c>
      <c r="G4" s="12" t="s">
        <v>1147</v>
      </c>
      <c r="H4" s="51" t="str">
        <f>HYPERLINK("https://www.google.com/maps/?q=46.088111111,-64.776719444", "https://www.google.com/maps/?q=46.088111111,-64.776719444")</f>
        <v>https://www.google.com/maps/?q=46.088111111,-64.776719444</v>
      </c>
      <c r="I4" s="15" t="s">
        <v>1148</v>
      </c>
      <c r="J4" s="114" t="s">
        <v>1149</v>
      </c>
      <c r="K4" s="89" t="s">
        <v>1150</v>
      </c>
      <c r="L4" s="91" t="s">
        <v>1151</v>
      </c>
    </row>
    <row r="5" spans="1:13" ht="53.25" customHeight="1" x14ac:dyDescent="0.35">
      <c r="A5" t="s">
        <v>1152</v>
      </c>
      <c r="B5" t="s">
        <v>1153</v>
      </c>
      <c r="C5" t="s">
        <v>1154</v>
      </c>
      <c r="D5" t="s">
        <v>1155</v>
      </c>
      <c r="E5" s="10" t="s">
        <v>66</v>
      </c>
      <c r="F5" s="11" t="s">
        <v>1156</v>
      </c>
      <c r="G5" s="12" t="s">
        <v>1138</v>
      </c>
      <c r="H5" s="59" t="s">
        <v>1157</v>
      </c>
      <c r="I5" s="115" t="s">
        <v>1158</v>
      </c>
      <c r="J5" s="92" t="s">
        <v>1159</v>
      </c>
      <c r="K5" s="67" t="s">
        <v>1160</v>
      </c>
      <c r="L5" s="58" t="s">
        <v>1141</v>
      </c>
    </row>
    <row r="6" spans="1:13" ht="43.5" x14ac:dyDescent="0.35">
      <c r="A6" t="s">
        <v>1161</v>
      </c>
      <c r="B6" t="s">
        <v>1162</v>
      </c>
      <c r="C6" t="s">
        <v>1163</v>
      </c>
      <c r="D6" t="s">
        <v>1164</v>
      </c>
      <c r="E6" s="10" t="s">
        <v>66</v>
      </c>
      <c r="F6" s="11" t="s">
        <v>1165</v>
      </c>
      <c r="G6" s="12" t="s">
        <v>1166</v>
      </c>
      <c r="H6" s="17" t="str">
        <f>HYPERLINK("https://www.google.com/maps/?q=45.9187111110001,-66.6313388889999", "https://www.google.com/maps/?q=45.9187111110001,-66.6313388889999")</f>
        <v>https://www.google.com/maps/?q=45.9187111110001,-66.6313388889999</v>
      </c>
      <c r="I6" s="17" t="s">
        <v>1167</v>
      </c>
      <c r="J6" s="113" t="s">
        <v>1168</v>
      </c>
      <c r="K6" s="63">
        <v>15064581248</v>
      </c>
      <c r="L6" s="58" t="s">
        <v>1141</v>
      </c>
    </row>
    <row r="7" spans="1:13" ht="46.5" x14ac:dyDescent="0.35">
      <c r="A7" t="s">
        <v>1169</v>
      </c>
      <c r="B7" t="s">
        <v>1170</v>
      </c>
      <c r="C7" t="s">
        <v>1171</v>
      </c>
      <c r="D7" t="s">
        <v>1172</v>
      </c>
      <c r="E7" s="10" t="s">
        <v>66</v>
      </c>
      <c r="F7" s="11" t="s">
        <v>1173</v>
      </c>
      <c r="G7" s="12" t="s">
        <v>1166</v>
      </c>
      <c r="H7" s="17" t="str">
        <f>HYPERLINK("https://www.google.com/maps/?q=45.9849888890001,-66.6316805559999", "https://www.google.com/maps/?q=45.9849888890001,-66.6316805559999")</f>
        <v>https://www.google.com/maps/?q=45.9849888890001,-66.6316805559999</v>
      </c>
      <c r="I7" s="17" t="s">
        <v>1174</v>
      </c>
      <c r="J7" s="92" t="s">
        <v>1175</v>
      </c>
      <c r="K7" s="70" t="s">
        <v>1176</v>
      </c>
      <c r="L7" s="93" t="s">
        <v>1177</v>
      </c>
      <c r="M7" s="61"/>
    </row>
    <row r="8" spans="1:13" ht="74.25" customHeight="1" x14ac:dyDescent="0.35">
      <c r="A8" t="s">
        <v>1178</v>
      </c>
      <c r="B8" t="s">
        <v>1179</v>
      </c>
      <c r="C8" t="s">
        <v>1180</v>
      </c>
      <c r="D8" t="s">
        <v>1181</v>
      </c>
      <c r="E8" s="10" t="s">
        <v>66</v>
      </c>
      <c r="F8" s="11" t="s">
        <v>1182</v>
      </c>
      <c r="G8" s="12" t="s">
        <v>1166</v>
      </c>
      <c r="H8" s="17" t="str">
        <f>HYPERLINK("https://www.google.com/maps/?q=45.9605611110001,-66.660280556", "https://www.google.com/maps/?q=45.9605611110001,-66.660280556")</f>
        <v>https://www.google.com/maps/?q=45.9605611110001,-66.660280556</v>
      </c>
      <c r="I8" s="60" t="s">
        <v>1183</v>
      </c>
      <c r="J8" s="52" t="s">
        <v>1184</v>
      </c>
      <c r="K8" s="68" t="s">
        <v>1185</v>
      </c>
      <c r="L8" s="62" t="s">
        <v>1186</v>
      </c>
    </row>
    <row r="9" spans="1:13" ht="43.5" x14ac:dyDescent="0.35">
      <c r="A9" t="s">
        <v>1187</v>
      </c>
      <c r="B9" t="s">
        <v>1188</v>
      </c>
      <c r="C9" t="s">
        <v>1189</v>
      </c>
      <c r="D9" t="s">
        <v>1190</v>
      </c>
      <c r="E9" s="10" t="s">
        <v>66</v>
      </c>
      <c r="F9" s="11" t="s">
        <v>1191</v>
      </c>
      <c r="G9" s="12" t="s">
        <v>1166</v>
      </c>
      <c r="H9" s="17" t="str">
        <f>HYPERLINK("https://www.google.com/maps/?q=45.990219444,-66.6696388889999", "https://www.google.com/maps/?q=45.990219444,-66.6696388889999")</f>
        <v>https://www.google.com/maps/?q=45.990219444,-66.6696388889999</v>
      </c>
      <c r="I9" s="28" t="s">
        <v>1192</v>
      </c>
      <c r="J9" s="113" t="s">
        <v>1193</v>
      </c>
      <c r="K9" s="69" t="s">
        <v>1194</v>
      </c>
      <c r="L9" s="78" t="s">
        <v>1195</v>
      </c>
      <c r="M9" s="116" t="s">
        <v>1196</v>
      </c>
    </row>
    <row r="10" spans="1:13" ht="57" x14ac:dyDescent="0.35">
      <c r="A10" t="s">
        <v>1197</v>
      </c>
      <c r="B10" t="s">
        <v>1198</v>
      </c>
      <c r="C10" t="s">
        <v>1199</v>
      </c>
      <c r="D10" t="s">
        <v>1200</v>
      </c>
      <c r="E10" s="10" t="s">
        <v>66</v>
      </c>
      <c r="F10" s="11" t="s">
        <v>1201</v>
      </c>
      <c r="G10" s="12" t="s">
        <v>1166</v>
      </c>
      <c r="H10" s="17" t="str">
        <f>HYPERLINK("https://www.google.com/maps/?q=46.1527694440001,-64.7759305559999", "https://www.google.com/maps/?q=46.1527694440001,-64.7759305559999")</f>
        <v>https://www.google.com/maps/?q=46.1527694440001,-64.7759305559999</v>
      </c>
      <c r="I10" s="28" t="s">
        <v>1202</v>
      </c>
      <c r="J10" s="16" t="s">
        <v>1203</v>
      </c>
      <c r="K10" s="70" t="s">
        <v>1204</v>
      </c>
      <c r="L10" s="58" t="s">
        <v>1141</v>
      </c>
      <c r="M10" s="38">
        <v>70013818</v>
      </c>
    </row>
    <row r="11" spans="1:13" ht="29" hidden="1" x14ac:dyDescent="0.35">
      <c r="A11" t="s">
        <v>1205</v>
      </c>
      <c r="B11" t="s">
        <v>1206</v>
      </c>
      <c r="C11" t="s">
        <v>1207</v>
      </c>
      <c r="D11" t="s">
        <v>1208</v>
      </c>
      <c r="E11" s="10" t="s">
        <v>66</v>
      </c>
      <c r="F11" s="11" t="s">
        <v>1209</v>
      </c>
      <c r="H11" s="17" t="str">
        <f>HYPERLINK("https://www.google.com/maps/?q=45.9710111110001,-66.53155", "https://www.google.com/maps/?q=45.9710111110001,-66.53155")</f>
        <v>https://www.google.com/maps/?q=45.9710111110001,-66.53155</v>
      </c>
      <c r="I11" s="22" t="s">
        <v>1210</v>
      </c>
      <c r="J11" s="12" t="s">
        <v>1211</v>
      </c>
      <c r="K11" s="66"/>
    </row>
    <row r="12" spans="1:13" ht="29" hidden="1" x14ac:dyDescent="0.35">
      <c r="A12" t="s">
        <v>1212</v>
      </c>
      <c r="B12" t="s">
        <v>1213</v>
      </c>
      <c r="C12" t="s">
        <v>1214</v>
      </c>
      <c r="D12" t="s">
        <v>1215</v>
      </c>
      <c r="E12" s="10" t="s">
        <v>66</v>
      </c>
      <c r="F12" s="11" t="s">
        <v>1216</v>
      </c>
      <c r="H12" s="17" t="str">
        <f>HYPERLINK("https://www.google.com/maps/?q=46.101019444,-64.7303111109999", "https://www.google.com/maps/?q=46.101019444,-64.7303111109999")</f>
        <v>https://www.google.com/maps/?q=46.101019444,-64.7303111109999</v>
      </c>
      <c r="I12" s="23" t="s">
        <v>1217</v>
      </c>
      <c r="J12" s="24" t="s">
        <v>1218</v>
      </c>
      <c r="K12" s="66"/>
    </row>
    <row r="13" spans="1:13" ht="29" hidden="1" x14ac:dyDescent="0.35">
      <c r="A13" t="s">
        <v>1219</v>
      </c>
      <c r="B13" t="s">
        <v>1220</v>
      </c>
      <c r="C13" t="s">
        <v>1221</v>
      </c>
      <c r="D13" t="s">
        <v>1222</v>
      </c>
      <c r="E13" s="10" t="s">
        <v>66</v>
      </c>
      <c r="F13" s="11" t="s">
        <v>1223</v>
      </c>
      <c r="H13" s="17" t="str">
        <f>HYPERLINK("https://www.google.com/maps/?q=45.7139000000001,-65.5124999999999", "https://www.google.com/maps/?q=45.7139000000001,-65.5124999999999")</f>
        <v>https://www.google.com/maps/?q=45.7139000000001,-65.5124999999999</v>
      </c>
      <c r="I13" s="23" t="s">
        <v>1224</v>
      </c>
      <c r="K13" s="66"/>
    </row>
    <row r="14" spans="1:13" ht="46.5" x14ac:dyDescent="0.35">
      <c r="A14" t="s">
        <v>1225</v>
      </c>
      <c r="B14" t="s">
        <v>1226</v>
      </c>
      <c r="C14" t="s">
        <v>1227</v>
      </c>
      <c r="D14" t="s">
        <v>1228</v>
      </c>
      <c r="E14" s="10" t="s">
        <v>66</v>
      </c>
      <c r="F14" s="11" t="s">
        <v>1229</v>
      </c>
      <c r="G14" s="12" t="s">
        <v>1138</v>
      </c>
      <c r="H14" s="17" t="str">
        <f>HYPERLINK("https://www.google.com/maps/?q=46.065555556,-64.711666667", "https://www.google.com/maps/?q=46.065555556,-64.711666667")</f>
        <v>https://www.google.com/maps/?q=46.065555556,-64.711666667</v>
      </c>
      <c r="I14" s="17" t="s">
        <v>1230</v>
      </c>
      <c r="J14" s="113" t="s">
        <v>1231</v>
      </c>
      <c r="K14" s="70" t="s">
        <v>1232</v>
      </c>
      <c r="L14" s="96" t="s">
        <v>1233</v>
      </c>
      <c r="M14" s="97" t="s">
        <v>1234</v>
      </c>
    </row>
    <row r="15" spans="1:13" ht="29" hidden="1" x14ac:dyDescent="0.35">
      <c r="A15" t="s">
        <v>1235</v>
      </c>
      <c r="B15" t="s">
        <v>1236</v>
      </c>
      <c r="C15" t="s">
        <v>1237</v>
      </c>
      <c r="D15" t="s">
        <v>1238</v>
      </c>
      <c r="E15" s="10" t="s">
        <v>1125</v>
      </c>
      <c r="F15" s="11" t="s">
        <v>1239</v>
      </c>
      <c r="H15" s="17" t="str">
        <f>HYPERLINK("https://www.google.com/maps/?q=47.0662194440001,-67.756438889", "https://www.google.com/maps/?q=47.0662194440001,-67.756438889")</f>
        <v>https://www.google.com/maps/?q=47.0662194440001,-67.756438889</v>
      </c>
      <c r="I15" s="22" t="s">
        <v>1240</v>
      </c>
      <c r="J15" s="17"/>
      <c r="K15" s="63"/>
    </row>
    <row r="16" spans="1:13" ht="29" x14ac:dyDescent="0.35">
      <c r="A16" t="s">
        <v>1241</v>
      </c>
      <c r="B16" t="s">
        <v>1242</v>
      </c>
      <c r="C16" t="s">
        <v>1243</v>
      </c>
      <c r="D16" t="s">
        <v>1244</v>
      </c>
      <c r="E16" s="10" t="s">
        <v>28</v>
      </c>
      <c r="F16" s="11" t="s">
        <v>1245</v>
      </c>
      <c r="G16" s="12" t="s">
        <v>1166</v>
      </c>
      <c r="H16" s="17" t="str">
        <f>HYPERLINK("https://www.google.com/maps/?q=46.0870972220001,-64.8107916669999", "https://www.google.com/maps/?q=46.0870972220001,-64.8107916669999")</f>
        <v>https://www.google.com/maps/?q=46.0870972220001,-64.8107916669999</v>
      </c>
      <c r="I16" s="25" t="s">
        <v>1246</v>
      </c>
      <c r="J16" s="113" t="s">
        <v>1247</v>
      </c>
      <c r="K16" s="63">
        <v>15063812866</v>
      </c>
      <c r="L16" s="62" t="s">
        <v>1186</v>
      </c>
    </row>
    <row r="17" spans="1:12" ht="29" x14ac:dyDescent="0.35">
      <c r="A17" t="s">
        <v>1248</v>
      </c>
      <c r="B17" t="s">
        <v>1249</v>
      </c>
      <c r="C17" t="s">
        <v>1250</v>
      </c>
      <c r="D17" t="s">
        <v>1251</v>
      </c>
      <c r="E17" s="10" t="s">
        <v>28</v>
      </c>
      <c r="F17" s="11" t="s">
        <v>1252</v>
      </c>
      <c r="G17" s="12" t="s">
        <v>1253</v>
      </c>
      <c r="H17" s="17" t="str">
        <f>HYPERLINK("https://www.google.com/maps/?q=45.9084194440001,-64.3851444439999", "https://www.google.com/maps/?q=45.9084194440001,-64.3851444439999")</f>
        <v>https://www.google.com/maps/?q=45.9084194440001,-64.3851444439999</v>
      </c>
      <c r="I17" s="17" t="s">
        <v>1254</v>
      </c>
      <c r="J17" s="12" t="s">
        <v>1255</v>
      </c>
      <c r="K17" s="66" t="s">
        <v>1256</v>
      </c>
      <c r="L17" s="62" t="s">
        <v>1186</v>
      </c>
    </row>
    <row r="18" spans="1:12" ht="29" hidden="1" x14ac:dyDescent="0.35">
      <c r="A18" t="s">
        <v>1257</v>
      </c>
      <c r="B18" t="s">
        <v>1258</v>
      </c>
      <c r="C18" t="s">
        <v>1259</v>
      </c>
      <c r="D18" t="s">
        <v>1260</v>
      </c>
      <c r="E18" s="10" t="s">
        <v>28</v>
      </c>
      <c r="F18" s="11" t="s">
        <v>1261</v>
      </c>
      <c r="H18" s="17" t="str">
        <f>HYPERLINK("https://www.google.com/maps/?q=46.1714055560001,-64.024891667", "https://www.google.com/maps/?q=46.1714055560001,-64.024891667")</f>
        <v>https://www.google.com/maps/?q=46.1714055560001,-64.024891667</v>
      </c>
      <c r="I18" s="23" t="s">
        <v>1262</v>
      </c>
      <c r="K18" s="66"/>
    </row>
    <row r="19" spans="1:12" ht="29" hidden="1" x14ac:dyDescent="0.35">
      <c r="A19" t="s">
        <v>1263</v>
      </c>
      <c r="B19" t="s">
        <v>1264</v>
      </c>
      <c r="C19" t="s">
        <v>1265</v>
      </c>
      <c r="D19" t="s">
        <v>1266</v>
      </c>
      <c r="E19" s="10" t="s">
        <v>28</v>
      </c>
      <c r="F19" s="11" t="s">
        <v>1267</v>
      </c>
      <c r="H19" s="17" t="str">
        <f>HYPERLINK("https://www.google.com/maps/?q=46.1142472220001,-63.8384694439999", "https://www.google.com/maps/?q=46.1142472220001,-63.8384694439999")</f>
        <v>https://www.google.com/maps/?q=46.1142472220001,-63.8384694439999</v>
      </c>
      <c r="I19" s="23" t="s">
        <v>1262</v>
      </c>
      <c r="J19" s="24"/>
      <c r="K19" s="66"/>
    </row>
    <row r="20" spans="1:12" ht="29" hidden="1" x14ac:dyDescent="0.35">
      <c r="A20" t="s">
        <v>1268</v>
      </c>
      <c r="B20" t="s">
        <v>1269</v>
      </c>
      <c r="C20" t="s">
        <v>1270</v>
      </c>
      <c r="D20" t="s">
        <v>1271</v>
      </c>
      <c r="E20" s="10" t="s">
        <v>28</v>
      </c>
      <c r="F20" s="11" t="s">
        <v>1272</v>
      </c>
      <c r="H20" s="17" t="str">
        <f>HYPERLINK("https://www.google.com/maps/?q=45.920283333,-66.6374", "https://www.google.com/maps/?q=45.920283333,-66.6374")</f>
        <v>https://www.google.com/maps/?q=45.920283333,-66.6374</v>
      </c>
      <c r="I20" s="23" t="s">
        <v>1262</v>
      </c>
      <c r="J20" s="24" t="s">
        <v>1218</v>
      </c>
      <c r="K20" s="66"/>
    </row>
    <row r="21" spans="1:12" ht="29" hidden="1" x14ac:dyDescent="0.35">
      <c r="A21" t="s">
        <v>1273</v>
      </c>
      <c r="B21" t="s">
        <v>1274</v>
      </c>
      <c r="C21" t="s">
        <v>1275</v>
      </c>
      <c r="D21" t="s">
        <v>1276</v>
      </c>
      <c r="E21" s="10" t="s">
        <v>17</v>
      </c>
      <c r="F21" s="11" t="s">
        <v>1277</v>
      </c>
      <c r="H21" s="17" t="str">
        <f>HYPERLINK("https://www.google.com/maps/?q=46.96,-65.794722222", "https://www.google.com/maps/?q=46.96,-65.794722222")</f>
        <v>https://www.google.com/maps/?q=46.96,-65.794722222</v>
      </c>
      <c r="I21" s="23" t="s">
        <v>1262</v>
      </c>
      <c r="K21" s="63"/>
    </row>
    <row r="22" spans="1:12" ht="29" hidden="1" x14ac:dyDescent="0.35">
      <c r="A22" t="s">
        <v>1278</v>
      </c>
      <c r="B22" t="s">
        <v>1279</v>
      </c>
      <c r="C22" t="s">
        <v>1280</v>
      </c>
      <c r="D22" t="s">
        <v>1281</v>
      </c>
      <c r="E22" s="10" t="s">
        <v>17</v>
      </c>
      <c r="F22" s="11" t="s">
        <v>1282</v>
      </c>
      <c r="H22" s="17" t="str">
        <f>HYPERLINK("https://www.google.com/maps/?q=46.4756,-64.7388999999999", "https://www.google.com/maps/?q=46.4756,-64.7388999999999")</f>
        <v>https://www.google.com/maps/?q=46.4756,-64.7388999999999</v>
      </c>
      <c r="I22" s="23" t="s">
        <v>1210</v>
      </c>
      <c r="K22" s="65"/>
    </row>
    <row r="23" spans="1:12" ht="29" hidden="1" x14ac:dyDescent="0.35">
      <c r="A23" t="s">
        <v>1283</v>
      </c>
      <c r="B23" t="s">
        <v>1284</v>
      </c>
      <c r="C23" t="s">
        <v>1285</v>
      </c>
      <c r="D23" t="s">
        <v>1286</v>
      </c>
      <c r="E23" s="10" t="s">
        <v>17</v>
      </c>
      <c r="F23" s="11" t="s">
        <v>1287</v>
      </c>
      <c r="H23" s="17" t="str">
        <f>HYPERLINK("https://www.google.com/maps/?q=46.9081944440001,-65.689833333", "https://www.google.com/maps/?q=46.9081944440001,-65.689833333")</f>
        <v>https://www.google.com/maps/?q=46.9081944440001,-65.689833333</v>
      </c>
      <c r="I23" s="23" t="s">
        <v>1262</v>
      </c>
      <c r="K23" s="65"/>
    </row>
    <row r="24" spans="1:12" ht="29" hidden="1" x14ac:dyDescent="0.35">
      <c r="A24" t="s">
        <v>1288</v>
      </c>
      <c r="B24" t="s">
        <v>1289</v>
      </c>
      <c r="C24" t="s">
        <v>1290</v>
      </c>
      <c r="D24" t="s">
        <v>1291</v>
      </c>
      <c r="E24" s="10" t="s">
        <v>17</v>
      </c>
      <c r="F24" s="11" t="s">
        <v>1292</v>
      </c>
      <c r="H24" s="17" t="str">
        <f>HYPERLINK("https://www.google.com/maps/?q=46.9208,-67.3694", "https://www.google.com/maps/?q=46.9208,-67.3694")</f>
        <v>https://www.google.com/maps/?q=46.9208,-67.3694</v>
      </c>
      <c r="I24" s="23" t="s">
        <v>1262</v>
      </c>
      <c r="K24" s="66"/>
    </row>
    <row r="25" spans="1:12" ht="29" hidden="1" x14ac:dyDescent="0.35">
      <c r="A25" t="s">
        <v>1293</v>
      </c>
      <c r="B25" t="s">
        <v>1294</v>
      </c>
      <c r="C25" t="s">
        <v>1295</v>
      </c>
      <c r="D25" t="s">
        <v>1296</v>
      </c>
      <c r="E25" s="10" t="s">
        <v>17</v>
      </c>
      <c r="F25" s="11" t="s">
        <v>1297</v>
      </c>
      <c r="H25" s="17" t="str">
        <f>HYPERLINK("https://www.google.com/maps/?q=45.337305556,-67.333333333", "https://www.google.com/maps/?q=45.337305556,-67.333333333")</f>
        <v>https://www.google.com/maps/?q=45.337305556,-67.333333333</v>
      </c>
      <c r="I25" s="23" t="s">
        <v>1262</v>
      </c>
      <c r="K25" s="66"/>
    </row>
    <row r="26" spans="1:12" ht="29" hidden="1" x14ac:dyDescent="0.35">
      <c r="A26" t="s">
        <v>1298</v>
      </c>
      <c r="B26" t="s">
        <v>1299</v>
      </c>
      <c r="C26" t="s">
        <v>1300</v>
      </c>
      <c r="D26" t="s">
        <v>1301</v>
      </c>
      <c r="E26" s="10" t="s">
        <v>17</v>
      </c>
      <c r="F26" s="11" t="s">
        <v>1302</v>
      </c>
      <c r="H26" s="17" t="str">
        <f>HYPERLINK("https://www.google.com/maps/?q=46.7358,-65.4186", "https://www.google.com/maps/?q=46.7358,-65.4186")</f>
        <v>https://www.google.com/maps/?q=46.7358,-65.4186</v>
      </c>
      <c r="I26" s="23" t="s">
        <v>1210</v>
      </c>
      <c r="K26" s="66"/>
    </row>
    <row r="27" spans="1:12" ht="29" hidden="1" x14ac:dyDescent="0.35">
      <c r="A27" t="s">
        <v>1303</v>
      </c>
      <c r="B27" t="s">
        <v>1304</v>
      </c>
      <c r="C27" t="s">
        <v>1305</v>
      </c>
      <c r="D27" t="s">
        <v>1306</v>
      </c>
      <c r="E27" s="10" t="s">
        <v>17</v>
      </c>
      <c r="F27" s="11" t="s">
        <v>1307</v>
      </c>
      <c r="H27" s="17" t="str">
        <f>HYPERLINK("https://www.google.com/maps/?q=46.757194444,-67.7594999999999", "https://www.google.com/maps/?q=46.757194444,-67.7594999999999")</f>
        <v>https://www.google.com/maps/?q=46.757194444,-67.7594999999999</v>
      </c>
      <c r="I27" s="23" t="s">
        <v>1262</v>
      </c>
      <c r="K27" s="66"/>
    </row>
    <row r="28" spans="1:12" ht="29" hidden="1" x14ac:dyDescent="0.35">
      <c r="A28" t="s">
        <v>1308</v>
      </c>
      <c r="B28" t="s">
        <v>1309</v>
      </c>
      <c r="C28" t="s">
        <v>1310</v>
      </c>
      <c r="D28" t="s">
        <v>1311</v>
      </c>
      <c r="E28" s="10" t="s">
        <v>50</v>
      </c>
      <c r="F28" s="11" t="s">
        <v>1312</v>
      </c>
      <c r="H28" s="17" t="str">
        <f>HYPERLINK("https://www.google.com/maps/?q=46.547744444,-67.733388889", "https://www.google.com/maps/?q=46.547744444,-67.733388889")</f>
        <v>https://www.google.com/maps/?q=46.547744444,-67.733388889</v>
      </c>
      <c r="I28" s="23" t="s">
        <v>1210</v>
      </c>
      <c r="K28" s="66"/>
    </row>
    <row r="29" spans="1:12" ht="29" hidden="1" x14ac:dyDescent="0.35">
      <c r="A29" t="s">
        <v>1313</v>
      </c>
      <c r="B29" t="s">
        <v>1314</v>
      </c>
      <c r="C29" t="s">
        <v>1315</v>
      </c>
      <c r="D29" t="s">
        <v>1316</v>
      </c>
      <c r="E29" s="10" t="s">
        <v>50</v>
      </c>
      <c r="F29" s="11" t="s">
        <v>1317</v>
      </c>
      <c r="G29" s="17"/>
      <c r="H29" s="17" t="str">
        <f>HYPERLINK("https://www.google.com/maps/?q=46.0986,-64.7367", "https://www.google.com/maps/?q=46.0986,-64.7367")</f>
        <v>https://www.google.com/maps/?q=46.0986,-64.7367</v>
      </c>
      <c r="I29" s="17" t="s">
        <v>1318</v>
      </c>
      <c r="J29" s="17"/>
      <c r="K29" s="63"/>
      <c r="L29" s="47"/>
    </row>
    <row r="30" spans="1:12" ht="29" hidden="1" x14ac:dyDescent="0.35">
      <c r="A30" t="s">
        <v>1319</v>
      </c>
      <c r="B30" t="s">
        <v>1320</v>
      </c>
      <c r="C30" t="s">
        <v>1321</v>
      </c>
      <c r="D30" t="s">
        <v>1322</v>
      </c>
      <c r="E30" s="10" t="s">
        <v>50</v>
      </c>
      <c r="F30" s="11" t="s">
        <v>1323</v>
      </c>
      <c r="H30" s="17" t="str">
        <f>HYPERLINK("https://www.google.com/maps/?q=45.829666667,-66.230027778", "https://www.google.com/maps/?q=45.829666667,-66.230027778")</f>
        <v>https://www.google.com/maps/?q=45.829666667,-66.230027778</v>
      </c>
      <c r="I30" s="23" t="s">
        <v>1262</v>
      </c>
      <c r="K30" s="63"/>
    </row>
    <row r="31" spans="1:12" ht="29" x14ac:dyDescent="0.35">
      <c r="A31" t="s">
        <v>1324</v>
      </c>
      <c r="B31" t="s">
        <v>1325</v>
      </c>
      <c r="C31" t="s">
        <v>1326</v>
      </c>
      <c r="D31" t="s">
        <v>1327</v>
      </c>
      <c r="E31" s="10" t="s">
        <v>50</v>
      </c>
      <c r="F31" s="11" t="s">
        <v>1328</v>
      </c>
      <c r="H31" s="17" t="str">
        <f>HYPERLINK("https://www.google.com/maps/?q=45.8959972220001,-66.5917527779999", "https://www.google.com/maps/?q=45.8959972220001,-66.5917527779999")</f>
        <v>https://www.google.com/maps/?q=45.8959972220001,-66.5917527779999</v>
      </c>
      <c r="I31" s="17" t="s">
        <v>1329</v>
      </c>
      <c r="K31" s="63">
        <v>15064529090</v>
      </c>
    </row>
    <row r="32" spans="1:12" ht="29" hidden="1" x14ac:dyDescent="0.35">
      <c r="A32" t="s">
        <v>1330</v>
      </c>
      <c r="B32" t="s">
        <v>1331</v>
      </c>
      <c r="C32" t="s">
        <v>1332</v>
      </c>
      <c r="D32" t="s">
        <v>1333</v>
      </c>
      <c r="E32" s="10" t="s">
        <v>50</v>
      </c>
      <c r="F32" s="11" t="s">
        <v>1334</v>
      </c>
      <c r="H32" s="51" t="str">
        <f>HYPERLINK("https://www.google.com/maps/?q=45.8948111110001,-66.7731666669999", "https://www.google.com/maps/?q=45.8948111110001,-66.7731666669999")</f>
        <v>https://www.google.com/maps/?q=45.8948111110001,-66.7731666669999</v>
      </c>
      <c r="I32" s="23" t="s">
        <v>1210</v>
      </c>
      <c r="K32" s="63"/>
    </row>
    <row r="33" spans="1:12" ht="29" x14ac:dyDescent="0.35">
      <c r="A33" t="s">
        <v>1335</v>
      </c>
      <c r="B33" t="s">
        <v>1336</v>
      </c>
      <c r="C33" t="s">
        <v>1337</v>
      </c>
      <c r="D33" t="s">
        <v>1338</v>
      </c>
      <c r="E33" s="10" t="s">
        <v>50</v>
      </c>
      <c r="F33" s="11" t="s">
        <v>1339</v>
      </c>
      <c r="G33" s="12" t="s">
        <v>1166</v>
      </c>
      <c r="H33" s="17" t="str">
        <f>HYPERLINK("https://www.google.com/maps/?q=46.0750166670001,-64.8306361109999", "https://www.google.com/maps/?q=46.0750166670001,-64.8306361109999")</f>
        <v>https://www.google.com/maps/?q=46.0750166670001,-64.8306361109999</v>
      </c>
      <c r="I33" s="17" t="s">
        <v>1340</v>
      </c>
      <c r="K33" s="63" t="s">
        <v>1341</v>
      </c>
    </row>
    <row r="34" spans="1:12" ht="29" hidden="1" x14ac:dyDescent="0.35">
      <c r="A34" t="s">
        <v>1342</v>
      </c>
      <c r="B34" t="s">
        <v>1343</v>
      </c>
      <c r="C34" t="s">
        <v>1344</v>
      </c>
      <c r="D34" t="s">
        <v>1345</v>
      </c>
      <c r="E34" s="10" t="s">
        <v>50</v>
      </c>
      <c r="F34" s="11" t="s">
        <v>1223</v>
      </c>
      <c r="H34" s="17" t="str">
        <f>HYPERLINK("https://www.google.com/maps/?q=45.7140805560001,-65.512597222", "https://www.google.com/maps/?q=45.7140805560001,-65.512597222")</f>
        <v>https://www.google.com/maps/?q=45.7140805560001,-65.512597222</v>
      </c>
      <c r="I34" s="23" t="s">
        <v>1210</v>
      </c>
      <c r="K34" s="63"/>
    </row>
    <row r="35" spans="1:12" ht="29" hidden="1" x14ac:dyDescent="0.35">
      <c r="A35" t="s">
        <v>1346</v>
      </c>
      <c r="B35" t="s">
        <v>1347</v>
      </c>
      <c r="C35" t="s">
        <v>1348</v>
      </c>
      <c r="D35" t="s">
        <v>1349</v>
      </c>
      <c r="E35" s="10" t="s">
        <v>50</v>
      </c>
      <c r="F35" s="11" t="s">
        <v>1350</v>
      </c>
      <c r="H35" s="17" t="str">
        <f>HYPERLINK("https://www.google.com/maps/?q=46.1641777780001,-64.910569444", "https://www.google.com/maps/?q=46.1641777780001,-64.910569444")</f>
        <v>https://www.google.com/maps/?q=46.1641777780001,-64.910569444</v>
      </c>
      <c r="I35" s="23" t="s">
        <v>1210</v>
      </c>
      <c r="K35" s="63"/>
    </row>
    <row r="36" spans="1:12" ht="31" x14ac:dyDescent="0.35">
      <c r="A36" t="s">
        <v>1351</v>
      </c>
      <c r="B36" t="s">
        <v>1352</v>
      </c>
      <c r="C36" t="s">
        <v>1353</v>
      </c>
      <c r="D36" t="s">
        <v>1354</v>
      </c>
      <c r="E36" s="10" t="s">
        <v>50</v>
      </c>
      <c r="F36" s="11" t="s">
        <v>1355</v>
      </c>
      <c r="G36" s="12" t="s">
        <v>1356</v>
      </c>
      <c r="H36" s="17" t="str">
        <f>HYPERLINK("https://www.google.com/maps/?q=45.3691027780001,-65.996483333", "https://www.google.com/maps/?q=45.3691027780001,-65.996483333")</f>
        <v>https://www.google.com/maps/?q=45.3691027780001,-65.996483333</v>
      </c>
      <c r="I36" s="17" t="s">
        <v>1357</v>
      </c>
      <c r="J36" s="112" t="s">
        <v>1358</v>
      </c>
      <c r="K36" s="69" t="s">
        <v>1359</v>
      </c>
    </row>
    <row r="37" spans="1:12" ht="29" hidden="1" x14ac:dyDescent="0.35">
      <c r="A37" t="s">
        <v>1360</v>
      </c>
      <c r="B37" t="s">
        <v>1361</v>
      </c>
      <c r="C37" t="s">
        <v>1362</v>
      </c>
      <c r="D37" t="s">
        <v>1363</v>
      </c>
      <c r="E37" s="10" t="s">
        <v>50</v>
      </c>
      <c r="F37" s="11" t="s">
        <v>1307</v>
      </c>
      <c r="H37" s="17" t="str">
        <f>HYPERLINK("https://www.google.com/maps/?q=46.7571888890001,-67.7594861109999", "https://www.google.com/maps/?q=46.7571888890001,-67.7594861109999")</f>
        <v>https://www.google.com/maps/?q=46.7571888890001,-67.7594861109999</v>
      </c>
      <c r="I37" s="23" t="s">
        <v>1210</v>
      </c>
      <c r="K37" s="63"/>
    </row>
    <row r="38" spans="1:12" ht="29" hidden="1" x14ac:dyDescent="0.35">
      <c r="A38" t="s">
        <v>1364</v>
      </c>
      <c r="B38" t="s">
        <v>1365</v>
      </c>
      <c r="C38" t="s">
        <v>1366</v>
      </c>
      <c r="D38" t="s">
        <v>1367</v>
      </c>
      <c r="E38" s="10" t="s">
        <v>50</v>
      </c>
      <c r="F38" s="11" t="s">
        <v>1368</v>
      </c>
      <c r="H38" s="17" t="str">
        <f>HYPERLINK("https://www.google.com/maps/?q=46.0502361110001,-65.0772666669999", "https://www.google.com/maps/?q=46.0502361110001,-65.0772666669999")</f>
        <v>https://www.google.com/maps/?q=46.0502361110001,-65.0772666669999</v>
      </c>
      <c r="I38" s="23" t="s">
        <v>1210</v>
      </c>
      <c r="K38" s="63"/>
    </row>
    <row r="39" spans="1:12" ht="29" x14ac:dyDescent="0.35">
      <c r="A39" t="s">
        <v>1369</v>
      </c>
      <c r="B39" t="s">
        <v>1370</v>
      </c>
      <c r="C39" t="s">
        <v>1371</v>
      </c>
      <c r="D39" t="s">
        <v>1372</v>
      </c>
      <c r="E39" s="10" t="s">
        <v>50</v>
      </c>
      <c r="F39" s="11" t="s">
        <v>1373</v>
      </c>
      <c r="G39" s="12" t="s">
        <v>1166</v>
      </c>
      <c r="H39" s="17" t="str">
        <f>HYPERLINK("https://www.google.com/maps/?q=45.2506388890001,-66.099522222", "https://www.google.com/maps/?q=45.2506388890001,-66.099522222")</f>
        <v>https://www.google.com/maps/?q=45.2506388890001,-66.099522222</v>
      </c>
      <c r="I39" s="17" t="s">
        <v>1374</v>
      </c>
      <c r="J39" s="19" t="s">
        <v>1375</v>
      </c>
      <c r="K39" s="63" t="s">
        <v>1376</v>
      </c>
      <c r="L39" s="111" t="s">
        <v>1377</v>
      </c>
    </row>
    <row r="40" spans="1:12" ht="29" hidden="1" x14ac:dyDescent="0.35">
      <c r="A40" t="s">
        <v>1378</v>
      </c>
      <c r="B40" t="s">
        <v>1379</v>
      </c>
      <c r="C40" t="s">
        <v>1380</v>
      </c>
      <c r="D40" t="s">
        <v>1381</v>
      </c>
      <c r="E40" s="10" t="s">
        <v>50</v>
      </c>
      <c r="F40" s="11" t="s">
        <v>1382</v>
      </c>
      <c r="H40" s="17" t="str">
        <f>HYPERLINK("https://www.google.com/maps/?q=46.063777778,-66.581638889", "https://www.google.com/maps/?q=46.063777778,-66.581638889")</f>
        <v>https://www.google.com/maps/?q=46.063777778,-66.581638889</v>
      </c>
      <c r="I40" s="23" t="s">
        <v>1210</v>
      </c>
      <c r="K40" s="63"/>
    </row>
    <row r="41" spans="1:12" ht="29" hidden="1" x14ac:dyDescent="0.35">
      <c r="A41" t="s">
        <v>1383</v>
      </c>
      <c r="B41" t="s">
        <v>1384</v>
      </c>
      <c r="C41" t="s">
        <v>1385</v>
      </c>
      <c r="D41" t="s">
        <v>1386</v>
      </c>
      <c r="E41" s="10" t="s">
        <v>50</v>
      </c>
      <c r="F41" s="11" t="s">
        <v>1387</v>
      </c>
      <c r="H41" s="17" t="str">
        <f>HYPERLINK("https://www.google.com/maps/?q=45.842305556,-66.0147777779999", "https://www.google.com/maps/?q=45.842305556,-66.0147777779999")</f>
        <v>https://www.google.com/maps/?q=45.842305556,-66.0147777779999</v>
      </c>
      <c r="I41" s="17" t="s">
        <v>1210</v>
      </c>
      <c r="K41" s="63"/>
    </row>
    <row r="42" spans="1:12" ht="29" hidden="1" x14ac:dyDescent="0.35">
      <c r="A42" t="s">
        <v>1388</v>
      </c>
      <c r="B42" t="s">
        <v>1389</v>
      </c>
      <c r="C42" t="s">
        <v>1390</v>
      </c>
      <c r="D42" t="s">
        <v>1391</v>
      </c>
      <c r="E42" s="10" t="s">
        <v>50</v>
      </c>
      <c r="F42" s="11" t="s">
        <v>1392</v>
      </c>
      <c r="H42" s="17" t="str">
        <f>HYPERLINK("https://www.google.com/maps/?q=46.0964083330001,-64.8096027779999", "https://www.google.com/maps/?q=46.0964083330001,-64.8096027779999")</f>
        <v>https://www.google.com/maps/?q=46.0964083330001,-64.8096027779999</v>
      </c>
      <c r="I42" s="23" t="s">
        <v>1393</v>
      </c>
      <c r="J42" s="19" t="s">
        <v>1394</v>
      </c>
      <c r="K42" s="63"/>
    </row>
    <row r="43" spans="1:12" ht="29" x14ac:dyDescent="0.35">
      <c r="A43" t="s">
        <v>1395</v>
      </c>
      <c r="B43" t="s">
        <v>1396</v>
      </c>
      <c r="C43" t="s">
        <v>1397</v>
      </c>
      <c r="D43" t="s">
        <v>1398</v>
      </c>
      <c r="E43" s="10" t="s">
        <v>50</v>
      </c>
      <c r="F43" s="11" t="s">
        <v>1399</v>
      </c>
      <c r="G43" s="12" t="s">
        <v>1356</v>
      </c>
      <c r="H43" s="17" t="str">
        <f>HYPERLINK("https://www.google.com/maps/?q=45.8527861110001,-66.44575", "https://www.google.com/maps/?q=45.8527861110001,-66.44575")</f>
        <v>https://www.google.com/maps/?q=45.8527861110001,-66.44575</v>
      </c>
      <c r="I43" s="17" t="s">
        <v>1400</v>
      </c>
      <c r="J43" s="12" t="s">
        <v>1401</v>
      </c>
      <c r="K43" s="63">
        <v>15064222000</v>
      </c>
      <c r="L43" s="111" t="s">
        <v>1377</v>
      </c>
    </row>
    <row r="44" spans="1:12" ht="29" hidden="1" x14ac:dyDescent="0.35">
      <c r="A44" t="s">
        <v>1402</v>
      </c>
      <c r="B44" t="s">
        <v>1403</v>
      </c>
      <c r="C44" t="s">
        <v>1404</v>
      </c>
      <c r="D44" t="s">
        <v>1405</v>
      </c>
      <c r="E44" s="10" t="s">
        <v>50</v>
      </c>
      <c r="F44" s="11" t="s">
        <v>1406</v>
      </c>
      <c r="H44" s="17" t="str">
        <f>HYPERLINK("https://www.google.com/maps/?q=46.130025,-64.912505556", "https://www.google.com/maps/?q=46.130025,-64.912505556")</f>
        <v>https://www.google.com/maps/?q=46.130025,-64.912505556</v>
      </c>
      <c r="I44" s="23" t="s">
        <v>1210</v>
      </c>
      <c r="K44" s="63"/>
    </row>
    <row r="45" spans="1:12" ht="29" hidden="1" x14ac:dyDescent="0.35">
      <c r="A45" t="s">
        <v>1407</v>
      </c>
      <c r="B45" t="s">
        <v>1408</v>
      </c>
      <c r="C45" t="s">
        <v>1409</v>
      </c>
      <c r="D45" t="s">
        <v>1410</v>
      </c>
      <c r="E45" s="10" t="s">
        <v>50</v>
      </c>
      <c r="F45" s="11" t="s">
        <v>1411</v>
      </c>
      <c r="H45" s="51" t="str">
        <f>HYPERLINK("https://www.google.com/maps/?q=45.2717000000001,-65.9963999999999", "https://www.google.com/maps/?q=45.2717000000001,-65.9963999999999")</f>
        <v>https://www.google.com/maps/?q=45.2717000000001,-65.9963999999999</v>
      </c>
      <c r="I45" s="23" t="s">
        <v>1210</v>
      </c>
      <c r="K45" s="63"/>
    </row>
    <row r="46" spans="1:12" ht="31" x14ac:dyDescent="0.35">
      <c r="A46" t="s">
        <v>1412</v>
      </c>
      <c r="B46" t="s">
        <v>1413</v>
      </c>
      <c r="C46" t="s">
        <v>1414</v>
      </c>
      <c r="D46" t="s">
        <v>1415</v>
      </c>
      <c r="E46" s="10" t="s">
        <v>50</v>
      </c>
      <c r="F46" s="11" t="s">
        <v>1416</v>
      </c>
      <c r="G46" s="12" t="s">
        <v>1147</v>
      </c>
      <c r="H46" s="51" t="str">
        <f>HYPERLINK("https://www.google.com/maps/?q=45.943052778,-66.648861111", "https://www.google.com/maps/?q=45.943052778,-66.648861111")</f>
        <v>https://www.google.com/maps/?q=45.943052778,-66.648861111</v>
      </c>
      <c r="I46" s="17" t="s">
        <v>1417</v>
      </c>
      <c r="K46" s="69" t="s">
        <v>1418</v>
      </c>
    </row>
    <row r="47" spans="1:12" ht="29" hidden="1" x14ac:dyDescent="0.35">
      <c r="A47" t="s">
        <v>1419</v>
      </c>
      <c r="B47" t="s">
        <v>1420</v>
      </c>
      <c r="C47" t="s">
        <v>1421</v>
      </c>
      <c r="D47" t="s">
        <v>1422</v>
      </c>
      <c r="E47" s="10" t="s">
        <v>50</v>
      </c>
      <c r="F47" s="11" t="s">
        <v>1423</v>
      </c>
      <c r="H47" s="17" t="str">
        <f>HYPERLINK("https://www.google.com/maps/?q=45.170888889,-66.908083333", "https://www.google.com/maps/?q=45.170888889,-66.908083333")</f>
        <v>https://www.google.com/maps/?q=45.170888889,-66.908083333</v>
      </c>
      <c r="I47" s="23" t="s">
        <v>1262</v>
      </c>
      <c r="K47" s="63"/>
    </row>
    <row r="48" spans="1:12" ht="29" hidden="1" x14ac:dyDescent="0.35">
      <c r="A48" t="s">
        <v>1424</v>
      </c>
      <c r="B48" t="s">
        <v>1425</v>
      </c>
      <c r="C48" t="s">
        <v>1426</v>
      </c>
      <c r="D48" t="s">
        <v>1427</v>
      </c>
      <c r="E48" s="10" t="s">
        <v>50</v>
      </c>
      <c r="F48" s="11" t="s">
        <v>1428</v>
      </c>
      <c r="H48" s="17" t="str">
        <f>HYPERLINK("https://www.google.com/maps/?q=47.846561111,-65.88015", "https://www.google.com/maps/?q=47.846561111,-65.88015")</f>
        <v>https://www.google.com/maps/?q=47.846561111,-65.88015</v>
      </c>
      <c r="I48" s="23" t="s">
        <v>1262</v>
      </c>
      <c r="K48" s="63"/>
    </row>
    <row r="49" spans="1:12" ht="29" hidden="1" x14ac:dyDescent="0.35">
      <c r="A49" t="s">
        <v>1429</v>
      </c>
      <c r="B49" t="s">
        <v>1430</v>
      </c>
      <c r="C49" t="s">
        <v>1431</v>
      </c>
      <c r="D49" t="s">
        <v>1432</v>
      </c>
      <c r="E49" s="10" t="s">
        <v>50</v>
      </c>
      <c r="F49" s="11" t="s">
        <v>1433</v>
      </c>
      <c r="H49" s="17" t="str">
        <f>HYPERLINK("https://www.google.com/maps/?q=47.6748027780001,-65.6975555559999", "https://www.google.com/maps/?q=47.6748027780001,-65.6975555559999")</f>
        <v>https://www.google.com/maps/?q=47.6748027780001,-65.6975555559999</v>
      </c>
      <c r="I49" s="17" t="s">
        <v>1262</v>
      </c>
      <c r="K49" s="63"/>
    </row>
    <row r="50" spans="1:12" ht="31" x14ac:dyDescent="0.35">
      <c r="A50" t="s">
        <v>1434</v>
      </c>
      <c r="B50" t="s">
        <v>1435</v>
      </c>
      <c r="C50" t="s">
        <v>1436</v>
      </c>
      <c r="D50" t="s">
        <v>1437</v>
      </c>
      <c r="E50" s="10" t="s">
        <v>50</v>
      </c>
      <c r="F50" s="11" t="s">
        <v>1191</v>
      </c>
      <c r="G50" s="12" t="s">
        <v>1166</v>
      </c>
      <c r="H50" s="51" t="str">
        <f>HYPERLINK("https://www.google.com/maps/?q=45.990069444,-66.669980556", "https://www.google.com/maps/?q=45.990069444,-66.669980556")</f>
        <v>https://www.google.com/maps/?q=45.990069444,-66.669980556</v>
      </c>
      <c r="I50" s="17" t="s">
        <v>1438</v>
      </c>
      <c r="J50" s="12" t="s">
        <v>1439</v>
      </c>
      <c r="K50" s="69" t="s">
        <v>1194</v>
      </c>
      <c r="L50" s="111" t="s">
        <v>1377</v>
      </c>
    </row>
    <row r="51" spans="1:12" ht="31" x14ac:dyDescent="0.35">
      <c r="A51" t="s">
        <v>1440</v>
      </c>
      <c r="B51" t="s">
        <v>1441</v>
      </c>
      <c r="C51" t="s">
        <v>1442</v>
      </c>
      <c r="D51" t="s">
        <v>1443</v>
      </c>
      <c r="E51" s="10" t="s">
        <v>50</v>
      </c>
      <c r="F51" s="11" t="s">
        <v>1444</v>
      </c>
      <c r="G51" s="12" t="s">
        <v>1356</v>
      </c>
      <c r="H51" s="17" t="str">
        <f>HYPERLINK("https://www.google.com/maps/?q=46.09205,-64.852183333", "https://www.google.com/maps/?q=46.09205,-64.852183333")</f>
        <v>https://www.google.com/maps/?q=46.09205,-64.852183333</v>
      </c>
      <c r="I51" s="17" t="s">
        <v>1445</v>
      </c>
      <c r="K51" s="69" t="s">
        <v>1446</v>
      </c>
      <c r="L51" s="111" t="s">
        <v>1377</v>
      </c>
    </row>
    <row r="52" spans="1:12" ht="29" x14ac:dyDescent="0.35">
      <c r="A52" t="s">
        <v>1447</v>
      </c>
      <c r="B52" t="s">
        <v>1448</v>
      </c>
      <c r="C52" t="s">
        <v>1449</v>
      </c>
      <c r="D52" t="s">
        <v>1450</v>
      </c>
      <c r="E52" s="10" t="s">
        <v>28</v>
      </c>
      <c r="F52" s="11" t="s">
        <v>1451</v>
      </c>
      <c r="G52" s="12" t="s">
        <v>1166</v>
      </c>
      <c r="H52" s="17" t="str">
        <f>HYPERLINK("https://www.google.com/maps/?q=46.1010944440001,-64.767483333", "https://www.google.com/maps/?q=46.1010944440001,-64.767483333")</f>
        <v>https://www.google.com/maps/?q=46.1010944440001,-64.767483333</v>
      </c>
      <c r="I52" s="17" t="s">
        <v>1452</v>
      </c>
      <c r="K52" s="63">
        <v>15068524247</v>
      </c>
    </row>
    <row r="53" spans="1:12" ht="29" hidden="1" x14ac:dyDescent="0.35">
      <c r="A53" t="s">
        <v>1453</v>
      </c>
      <c r="B53" t="s">
        <v>1454</v>
      </c>
      <c r="C53" t="s">
        <v>1455</v>
      </c>
      <c r="D53" t="s">
        <v>1456</v>
      </c>
      <c r="E53" s="10" t="s">
        <v>28</v>
      </c>
      <c r="F53" s="11" t="s">
        <v>1457</v>
      </c>
      <c r="H53" s="17" t="str">
        <f>HYPERLINK("https://www.google.com/maps/?q=46.015233333,-66.2344555559999", "https://www.google.com/maps/?q=46.015233333,-66.2344555559999")</f>
        <v>https://www.google.com/maps/?q=46.015233333,-66.2344555559999</v>
      </c>
      <c r="I53" s="23" t="s">
        <v>1262</v>
      </c>
      <c r="K53" s="63"/>
    </row>
    <row r="54" spans="1:12" ht="29" x14ac:dyDescent="0.35">
      <c r="A54" t="s">
        <v>1458</v>
      </c>
      <c r="B54" t="s">
        <v>1459</v>
      </c>
      <c r="C54" t="s">
        <v>1460</v>
      </c>
      <c r="D54" t="s">
        <v>1461</v>
      </c>
      <c r="E54" s="10" t="s">
        <v>28</v>
      </c>
      <c r="F54" s="11" t="s">
        <v>1462</v>
      </c>
      <c r="G54" s="12" t="s">
        <v>1147</v>
      </c>
      <c r="H54" s="17" t="str">
        <f>HYPERLINK("https://www.google.com/maps/?q=45.9614388890001,-66.6440527779999", "https://www.google.com/maps/?q=45.9614388890001,-66.6440527779999")</f>
        <v>https://www.google.com/maps/?q=45.9614388890001,-66.6440527779999</v>
      </c>
      <c r="I54" s="17" t="s">
        <v>1463</v>
      </c>
      <c r="J54" s="26" t="s">
        <v>1464</v>
      </c>
      <c r="K54" s="63">
        <v>15064588395</v>
      </c>
      <c r="L54" s="62" t="s">
        <v>1186</v>
      </c>
    </row>
    <row r="55" spans="1:12" ht="29" x14ac:dyDescent="0.35">
      <c r="A55" t="s">
        <v>1465</v>
      </c>
      <c r="B55" t="s">
        <v>1466</v>
      </c>
      <c r="C55" t="s">
        <v>1467</v>
      </c>
      <c r="D55" t="s">
        <v>1468</v>
      </c>
      <c r="E55" s="10" t="s">
        <v>28</v>
      </c>
      <c r="F55" s="11" t="s">
        <v>1469</v>
      </c>
      <c r="G55" s="12" t="s">
        <v>1253</v>
      </c>
      <c r="H55" s="17" t="str">
        <f>HYPERLINK("https://www.google.com/maps/?q=46.1252416670001,-64.7640749999999", "https://www.google.com/maps/?q=46.1252416670001,-64.7640749999999")</f>
        <v>https://www.google.com/maps/?q=46.1252416670001,-64.7640749999999</v>
      </c>
      <c r="I55" s="17" t="s">
        <v>1470</v>
      </c>
      <c r="J55" s="17" t="s">
        <v>1471</v>
      </c>
      <c r="K55" s="63">
        <v>15068579054</v>
      </c>
    </row>
    <row r="56" spans="1:12" ht="29" x14ac:dyDescent="0.35">
      <c r="A56" t="s">
        <v>1472</v>
      </c>
      <c r="B56" t="s">
        <v>1473</v>
      </c>
      <c r="C56" t="s">
        <v>1474</v>
      </c>
      <c r="D56" t="s">
        <v>1475</v>
      </c>
      <c r="E56" s="10" t="s">
        <v>28</v>
      </c>
      <c r="F56" s="11" t="s">
        <v>1476</v>
      </c>
      <c r="G56" s="12" t="s">
        <v>1147</v>
      </c>
      <c r="H56" s="17" t="str">
        <f>HYPERLINK("https://www.google.com/maps/?q=46.1047194440001,-64.8055555559999", "https://www.google.com/maps/?q=46.1047194440001,-64.8055555559999")</f>
        <v>https://www.google.com/maps/?q=46.1047194440001,-64.8055555559999</v>
      </c>
      <c r="I56" s="17" t="s">
        <v>1477</v>
      </c>
      <c r="J56" s="12" t="s">
        <v>1478</v>
      </c>
      <c r="K56" s="63">
        <v>15068575111</v>
      </c>
      <c r="L56" s="111" t="s">
        <v>1377</v>
      </c>
    </row>
    <row r="57" spans="1:12" ht="29" hidden="1" x14ac:dyDescent="0.35">
      <c r="A57" t="s">
        <v>1479</v>
      </c>
      <c r="B57" t="s">
        <v>1480</v>
      </c>
      <c r="C57" t="s">
        <v>1481</v>
      </c>
      <c r="D57" t="s">
        <v>1482</v>
      </c>
      <c r="E57" s="10" t="s">
        <v>66</v>
      </c>
      <c r="F57" s="11" t="s">
        <v>1483</v>
      </c>
      <c r="H57" s="17" t="str">
        <f>HYPERLINK("https://www.google.com/maps/?q=45.9924972220001,-64.499441667", "https://www.google.com/maps/?q=45.9924972220001,-64.499441667")</f>
        <v>https://www.google.com/maps/?q=45.9924972220001,-64.499441667</v>
      </c>
      <c r="I57" s="23" t="s">
        <v>1210</v>
      </c>
      <c r="K57" s="63"/>
    </row>
    <row r="58" spans="1:12" ht="29" hidden="1" x14ac:dyDescent="0.35">
      <c r="A58" t="s">
        <v>1484</v>
      </c>
      <c r="B58" t="s">
        <v>1485</v>
      </c>
      <c r="C58" t="s">
        <v>1486</v>
      </c>
      <c r="D58" t="s">
        <v>1487</v>
      </c>
      <c r="E58" s="10" t="s">
        <v>66</v>
      </c>
      <c r="F58" s="11" t="s">
        <v>1488</v>
      </c>
      <c r="H58" s="17" t="str">
        <f>HYPERLINK("https://www.google.com/maps/?q=45.8694,-66.6103388889999", "https://www.google.com/maps/?q=45.8694,-66.6103388889999")</f>
        <v>https://www.google.com/maps/?q=45.8694,-66.6103388889999</v>
      </c>
      <c r="I58" s="23" t="s">
        <v>1262</v>
      </c>
      <c r="K58" s="63"/>
    </row>
    <row r="59" spans="1:12" ht="29" hidden="1" x14ac:dyDescent="0.35">
      <c r="A59" t="s">
        <v>1489</v>
      </c>
      <c r="B59" t="s">
        <v>1490</v>
      </c>
      <c r="C59" t="s">
        <v>1491</v>
      </c>
      <c r="D59" t="s">
        <v>1492</v>
      </c>
      <c r="E59" s="10" t="s">
        <v>66</v>
      </c>
      <c r="F59" s="11" t="s">
        <v>1493</v>
      </c>
      <c r="H59" s="17" t="str">
        <f>HYPERLINK("https://www.google.com/maps/?q=45.438,-65.9", "https://www.google.com/maps/?q=45.438,-65.9")</f>
        <v>https://www.google.com/maps/?q=45.438,-65.9</v>
      </c>
      <c r="I59" s="23" t="s">
        <v>1262</v>
      </c>
      <c r="K59" s="63"/>
    </row>
    <row r="60" spans="1:12" ht="29" hidden="1" x14ac:dyDescent="0.35">
      <c r="A60" t="s">
        <v>1494</v>
      </c>
      <c r="B60" t="s">
        <v>1495</v>
      </c>
      <c r="C60" t="s">
        <v>1496</v>
      </c>
      <c r="D60" t="s">
        <v>1497</v>
      </c>
      <c r="E60" s="10" t="s">
        <v>66</v>
      </c>
      <c r="F60" s="11" t="s">
        <v>1498</v>
      </c>
      <c r="H60" s="17" t="str">
        <f>HYPERLINK("https://www.google.com/maps/?q=45.9909500000001,-66.7568388889999", "https://www.google.com/maps/?q=45.9909500000001,-66.7568388889999")</f>
        <v>https://www.google.com/maps/?q=45.9909500000001,-66.7568388889999</v>
      </c>
      <c r="I60" s="23" t="s">
        <v>1499</v>
      </c>
      <c r="K60" s="63"/>
    </row>
    <row r="61" spans="1:12" ht="29" x14ac:dyDescent="0.35">
      <c r="A61" t="s">
        <v>1500</v>
      </c>
      <c r="B61" t="s">
        <v>1501</v>
      </c>
      <c r="C61" t="s">
        <v>1502</v>
      </c>
      <c r="D61" t="s">
        <v>1503</v>
      </c>
      <c r="E61" s="10" t="s">
        <v>1109</v>
      </c>
      <c r="F61" s="11" t="s">
        <v>1504</v>
      </c>
      <c r="H61" s="17" t="str">
        <f>HYPERLINK("https://www.google.com/maps/?q=47.3686111110001,-68.356388889", "https://www.google.com/maps/?q=47.3686111110001,-68.356388889")</f>
        <v>https://www.google.com/maps/?q=47.3686111110001,-68.356388889</v>
      </c>
      <c r="K61" s="63"/>
    </row>
    <row r="62" spans="1:12" ht="29" x14ac:dyDescent="0.35">
      <c r="A62" t="s">
        <v>1505</v>
      </c>
      <c r="B62" t="s">
        <v>1506</v>
      </c>
      <c r="C62" t="s">
        <v>1507</v>
      </c>
      <c r="D62" t="s">
        <v>1508</v>
      </c>
      <c r="E62" s="10" t="s">
        <v>28</v>
      </c>
      <c r="F62" s="11" t="s">
        <v>1509</v>
      </c>
      <c r="H62" s="17" t="str">
        <f>HYPERLINK("https://www.google.com/maps/?q=45.2527777780001,-66.078027778", "https://www.google.com/maps/?q=45.2527777780001,-66.078027778")</f>
        <v>https://www.google.com/maps/?q=45.2527777780001,-66.078027778</v>
      </c>
      <c r="K62" s="63"/>
    </row>
    <row r="63" spans="1:12" ht="43.5" x14ac:dyDescent="0.35">
      <c r="A63" t="s">
        <v>1510</v>
      </c>
      <c r="B63" t="s">
        <v>1511</v>
      </c>
      <c r="C63" t="s">
        <v>1512</v>
      </c>
      <c r="D63" t="s">
        <v>1513</v>
      </c>
      <c r="E63" s="10" t="s">
        <v>1109</v>
      </c>
      <c r="F63" s="11" t="s">
        <v>1514</v>
      </c>
      <c r="H63" s="51" t="str">
        <f>HYPERLINK("https://www.google.com/maps/?q=46.071916667,-64.8671944439999", "https://www.google.com/maps/?q=46.071916667,-64.8671944439999")</f>
        <v>https://www.google.com/maps/?q=46.071916667,-64.8671944439999</v>
      </c>
      <c r="I63" s="17" t="s">
        <v>1515</v>
      </c>
      <c r="J63" s="17" t="s">
        <v>1516</v>
      </c>
      <c r="K63" s="63">
        <v>15068028540</v>
      </c>
    </row>
    <row r="64" spans="1:12" ht="43.5" x14ac:dyDescent="0.35">
      <c r="A64" t="s">
        <v>1517</v>
      </c>
      <c r="B64" t="s">
        <v>1518</v>
      </c>
      <c r="C64" t="s">
        <v>1519</v>
      </c>
      <c r="D64" t="s">
        <v>1520</v>
      </c>
      <c r="E64" s="10" t="s">
        <v>28</v>
      </c>
      <c r="F64" s="11" t="s">
        <v>1521</v>
      </c>
      <c r="H64" s="17" t="str">
        <f>HYPERLINK("https://www.google.com/maps/?q=46.0980361110001,-64.787133333", "https://www.google.com/maps/?q=46.0980361110001,-64.787133333")</f>
        <v>https://www.google.com/maps/?q=46.0980361110001,-64.787133333</v>
      </c>
      <c r="I64" s="17" t="s">
        <v>1522</v>
      </c>
      <c r="J64" s="12" t="s">
        <v>1523</v>
      </c>
      <c r="K64" s="63">
        <v>15068624000</v>
      </c>
    </row>
    <row r="65" spans="1:11" ht="29" hidden="1" x14ac:dyDescent="0.35">
      <c r="A65" t="s">
        <v>1524</v>
      </c>
      <c r="B65" t="s">
        <v>1525</v>
      </c>
      <c r="C65" t="s">
        <v>1526</v>
      </c>
      <c r="D65" t="s">
        <v>1527</v>
      </c>
      <c r="E65" s="10" t="s">
        <v>28</v>
      </c>
      <c r="F65" s="11" t="s">
        <v>1528</v>
      </c>
      <c r="H65" s="17" t="str">
        <f>HYPERLINK("https://www.google.com/maps/?q=45.944519444,-66.6734333329999", "https://www.google.com/maps/?q=45.944519444,-66.6734333329999")</f>
        <v>https://www.google.com/maps/?q=45.944519444,-66.6734333329999</v>
      </c>
      <c r="I65" s="23" t="s">
        <v>1529</v>
      </c>
      <c r="K65" s="63"/>
    </row>
    <row r="66" spans="1:11" ht="29" hidden="1" x14ac:dyDescent="0.35">
      <c r="A66" t="s">
        <v>1530</v>
      </c>
      <c r="B66" t="s">
        <v>1531</v>
      </c>
      <c r="C66" t="s">
        <v>1532</v>
      </c>
      <c r="D66" t="s">
        <v>1533</v>
      </c>
      <c r="E66" s="10" t="s">
        <v>28</v>
      </c>
      <c r="F66" s="11" t="s">
        <v>1534</v>
      </c>
      <c r="H66" s="51" t="str">
        <f>HYPERLINK("https://www.google.com/maps/?q=45.2565750000001,-66.100519444", "https://www.google.com/maps/?q=45.2565750000001,-66.100519444")</f>
        <v>https://www.google.com/maps/?q=45.2565750000001,-66.100519444</v>
      </c>
      <c r="I66" s="23" t="s">
        <v>1529</v>
      </c>
      <c r="K66" s="63"/>
    </row>
    <row r="67" spans="1:11" ht="29" hidden="1" x14ac:dyDescent="0.35">
      <c r="A67" t="s">
        <v>1535</v>
      </c>
      <c r="B67" t="s">
        <v>1536</v>
      </c>
      <c r="C67" t="s">
        <v>1537</v>
      </c>
      <c r="D67" t="s">
        <v>1538</v>
      </c>
      <c r="E67" s="10" t="s">
        <v>28</v>
      </c>
      <c r="F67" s="11" t="s">
        <v>1539</v>
      </c>
      <c r="H67" s="17" t="str">
        <f>HYPERLINK("https://www.google.com/maps/?q=45.948730556,-66.664588889", "https://www.google.com/maps/?q=45.948730556,-66.664588889")</f>
        <v>https://www.google.com/maps/?q=45.948730556,-66.664588889</v>
      </c>
      <c r="I67" s="23" t="s">
        <v>1529</v>
      </c>
      <c r="K67" s="63"/>
    </row>
    <row r="68" spans="1:11" ht="29" hidden="1" x14ac:dyDescent="0.35">
      <c r="A68" t="s">
        <v>1540</v>
      </c>
      <c r="B68" t="s">
        <v>1541</v>
      </c>
      <c r="C68" t="s">
        <v>1542</v>
      </c>
      <c r="D68" t="s">
        <v>1543</v>
      </c>
      <c r="E68" s="10" t="s">
        <v>28</v>
      </c>
      <c r="F68" s="11" t="s">
        <v>1544</v>
      </c>
      <c r="H68" s="17" t="str">
        <f>HYPERLINK("https://www.google.com/maps/?q=46.1411000000001,-67.5982999999999", "https://www.google.com/maps/?q=46.1411000000001,-67.5982999999999")</f>
        <v>https://www.google.com/maps/?q=46.1411000000001,-67.5982999999999</v>
      </c>
      <c r="I68" s="23" t="s">
        <v>1545</v>
      </c>
      <c r="K68" s="63"/>
    </row>
    <row r="69" spans="1:11" ht="29" hidden="1" x14ac:dyDescent="0.35">
      <c r="A69" t="s">
        <v>1546</v>
      </c>
      <c r="B69" t="s">
        <v>1547</v>
      </c>
      <c r="C69" t="s">
        <v>1548</v>
      </c>
      <c r="D69" t="s">
        <v>1549</v>
      </c>
      <c r="E69" s="10" t="s">
        <v>28</v>
      </c>
      <c r="F69" s="11" t="s">
        <v>1550</v>
      </c>
      <c r="H69" s="17" t="str">
        <f>HYPERLINK("https://www.google.com/maps/?q=47.790241667,-64.958466667", "https://www.google.com/maps/?q=47.790241667,-64.958466667")</f>
        <v>https://www.google.com/maps/?q=47.790241667,-64.958466667</v>
      </c>
      <c r="I69" s="23" t="s">
        <v>1551</v>
      </c>
      <c r="K69" s="63"/>
    </row>
    <row r="70" spans="1:11" ht="29" x14ac:dyDescent="0.35">
      <c r="A70" t="s">
        <v>1552</v>
      </c>
      <c r="B70" t="s">
        <v>1553</v>
      </c>
      <c r="C70" t="s">
        <v>1554</v>
      </c>
      <c r="D70" t="s">
        <v>1555</v>
      </c>
      <c r="E70" s="10" t="s">
        <v>28</v>
      </c>
      <c r="F70" s="11" t="s">
        <v>1556</v>
      </c>
      <c r="H70" s="17" t="str">
        <f>HYPERLINK("https://www.google.com/maps/?q=47.0556,-65.4886", "https://www.google.com/maps/?q=47.0556,-65.4886")</f>
        <v>https://www.google.com/maps/?q=47.0556,-65.4886</v>
      </c>
      <c r="K70" s="63"/>
    </row>
    <row r="71" spans="1:11" ht="29" x14ac:dyDescent="0.35">
      <c r="A71" t="s">
        <v>1557</v>
      </c>
      <c r="B71" t="s">
        <v>1558</v>
      </c>
      <c r="C71" t="s">
        <v>1559</v>
      </c>
      <c r="D71" t="s">
        <v>1560</v>
      </c>
      <c r="E71" s="10" t="s">
        <v>28</v>
      </c>
      <c r="F71" s="11" t="s">
        <v>1561</v>
      </c>
      <c r="H71" s="17" t="str">
        <f>HYPERLINK("https://www.google.com/maps/?q=45.3021416670001,-66.084280556", "https://www.google.com/maps/?q=45.3021416670001,-66.084280556")</f>
        <v>https://www.google.com/maps/?q=45.3021416670001,-66.084280556</v>
      </c>
      <c r="K71" s="63"/>
    </row>
    <row r="72" spans="1:11" ht="29" x14ac:dyDescent="0.35">
      <c r="A72" t="s">
        <v>1562</v>
      </c>
      <c r="B72" t="s">
        <v>1563</v>
      </c>
      <c r="C72" t="s">
        <v>1564</v>
      </c>
      <c r="D72" t="s">
        <v>1565</v>
      </c>
      <c r="E72" s="10" t="s">
        <v>28</v>
      </c>
      <c r="F72" s="11" t="s">
        <v>1566</v>
      </c>
      <c r="H72" s="17" t="str">
        <f>HYPERLINK("https://www.google.com/maps/?q=45.333888889,-65.9372222219999", "https://www.google.com/maps/?q=45.333888889,-65.9372222219999")</f>
        <v>https://www.google.com/maps/?q=45.333888889,-65.9372222219999</v>
      </c>
      <c r="K72" s="63"/>
    </row>
    <row r="73" spans="1:11" ht="29" x14ac:dyDescent="0.35">
      <c r="A73" t="s">
        <v>1567</v>
      </c>
      <c r="B73" t="s">
        <v>1568</v>
      </c>
      <c r="C73" t="s">
        <v>1569</v>
      </c>
      <c r="D73" t="s">
        <v>1570</v>
      </c>
      <c r="E73" s="10" t="s">
        <v>28</v>
      </c>
      <c r="F73" s="11" t="s">
        <v>1571</v>
      </c>
      <c r="H73" s="17" t="str">
        <f>HYPERLINK("https://www.google.com/maps/?q=45.9573055560001,-66.6944694439999", "https://www.google.com/maps/?q=45.9573055560001,-66.6944694439999")</f>
        <v>https://www.google.com/maps/?q=45.9573055560001,-66.6944694439999</v>
      </c>
      <c r="K73" s="63"/>
    </row>
    <row r="74" spans="1:11" ht="29" x14ac:dyDescent="0.35">
      <c r="A74" t="s">
        <v>1572</v>
      </c>
      <c r="B74" t="s">
        <v>1573</v>
      </c>
      <c r="C74" t="s">
        <v>1574</v>
      </c>
      <c r="D74" t="s">
        <v>1575</v>
      </c>
      <c r="E74" s="10" t="s">
        <v>28</v>
      </c>
      <c r="F74" s="11" t="s">
        <v>1576</v>
      </c>
      <c r="H74" s="17" t="str">
        <f>HYPERLINK("https://www.google.com/maps/?q=45.848508333,-66.473508333", "https://www.google.com/maps/?q=45.848508333,-66.473508333")</f>
        <v>https://www.google.com/maps/?q=45.848508333,-66.473508333</v>
      </c>
      <c r="K74" s="63"/>
    </row>
    <row r="75" spans="1:11" ht="29" x14ac:dyDescent="0.35">
      <c r="A75" t="s">
        <v>1577</v>
      </c>
      <c r="B75" t="s">
        <v>1578</v>
      </c>
      <c r="C75" t="s">
        <v>1579</v>
      </c>
      <c r="D75" t="s">
        <v>1580</v>
      </c>
      <c r="E75" s="10" t="s">
        <v>28</v>
      </c>
      <c r="F75" s="11" t="s">
        <v>1581</v>
      </c>
      <c r="H75" s="17" t="str">
        <f>HYPERLINK("https://www.google.com/maps/?q=45.929888889,-66.7118972219999", "https://www.google.com/maps/?q=45.929888889,-66.7118972219999")</f>
        <v>https://www.google.com/maps/?q=45.929888889,-66.7118972219999</v>
      </c>
      <c r="K75" s="63"/>
    </row>
    <row r="76" spans="1:11" ht="29" x14ac:dyDescent="0.35">
      <c r="A76" t="s">
        <v>1582</v>
      </c>
      <c r="B76" t="s">
        <v>1583</v>
      </c>
      <c r="C76" t="s">
        <v>1584</v>
      </c>
      <c r="D76" t="s">
        <v>1585</v>
      </c>
      <c r="E76" s="10" t="s">
        <v>28</v>
      </c>
      <c r="F76" s="11" t="s">
        <v>1586</v>
      </c>
      <c r="H76" s="17" t="str">
        <f>HYPERLINK("https://www.google.com/maps/?q=45.8916,-66.5733999999999", "https://www.google.com/maps/?q=45.8916,-66.5733999999999")</f>
        <v>https://www.google.com/maps/?q=45.8916,-66.5733999999999</v>
      </c>
      <c r="K76" s="63"/>
    </row>
    <row r="77" spans="1:11" ht="29" x14ac:dyDescent="0.35">
      <c r="A77" t="s">
        <v>1298</v>
      </c>
      <c r="B77" t="s">
        <v>1587</v>
      </c>
      <c r="C77" t="s">
        <v>1300</v>
      </c>
      <c r="D77" t="s">
        <v>1588</v>
      </c>
      <c r="E77" s="10" t="s">
        <v>28</v>
      </c>
      <c r="F77" s="11" t="s">
        <v>1302</v>
      </c>
      <c r="H77" s="17" t="str">
        <f>HYPERLINK("https://www.google.com/maps/?q=46.7358,-65.418597222", "https://www.google.com/maps/?q=46.7358,-65.418597222")</f>
        <v>https://www.google.com/maps/?q=46.7358,-65.418597222</v>
      </c>
      <c r="K77" s="63"/>
    </row>
    <row r="78" spans="1:11" ht="29" x14ac:dyDescent="0.35">
      <c r="A78" t="s">
        <v>1589</v>
      </c>
      <c r="B78" t="s">
        <v>1590</v>
      </c>
      <c r="C78" t="s">
        <v>1591</v>
      </c>
      <c r="D78" t="s">
        <v>1592</v>
      </c>
      <c r="E78" s="10" t="s">
        <v>44</v>
      </c>
      <c r="F78" s="11" t="s">
        <v>1593</v>
      </c>
      <c r="H78" s="17" t="str">
        <f>HYPERLINK("https://www.google.com/maps/?q=46.4603000000001,-64.958883333", "https://www.google.com/maps/?q=46.4603000000001,-64.958883333")</f>
        <v>https://www.google.com/maps/?q=46.4603000000001,-64.958883333</v>
      </c>
      <c r="K78" s="63"/>
    </row>
    <row r="79" spans="1:11" ht="29" x14ac:dyDescent="0.35">
      <c r="A79" t="s">
        <v>1594</v>
      </c>
      <c r="B79" t="s">
        <v>1595</v>
      </c>
      <c r="C79" t="s">
        <v>1596</v>
      </c>
      <c r="D79" t="s">
        <v>1597</v>
      </c>
      <c r="E79" s="10" t="s">
        <v>44</v>
      </c>
      <c r="F79" s="11" t="s">
        <v>1598</v>
      </c>
      <c r="H79" s="17" t="str">
        <f>HYPERLINK("https://www.google.com/maps/?q=45.937983333,-65.986791667", "https://www.google.com/maps/?q=45.937983333,-65.986791667")</f>
        <v>https://www.google.com/maps/?q=45.937983333,-65.986791667</v>
      </c>
      <c r="K79" s="63"/>
    </row>
    <row r="80" spans="1:11" ht="29" x14ac:dyDescent="0.35">
      <c r="A80" t="s">
        <v>1599</v>
      </c>
      <c r="B80" t="s">
        <v>1600</v>
      </c>
      <c r="C80" t="s">
        <v>1601</v>
      </c>
      <c r="D80" t="s">
        <v>1602</v>
      </c>
      <c r="E80" s="10" t="s">
        <v>28</v>
      </c>
      <c r="F80" s="11" t="s">
        <v>1603</v>
      </c>
      <c r="H80" s="17" t="str">
        <f>HYPERLINK("https://www.google.com/maps/?q=45.278058333,-66.071897222", "https://www.google.com/maps/?q=45.278058333,-66.071897222")</f>
        <v>https://www.google.com/maps/?q=45.278058333,-66.071897222</v>
      </c>
      <c r="K80" s="63"/>
    </row>
    <row r="81" spans="1:11" ht="29" x14ac:dyDescent="0.35">
      <c r="A81" t="s">
        <v>1604</v>
      </c>
      <c r="B81" t="s">
        <v>1605</v>
      </c>
      <c r="C81" t="s">
        <v>1606</v>
      </c>
      <c r="D81" t="s">
        <v>1607</v>
      </c>
      <c r="E81" s="10" t="s">
        <v>44</v>
      </c>
      <c r="F81" s="11" t="s">
        <v>1608</v>
      </c>
      <c r="H81" s="17" t="str">
        <f>HYPERLINK("https://www.google.com/maps/?q=45.983575,-66.878286111", "https://www.google.com/maps/?q=45.983575,-66.878286111")</f>
        <v>https://www.google.com/maps/?q=45.983575,-66.878286111</v>
      </c>
      <c r="K81" s="63"/>
    </row>
    <row r="82" spans="1:11" ht="29" x14ac:dyDescent="0.35">
      <c r="A82" t="s">
        <v>1609</v>
      </c>
      <c r="B82" t="s">
        <v>1610</v>
      </c>
      <c r="C82" t="s">
        <v>1611</v>
      </c>
      <c r="D82" t="s">
        <v>1612</v>
      </c>
      <c r="E82" s="10" t="s">
        <v>44</v>
      </c>
      <c r="F82" s="11" t="s">
        <v>1613</v>
      </c>
      <c r="H82" s="17" t="str">
        <f>HYPERLINK("https://www.google.com/maps/?q=45.8519388890001,-65.226580556", "https://www.google.com/maps/?q=45.8519388890001,-65.226580556")</f>
        <v>https://www.google.com/maps/?q=45.8519388890001,-65.226580556</v>
      </c>
      <c r="K82" s="63"/>
    </row>
    <row r="83" spans="1:11" ht="29" x14ac:dyDescent="0.35">
      <c r="A83" t="s">
        <v>1614</v>
      </c>
      <c r="B83" t="s">
        <v>1615</v>
      </c>
      <c r="C83" t="s">
        <v>1616</v>
      </c>
      <c r="D83" t="s">
        <v>1617</v>
      </c>
      <c r="E83" s="10" t="s">
        <v>44</v>
      </c>
      <c r="F83" s="11" t="s">
        <v>1618</v>
      </c>
      <c r="H83" s="17" t="str">
        <f>HYPERLINK("https://www.google.com/maps/?q=46.1560305560001,-66.580261111", "https://www.google.com/maps/?q=46.1560305560001,-66.580261111")</f>
        <v>https://www.google.com/maps/?q=46.1560305560001,-66.580261111</v>
      </c>
      <c r="K83" s="63"/>
    </row>
    <row r="84" spans="1:11" ht="29" x14ac:dyDescent="0.35">
      <c r="A84" t="s">
        <v>1619</v>
      </c>
      <c r="B84" t="s">
        <v>1620</v>
      </c>
      <c r="C84" t="s">
        <v>1621</v>
      </c>
      <c r="D84" t="s">
        <v>1622</v>
      </c>
      <c r="E84" s="10" t="s">
        <v>44</v>
      </c>
      <c r="F84" s="11" t="s">
        <v>1623</v>
      </c>
      <c r="H84" s="17" t="str">
        <f>HYPERLINK("https://www.google.com/maps/?q=45.477911111,-66.234730556", "https://www.google.com/maps/?q=45.477911111,-66.234730556")</f>
        <v>https://www.google.com/maps/?q=45.477911111,-66.234730556</v>
      </c>
      <c r="K84" s="63"/>
    </row>
    <row r="85" spans="1:11" ht="29" x14ac:dyDescent="0.35">
      <c r="A85" t="s">
        <v>1624</v>
      </c>
      <c r="B85" t="s">
        <v>1625</v>
      </c>
      <c r="C85" t="s">
        <v>1626</v>
      </c>
      <c r="D85" t="s">
        <v>1627</v>
      </c>
      <c r="E85" s="10" t="s">
        <v>44</v>
      </c>
      <c r="F85" s="11" t="s">
        <v>1628</v>
      </c>
      <c r="G85" s="17"/>
      <c r="H85" s="17" t="str">
        <f>HYPERLINK("https://www.google.com/maps/?q=45.099688889,-66.659180556", "https://www.google.com/maps/?q=45.099688889,-66.659180556")</f>
        <v>https://www.google.com/maps/?q=45.099688889,-66.659180556</v>
      </c>
      <c r="K85" s="63"/>
    </row>
    <row r="86" spans="1:11" ht="29" x14ac:dyDescent="0.35">
      <c r="A86" t="s">
        <v>1629</v>
      </c>
      <c r="B86" t="s">
        <v>1630</v>
      </c>
      <c r="C86" t="s">
        <v>1631</v>
      </c>
      <c r="D86" t="s">
        <v>1632</v>
      </c>
      <c r="E86" s="10" t="s">
        <v>44</v>
      </c>
      <c r="F86" s="11" t="s">
        <v>1633</v>
      </c>
      <c r="H86" s="17" t="str">
        <f>HYPERLINK("https://www.google.com/maps/?q=46.087594444,-64.989325", "https://www.google.com/maps/?q=46.087594444,-64.989325")</f>
        <v>https://www.google.com/maps/?q=46.087594444,-64.989325</v>
      </c>
      <c r="K86" s="63"/>
    </row>
    <row r="87" spans="1:11" ht="29" x14ac:dyDescent="0.35">
      <c r="A87" t="s">
        <v>1634</v>
      </c>
      <c r="B87" t="s">
        <v>1635</v>
      </c>
      <c r="C87" t="s">
        <v>1636</v>
      </c>
      <c r="D87" t="s">
        <v>1637</v>
      </c>
      <c r="E87" s="10" t="s">
        <v>44</v>
      </c>
      <c r="F87" s="11" t="s">
        <v>1544</v>
      </c>
      <c r="G87" s="17"/>
      <c r="H87" s="17" t="str">
        <f>HYPERLINK("https://www.google.com/maps/?q=46.140288889,-67.598361111", "https://www.google.com/maps/?q=46.140288889,-67.598361111")</f>
        <v>https://www.google.com/maps/?q=46.140288889,-67.598361111</v>
      </c>
      <c r="K87" s="63"/>
    </row>
    <row r="88" spans="1:11" ht="29" x14ac:dyDescent="0.35">
      <c r="A88" t="s">
        <v>1638</v>
      </c>
      <c r="B88" t="s">
        <v>1639</v>
      </c>
      <c r="C88" t="s">
        <v>1640</v>
      </c>
      <c r="D88" t="s">
        <v>1641</v>
      </c>
      <c r="E88" s="10" t="s">
        <v>44</v>
      </c>
      <c r="F88" s="11" t="s">
        <v>1642</v>
      </c>
      <c r="H88" s="17" t="str">
        <f>HYPERLINK("https://www.google.com/maps/?q=46.119952778,-67.1088861109999", "https://www.google.com/maps/?q=46.119952778,-67.1088861109999")</f>
        <v>https://www.google.com/maps/?q=46.119952778,-67.1088861109999</v>
      </c>
      <c r="K88" s="63"/>
    </row>
    <row r="89" spans="1:11" ht="29" x14ac:dyDescent="0.35">
      <c r="A89" t="s">
        <v>1643</v>
      </c>
      <c r="B89" t="s">
        <v>1644</v>
      </c>
      <c r="C89" t="s">
        <v>1645</v>
      </c>
      <c r="D89" t="s">
        <v>1646</v>
      </c>
      <c r="E89" s="10" t="s">
        <v>44</v>
      </c>
      <c r="F89" s="11" t="s">
        <v>1647</v>
      </c>
      <c r="H89" s="17" t="str">
        <f>HYPERLINK("https://www.google.com/maps/?q=47.9870777780001,-66.3353861109999", "https://www.google.com/maps/?q=47.9870777780001,-66.3353861109999")</f>
        <v>https://www.google.com/maps/?q=47.9870777780001,-66.3353861109999</v>
      </c>
      <c r="K89" s="63"/>
    </row>
    <row r="90" spans="1:11" ht="29" x14ac:dyDescent="0.35">
      <c r="A90" t="s">
        <v>1648</v>
      </c>
      <c r="B90" t="s">
        <v>1649</v>
      </c>
      <c r="C90" t="s">
        <v>1650</v>
      </c>
      <c r="D90" t="s">
        <v>1651</v>
      </c>
      <c r="E90" s="10" t="s">
        <v>44</v>
      </c>
      <c r="F90" s="11" t="s">
        <v>1652</v>
      </c>
      <c r="H90" s="17" t="str">
        <f>HYPERLINK("https://www.google.com/maps/?q=45.610811111,-65.921947222", "https://www.google.com/maps/?q=45.610811111,-65.921947222")</f>
        <v>https://www.google.com/maps/?q=45.610811111,-65.921947222</v>
      </c>
      <c r="K90" s="63"/>
    </row>
    <row r="91" spans="1:11" ht="29" x14ac:dyDescent="0.35">
      <c r="A91" t="s">
        <v>1653</v>
      </c>
      <c r="B91" t="s">
        <v>1654</v>
      </c>
      <c r="C91" t="s">
        <v>1655</v>
      </c>
      <c r="D91" t="s">
        <v>1656</v>
      </c>
      <c r="E91" s="10" t="s">
        <v>44</v>
      </c>
      <c r="F91" s="11" t="s">
        <v>1657</v>
      </c>
      <c r="H91" s="17" t="str">
        <f>HYPERLINK("https://www.google.com/maps/?q=45.3701611110001,-65.7735111109999", "https://www.google.com/maps/?q=45.3701611110001,-65.7735111109999")</f>
        <v>https://www.google.com/maps/?q=45.3701611110001,-65.7735111109999</v>
      </c>
      <c r="K91" s="63"/>
    </row>
    <row r="92" spans="1:11" ht="29" x14ac:dyDescent="0.35">
      <c r="A92" t="s">
        <v>1658</v>
      </c>
      <c r="B92" t="s">
        <v>1659</v>
      </c>
      <c r="C92" t="s">
        <v>1660</v>
      </c>
      <c r="D92" t="s">
        <v>1661</v>
      </c>
      <c r="E92" s="10" t="s">
        <v>44</v>
      </c>
      <c r="F92" s="11" t="s">
        <v>1662</v>
      </c>
      <c r="H92" s="17" t="str">
        <f>HYPERLINK("https://www.google.com/maps/?q=45.0930555560001,-66.455247222", "https://www.google.com/maps/?q=45.0930555560001,-66.455247222")</f>
        <v>https://www.google.com/maps/?q=45.0930555560001,-66.455247222</v>
      </c>
      <c r="K92" s="63"/>
    </row>
    <row r="93" spans="1:11" ht="29" x14ac:dyDescent="0.35">
      <c r="A93" t="s">
        <v>1663</v>
      </c>
      <c r="B93" t="s">
        <v>1664</v>
      </c>
      <c r="C93" t="s">
        <v>1665</v>
      </c>
      <c r="D93" t="s">
        <v>1666</v>
      </c>
      <c r="E93" s="10" t="s">
        <v>44</v>
      </c>
      <c r="F93" s="11" t="s">
        <v>1667</v>
      </c>
      <c r="H93" s="17" t="str">
        <f>HYPERLINK("https://www.google.com/maps/?q=45.1293305560001,-66.804511111", "https://www.google.com/maps/?q=45.1293305560001,-66.804511111")</f>
        <v>https://www.google.com/maps/?q=45.1293305560001,-66.804511111</v>
      </c>
      <c r="K93" s="63"/>
    </row>
    <row r="94" spans="1:11" ht="29" x14ac:dyDescent="0.35">
      <c r="A94" t="s">
        <v>1668</v>
      </c>
      <c r="B94" t="s">
        <v>1669</v>
      </c>
      <c r="C94" t="s">
        <v>1670</v>
      </c>
      <c r="D94" t="s">
        <v>1671</v>
      </c>
      <c r="E94" s="10" t="s">
        <v>44</v>
      </c>
      <c r="F94" s="11" t="s">
        <v>1672</v>
      </c>
      <c r="H94" s="17" t="str">
        <f>HYPERLINK("https://www.google.com/maps/?q=47.0987805560001,-65.3924388889999", "https://www.google.com/maps/?q=47.0987805560001,-65.3924388889999")</f>
        <v>https://www.google.com/maps/?q=47.0987805560001,-65.3924388889999</v>
      </c>
      <c r="K94" s="63"/>
    </row>
    <row r="95" spans="1:11" ht="29" x14ac:dyDescent="0.35">
      <c r="A95" t="s">
        <v>1673</v>
      </c>
      <c r="B95" t="s">
        <v>1674</v>
      </c>
      <c r="C95" t="s">
        <v>1675</v>
      </c>
      <c r="D95" t="s">
        <v>1676</v>
      </c>
      <c r="E95" s="10" t="s">
        <v>44</v>
      </c>
      <c r="F95" s="11" t="s">
        <v>1677</v>
      </c>
      <c r="H95" s="17" t="str">
        <f>HYPERLINK("https://www.google.com/maps/?q=45.5044111110001,-65.746152778", "https://www.google.com/maps/?q=45.5044111110001,-65.746152778")</f>
        <v>https://www.google.com/maps/?q=45.5044111110001,-65.746152778</v>
      </c>
      <c r="K95" s="63"/>
    </row>
    <row r="96" spans="1:11" ht="29" x14ac:dyDescent="0.35">
      <c r="A96" t="s">
        <v>1678</v>
      </c>
      <c r="B96" t="s">
        <v>1679</v>
      </c>
      <c r="C96" t="s">
        <v>1680</v>
      </c>
      <c r="D96" t="s">
        <v>1681</v>
      </c>
      <c r="E96" s="10" t="s">
        <v>44</v>
      </c>
      <c r="F96" s="11" t="s">
        <v>1682</v>
      </c>
      <c r="G96" s="19"/>
      <c r="H96" s="17" t="str">
        <f>HYPERLINK("https://www.google.com/maps/?q=46.272036111,-67.639441667", "https://www.google.com/maps/?q=46.272036111,-67.639441667")</f>
        <v>https://www.google.com/maps/?q=46.272036111,-67.639441667</v>
      </c>
      <c r="K96" s="63"/>
    </row>
    <row r="97" spans="1:12" ht="29" x14ac:dyDescent="0.35">
      <c r="A97" t="s">
        <v>1683</v>
      </c>
      <c r="B97" t="s">
        <v>1684</v>
      </c>
      <c r="C97" t="s">
        <v>1685</v>
      </c>
      <c r="D97" t="s">
        <v>1686</v>
      </c>
      <c r="E97" s="10" t="s">
        <v>44</v>
      </c>
      <c r="F97" s="11" t="s">
        <v>1687</v>
      </c>
      <c r="H97" s="17" t="str">
        <f>HYPERLINK("https://www.google.com/maps/?q=46.800269444,-65.881902778", "https://www.google.com/maps/?q=46.800269444,-65.881902778")</f>
        <v>https://www.google.com/maps/?q=46.800269444,-65.881902778</v>
      </c>
      <c r="K97" s="63"/>
    </row>
    <row r="98" spans="1:12" ht="29" x14ac:dyDescent="0.35">
      <c r="A98" t="s">
        <v>1688</v>
      </c>
      <c r="B98" t="s">
        <v>1689</v>
      </c>
      <c r="C98" t="s">
        <v>1690</v>
      </c>
      <c r="D98" t="s">
        <v>1691</v>
      </c>
      <c r="E98" s="10" t="s">
        <v>44</v>
      </c>
      <c r="F98" s="11" t="s">
        <v>1692</v>
      </c>
      <c r="H98" s="17" t="str">
        <f>HYPERLINK("https://www.google.com/maps/?q=45.9814250000001,-66.2073694439999", "https://www.google.com/maps/?q=45.9814250000001,-66.2073694439999")</f>
        <v>https://www.google.com/maps/?q=45.9814250000001,-66.2073694439999</v>
      </c>
      <c r="K98" s="63"/>
    </row>
    <row r="99" spans="1:12" ht="29" x14ac:dyDescent="0.35">
      <c r="A99" t="s">
        <v>1693</v>
      </c>
      <c r="B99" t="s">
        <v>1694</v>
      </c>
      <c r="C99" t="s">
        <v>1695</v>
      </c>
      <c r="D99" t="s">
        <v>1696</v>
      </c>
      <c r="E99" s="10" t="s">
        <v>44</v>
      </c>
      <c r="F99" s="11" t="s">
        <v>1697</v>
      </c>
      <c r="H99" s="17" t="str">
        <f>HYPERLINK("https://www.google.com/maps/?q=46.9920777780001,-67.617322222", "https://www.google.com/maps/?q=46.9920777780001,-67.617322222")</f>
        <v>https://www.google.com/maps/?q=46.9920777780001,-67.617322222</v>
      </c>
      <c r="K99" s="63"/>
    </row>
    <row r="100" spans="1:12" ht="29" x14ac:dyDescent="0.35">
      <c r="A100" t="s">
        <v>1698</v>
      </c>
      <c r="B100" t="s">
        <v>1699</v>
      </c>
      <c r="C100" t="s">
        <v>1700</v>
      </c>
      <c r="D100" t="s">
        <v>1701</v>
      </c>
      <c r="E100" s="10" t="s">
        <v>1109</v>
      </c>
      <c r="F100" s="11" t="s">
        <v>1702</v>
      </c>
      <c r="H100" s="17" t="str">
        <f>HYPERLINK("https://www.google.com/maps/?q=46.89,-67.407777778", "https://www.google.com/maps/?q=46.89,-67.407777778")</f>
        <v>https://www.google.com/maps/?q=46.89,-67.407777778</v>
      </c>
      <c r="I100" s="23" t="s">
        <v>1703</v>
      </c>
      <c r="K100" s="63"/>
    </row>
    <row r="101" spans="1:12" ht="29" x14ac:dyDescent="0.35">
      <c r="A101" t="s">
        <v>1704</v>
      </c>
      <c r="B101" t="s">
        <v>1705</v>
      </c>
      <c r="C101" t="s">
        <v>1706</v>
      </c>
      <c r="D101" t="s">
        <v>1707</v>
      </c>
      <c r="E101" s="10" t="s">
        <v>1109</v>
      </c>
      <c r="F101" s="11" t="s">
        <v>1514</v>
      </c>
      <c r="H101" s="17" t="str">
        <f>HYPERLINK("https://www.google.com/maps/?q=46.072166667,-64.869194444", "https://www.google.com/maps/?q=46.072166667,-64.869194444")</f>
        <v>https://www.google.com/maps/?q=46.072166667,-64.869194444</v>
      </c>
      <c r="I101" s="23" t="s">
        <v>1708</v>
      </c>
      <c r="K101" s="63"/>
    </row>
    <row r="102" spans="1:12" ht="29" x14ac:dyDescent="0.35">
      <c r="A102" t="s">
        <v>1709</v>
      </c>
      <c r="B102" t="s">
        <v>1710</v>
      </c>
      <c r="C102" t="s">
        <v>1711</v>
      </c>
      <c r="D102" t="s">
        <v>1712</v>
      </c>
      <c r="E102" s="10" t="s">
        <v>1109</v>
      </c>
      <c r="F102" s="11" t="s">
        <v>1514</v>
      </c>
      <c r="H102" s="17" t="str">
        <f>HYPERLINK("https://www.google.com/maps/?q=46.0790000000001,-64.851722222", "https://www.google.com/maps/?q=46.0790000000001,-64.851722222")</f>
        <v>https://www.google.com/maps/?q=46.0790000000001,-64.851722222</v>
      </c>
      <c r="I102" s="23" t="s">
        <v>1708</v>
      </c>
      <c r="K102" s="63"/>
    </row>
    <row r="103" spans="1:12" ht="29" x14ac:dyDescent="0.35">
      <c r="A103" t="s">
        <v>1713</v>
      </c>
      <c r="B103" t="s">
        <v>1714</v>
      </c>
      <c r="C103" t="s">
        <v>1715</v>
      </c>
      <c r="D103" t="s">
        <v>1716</v>
      </c>
      <c r="E103" s="10" t="s">
        <v>44</v>
      </c>
      <c r="F103" s="11" t="s">
        <v>1717</v>
      </c>
      <c r="G103" s="12" t="s">
        <v>1356</v>
      </c>
      <c r="H103" s="17" t="str">
        <f>HYPERLINK("https://www.google.com/maps/?q=46.1018611110001,-63.915461111", "https://www.google.com/maps/?q=46.1018611110001,-63.915461111")</f>
        <v>https://www.google.com/maps/?q=46.1018611110001,-63.915461111</v>
      </c>
      <c r="I103" s="113" t="s">
        <v>1718</v>
      </c>
      <c r="J103" s="27" t="s">
        <v>1719</v>
      </c>
      <c r="K103" s="63">
        <v>15065382262</v>
      </c>
    </row>
    <row r="104" spans="1:12" ht="43.5" x14ac:dyDescent="0.35">
      <c r="A104" t="s">
        <v>1720</v>
      </c>
      <c r="B104" t="s">
        <v>1721</v>
      </c>
      <c r="C104" t="s">
        <v>1722</v>
      </c>
      <c r="D104" t="s">
        <v>1723</v>
      </c>
      <c r="E104" s="10" t="s">
        <v>44</v>
      </c>
      <c r="F104" s="11" t="s">
        <v>1724</v>
      </c>
      <c r="G104" s="12" t="s">
        <v>1356</v>
      </c>
      <c r="H104" s="17" t="str">
        <f>HYPERLINK("https://www.google.com/maps/?q=46.1768916670001,-67.5493638889999", "https://www.google.com/maps/?q=46.1768916670001,-67.5493638889999")</f>
        <v>https://www.google.com/maps/?q=46.1768916670001,-67.5493638889999</v>
      </c>
      <c r="I104" s="28" t="s">
        <v>1725</v>
      </c>
      <c r="J104" s="17" t="s">
        <v>1726</v>
      </c>
      <c r="K104" s="63">
        <v>15063252298</v>
      </c>
    </row>
    <row r="105" spans="1:12" ht="29" x14ac:dyDescent="0.35">
      <c r="A105" t="s">
        <v>1727</v>
      </c>
      <c r="B105" t="s">
        <v>1728</v>
      </c>
      <c r="C105" t="s">
        <v>1729</v>
      </c>
      <c r="D105" t="s">
        <v>1730</v>
      </c>
      <c r="E105" s="10" t="s">
        <v>1109</v>
      </c>
      <c r="F105" s="11" t="s">
        <v>1731</v>
      </c>
      <c r="H105" s="17" t="str">
        <f>HYPERLINK("https://www.google.com/maps/?q=46.9004722220001,-67.419166667", "https://www.google.com/maps/?q=46.9004722220001,-67.419166667")</f>
        <v>https://www.google.com/maps/?q=46.9004722220001,-67.419166667</v>
      </c>
      <c r="I105" s="23" t="s">
        <v>1732</v>
      </c>
      <c r="K105" s="63"/>
    </row>
    <row r="106" spans="1:12" ht="29" x14ac:dyDescent="0.35">
      <c r="A106" t="s">
        <v>1733</v>
      </c>
      <c r="B106" t="s">
        <v>1734</v>
      </c>
      <c r="C106" t="s">
        <v>1735</v>
      </c>
      <c r="D106" t="s">
        <v>1736</v>
      </c>
      <c r="E106" s="10" t="s">
        <v>28</v>
      </c>
      <c r="F106" s="11" t="s">
        <v>1737</v>
      </c>
      <c r="H106" s="17" t="str">
        <f>HYPERLINK("https://www.google.com/maps/?q=47.335,-68.6136", "https://www.google.com/maps/?q=47.335,-68.6136")</f>
        <v>https://www.google.com/maps/?q=47.335,-68.6136</v>
      </c>
      <c r="I106" s="23" t="s">
        <v>1738</v>
      </c>
      <c r="K106" s="63"/>
    </row>
    <row r="107" spans="1:12" ht="29" x14ac:dyDescent="0.35">
      <c r="A107" t="s">
        <v>1739</v>
      </c>
      <c r="B107" t="s">
        <v>1740</v>
      </c>
      <c r="C107" t="s">
        <v>1741</v>
      </c>
      <c r="D107" t="s">
        <v>1742</v>
      </c>
      <c r="E107" s="10" t="s">
        <v>28</v>
      </c>
      <c r="F107" s="11" t="s">
        <v>1743</v>
      </c>
      <c r="G107" s="12" t="s">
        <v>1356</v>
      </c>
      <c r="H107" s="17" t="str">
        <f>HYPERLINK("https://www.google.com/maps/?q=46.7047166670001,-65.838463889", "https://www.google.com/maps/?q=46.7047166670001,-65.838463889")</f>
        <v>https://www.google.com/maps/?q=46.7047166670001,-65.838463889</v>
      </c>
      <c r="I107" s="17" t="s">
        <v>1744</v>
      </c>
      <c r="J107" s="17" t="s">
        <v>1745</v>
      </c>
      <c r="K107" s="63">
        <v>15068439024</v>
      </c>
    </row>
    <row r="108" spans="1:12" ht="29" x14ac:dyDescent="0.35">
      <c r="A108" t="s">
        <v>1746</v>
      </c>
      <c r="B108" t="s">
        <v>1747</v>
      </c>
      <c r="C108" t="s">
        <v>1748</v>
      </c>
      <c r="D108" t="s">
        <v>1749</v>
      </c>
      <c r="E108" s="10" t="s">
        <v>28</v>
      </c>
      <c r="F108" s="11" t="s">
        <v>1750</v>
      </c>
      <c r="H108" s="17" t="str">
        <f>HYPERLINK("https://www.google.com/maps/?q=46.1928055560001,-64.8602194439999", "https://www.google.com/maps/?q=46.1928055560001,-64.8602194439999")</f>
        <v>https://www.google.com/maps/?q=46.1928055560001,-64.8602194439999</v>
      </c>
      <c r="I108" s="23" t="s">
        <v>1751</v>
      </c>
      <c r="J108" s="12" t="s">
        <v>1752</v>
      </c>
      <c r="K108" s="63"/>
    </row>
    <row r="109" spans="1:12" ht="62" x14ac:dyDescent="0.35">
      <c r="A109" t="s">
        <v>1753</v>
      </c>
      <c r="B109" t="s">
        <v>1754</v>
      </c>
      <c r="C109" t="s">
        <v>1755</v>
      </c>
      <c r="D109" t="s">
        <v>1756</v>
      </c>
      <c r="E109" s="10" t="s">
        <v>28</v>
      </c>
      <c r="F109" s="11" t="s">
        <v>1757</v>
      </c>
      <c r="G109" s="17" t="s">
        <v>1166</v>
      </c>
      <c r="H109" s="17" t="str">
        <f>HYPERLINK("https://www.google.com/maps/?q=46.0589416670001,-64.815611111", "https://www.google.com/maps/?q=46.0589416670001,-64.815611111")</f>
        <v>https://www.google.com/maps/?q=46.0589416670001,-64.815611111</v>
      </c>
      <c r="I109" s="54" t="s">
        <v>1758</v>
      </c>
      <c r="J109" s="28" t="s">
        <v>1759</v>
      </c>
      <c r="K109" s="71" t="s">
        <v>1760</v>
      </c>
      <c r="L109" s="47"/>
    </row>
    <row r="110" spans="1:12" ht="58" x14ac:dyDescent="0.35">
      <c r="A110" t="s">
        <v>1761</v>
      </c>
      <c r="B110" t="s">
        <v>1762</v>
      </c>
      <c r="C110" t="s">
        <v>1763</v>
      </c>
      <c r="D110" t="s">
        <v>1764</v>
      </c>
      <c r="E110" s="10" t="s">
        <v>28</v>
      </c>
      <c r="F110" s="11" t="s">
        <v>1765</v>
      </c>
      <c r="G110" s="12" t="s">
        <v>1253</v>
      </c>
      <c r="H110" s="17" t="str">
        <f>HYPERLINK("https://www.google.com/maps/?q=46.107891667,-64.8317777779999", "https://www.google.com/maps/?q=46.107891667,-64.8317777779999")</f>
        <v>https://www.google.com/maps/?q=46.107891667,-64.8317777779999</v>
      </c>
      <c r="I110" s="117" t="s">
        <v>1766</v>
      </c>
      <c r="J110" s="94" t="s">
        <v>1767</v>
      </c>
      <c r="K110" s="70" t="s">
        <v>1768</v>
      </c>
      <c r="L110" s="95"/>
    </row>
    <row r="111" spans="1:12" ht="29" x14ac:dyDescent="0.35">
      <c r="A111" t="s">
        <v>1769</v>
      </c>
      <c r="B111" t="s">
        <v>1770</v>
      </c>
      <c r="C111" t="s">
        <v>1771</v>
      </c>
      <c r="D111" t="s">
        <v>1772</v>
      </c>
      <c r="E111" s="10" t="s">
        <v>44</v>
      </c>
      <c r="F111" s="11" t="s">
        <v>1773</v>
      </c>
      <c r="H111" s="17" t="str">
        <f>HYPERLINK("https://www.google.com/maps/?q=46.044211111,-65.175430556", "https://www.google.com/maps/?q=46.044211111,-65.175430556")</f>
        <v>https://www.google.com/maps/?q=46.044211111,-65.175430556</v>
      </c>
      <c r="I111" s="113" t="s">
        <v>1774</v>
      </c>
      <c r="K111" s="63"/>
    </row>
    <row r="112" spans="1:12" ht="58" x14ac:dyDescent="0.35">
      <c r="A112" t="s">
        <v>1775</v>
      </c>
      <c r="B112" t="s">
        <v>1776</v>
      </c>
      <c r="C112" t="s">
        <v>1777</v>
      </c>
      <c r="D112" t="s">
        <v>1778</v>
      </c>
      <c r="E112" s="10" t="s">
        <v>44</v>
      </c>
      <c r="F112" s="11" t="s">
        <v>1779</v>
      </c>
      <c r="H112" s="17" t="str">
        <f>HYPERLINK("https://www.google.com/maps/?q=46.0358000000001,-67.3219972219999", "https://www.google.com/maps/?q=46.0358000000001,-67.3219972219999")</f>
        <v>https://www.google.com/maps/?q=46.0358000000001,-67.3219972219999</v>
      </c>
      <c r="I112" s="113" t="s">
        <v>1780</v>
      </c>
      <c r="J112" s="17" t="s">
        <v>1781</v>
      </c>
      <c r="K112" s="63">
        <v>15065755858</v>
      </c>
    </row>
    <row r="113" spans="1:13" ht="29" x14ac:dyDescent="0.35">
      <c r="A113" t="s">
        <v>1782</v>
      </c>
      <c r="B113" t="s">
        <v>1783</v>
      </c>
      <c r="C113" t="s">
        <v>1784</v>
      </c>
      <c r="D113" t="s">
        <v>1785</v>
      </c>
      <c r="E113" s="10" t="s">
        <v>28</v>
      </c>
      <c r="F113" s="11" t="s">
        <v>1786</v>
      </c>
      <c r="H113" s="17" t="str">
        <f>HYPERLINK("https://www.google.com/maps/?q=45.9565944440001,-66.677011111", "https://www.google.com/maps/?q=45.9565944440001,-66.677011111")</f>
        <v>https://www.google.com/maps/?q=45.9565944440001,-66.677011111</v>
      </c>
      <c r="I113" s="23" t="s">
        <v>1787</v>
      </c>
      <c r="K113" s="63"/>
    </row>
    <row r="114" spans="1:13" ht="29" x14ac:dyDescent="0.35">
      <c r="A114" t="s">
        <v>1788</v>
      </c>
      <c r="B114" t="s">
        <v>1789</v>
      </c>
      <c r="C114" t="s">
        <v>1790</v>
      </c>
      <c r="D114" t="s">
        <v>1791</v>
      </c>
      <c r="E114" s="10" t="s">
        <v>28</v>
      </c>
      <c r="F114" s="11" t="s">
        <v>1792</v>
      </c>
      <c r="H114" s="17" t="str">
        <f>HYPERLINK("https://www.google.com/maps/?q=45.3067611110001,-66.0319666669999", "https://www.google.com/maps/?q=45.3067611110001,-66.0319666669999")</f>
        <v>https://www.google.com/maps/?q=45.3067611110001,-66.0319666669999</v>
      </c>
      <c r="I114" s="23" t="s">
        <v>1787</v>
      </c>
      <c r="K114" s="63"/>
    </row>
    <row r="115" spans="1:13" ht="43.5" x14ac:dyDescent="0.35">
      <c r="A115" t="s">
        <v>1793</v>
      </c>
      <c r="B115" t="s">
        <v>1794</v>
      </c>
      <c r="C115" t="s">
        <v>1795</v>
      </c>
      <c r="D115" t="s">
        <v>1796</v>
      </c>
      <c r="E115" s="10" t="s">
        <v>50</v>
      </c>
      <c r="F115" s="11" t="s">
        <v>1797</v>
      </c>
      <c r="G115" s="12" t="s">
        <v>1356</v>
      </c>
      <c r="H115" s="17" t="str">
        <f>HYPERLINK("https://www.google.com/maps/?q=46.686675,-65.075005556", "https://www.google.com/maps/?q=46.686675,-65.075005556")</f>
        <v>https://www.google.com/maps/?q=46.686675,-65.075005556</v>
      </c>
      <c r="I115" s="17" t="s">
        <v>1798</v>
      </c>
      <c r="J115" s="17" t="s">
        <v>1799</v>
      </c>
      <c r="K115" s="63">
        <v>12262310675</v>
      </c>
    </row>
    <row r="116" spans="1:13" ht="29" x14ac:dyDescent="0.35">
      <c r="A116" t="s">
        <v>1800</v>
      </c>
      <c r="B116" t="s">
        <v>1801</v>
      </c>
      <c r="C116" t="s">
        <v>1802</v>
      </c>
      <c r="D116" t="s">
        <v>1803</v>
      </c>
      <c r="E116" s="10" t="s">
        <v>50</v>
      </c>
      <c r="F116" s="11" t="s">
        <v>1804</v>
      </c>
      <c r="G116" s="12" t="s">
        <v>1356</v>
      </c>
      <c r="H116" s="17" t="str">
        <f>HYPERLINK("https://www.google.com/maps/?q=45.829533333,-65.748180556", "https://www.google.com/maps/?q=45.829533333,-65.748180556")</f>
        <v>https://www.google.com/maps/?q=45.829533333,-65.748180556</v>
      </c>
      <c r="I116" s="23" t="s">
        <v>1805</v>
      </c>
      <c r="J116" s="28"/>
      <c r="K116" s="63"/>
    </row>
    <row r="117" spans="1:13" ht="62" x14ac:dyDescent="0.35">
      <c r="A117" t="s">
        <v>1806</v>
      </c>
      <c r="B117" t="s">
        <v>1807</v>
      </c>
      <c r="C117" t="s">
        <v>1808</v>
      </c>
      <c r="D117" t="s">
        <v>1809</v>
      </c>
      <c r="E117" s="10" t="s">
        <v>50</v>
      </c>
      <c r="F117" s="11" t="s">
        <v>1810</v>
      </c>
      <c r="G117" s="12" t="s">
        <v>1131</v>
      </c>
      <c r="H117" s="17" t="str">
        <f>HYPERLINK("https://www.google.com/maps/?q=46.0763666670001,-64.806672222", "https://www.google.com/maps/?q=46.0763666670001,-64.806672222")</f>
        <v>https://www.google.com/maps/?q=46.0763666670001,-64.806672222</v>
      </c>
      <c r="I117" s="113" t="s">
        <v>1811</v>
      </c>
      <c r="J117" s="12" t="s">
        <v>1812</v>
      </c>
      <c r="K117" s="72" t="s">
        <v>1813</v>
      </c>
      <c r="L117" s="47"/>
    </row>
    <row r="118" spans="1:13" ht="43.5" x14ac:dyDescent="0.35">
      <c r="A118" t="s">
        <v>1814</v>
      </c>
      <c r="B118" t="s">
        <v>1815</v>
      </c>
      <c r="C118" t="s">
        <v>1816</v>
      </c>
      <c r="D118" t="s">
        <v>1817</v>
      </c>
      <c r="E118" s="10" t="s">
        <v>50</v>
      </c>
      <c r="F118" s="11" t="s">
        <v>1818</v>
      </c>
      <c r="G118" s="12" t="s">
        <v>1356</v>
      </c>
      <c r="H118" s="17" t="str">
        <f>HYPERLINK("https://www.google.com/maps/?q=47.687244444,-65.43085", "https://www.google.com/maps/?q=47.687244444,-65.43085")</f>
        <v>https://www.google.com/maps/?q=47.687244444,-65.43085</v>
      </c>
      <c r="I118" s="17" t="s">
        <v>1819</v>
      </c>
      <c r="J118" s="113" t="s">
        <v>1820</v>
      </c>
      <c r="K118" s="73"/>
      <c r="L118" s="40"/>
    </row>
    <row r="119" spans="1:13" ht="29" x14ac:dyDescent="0.35">
      <c r="A119" t="s">
        <v>1821</v>
      </c>
      <c r="B119" t="s">
        <v>1822</v>
      </c>
      <c r="C119" t="s">
        <v>1823</v>
      </c>
      <c r="D119" t="s">
        <v>1824</v>
      </c>
      <c r="E119" s="10" t="s">
        <v>50</v>
      </c>
      <c r="F119" s="11" t="s">
        <v>1717</v>
      </c>
      <c r="H119" s="17" t="str">
        <f>HYPERLINK("https://www.google.com/maps/?q=46.093294444,-63.9617638889999", "https://www.google.com/maps/?q=46.093294444,-63.9617638889999")</f>
        <v>https://www.google.com/maps/?q=46.093294444,-63.9617638889999</v>
      </c>
      <c r="J119" s="118" t="s">
        <v>1825</v>
      </c>
      <c r="K119" s="63"/>
    </row>
    <row r="120" spans="1:13" ht="29" x14ac:dyDescent="0.35">
      <c r="A120" t="s">
        <v>1826</v>
      </c>
      <c r="B120" t="s">
        <v>1827</v>
      </c>
      <c r="C120" t="s">
        <v>1828</v>
      </c>
      <c r="D120" t="s">
        <v>1829</v>
      </c>
      <c r="E120" s="10" t="s">
        <v>50</v>
      </c>
      <c r="F120" s="11" t="s">
        <v>1830</v>
      </c>
      <c r="H120" s="17" t="str">
        <f>HYPERLINK("https://www.google.com/maps/?q=46.208905556,-64.426952778", "https://www.google.com/maps/?q=46.208905556,-64.426952778")</f>
        <v>https://www.google.com/maps/?q=46.208905556,-64.426952778</v>
      </c>
      <c r="I120" s="17" t="s">
        <v>1831</v>
      </c>
      <c r="J120" s="113" t="s">
        <v>1832</v>
      </c>
      <c r="K120" s="63"/>
      <c r="M120" s="38">
        <v>70467733</v>
      </c>
    </row>
    <row r="121" spans="1:13" ht="29" x14ac:dyDescent="0.35">
      <c r="A121" t="s">
        <v>1833</v>
      </c>
      <c r="B121" t="s">
        <v>1834</v>
      </c>
      <c r="C121" t="s">
        <v>1835</v>
      </c>
      <c r="D121" t="s">
        <v>1836</v>
      </c>
      <c r="E121" s="10" t="s">
        <v>50</v>
      </c>
      <c r="F121" s="11" t="s">
        <v>1837</v>
      </c>
      <c r="G121" s="12" t="s">
        <v>1253</v>
      </c>
      <c r="H121" s="17" t="str">
        <f>HYPERLINK("https://www.google.com/maps/?q=46.1115055560001,-64.718255556", "https://www.google.com/maps/?q=46.1115055560001,-64.718255556")</f>
        <v>https://www.google.com/maps/?q=46.1115055560001,-64.718255556</v>
      </c>
      <c r="I121" s="113" t="s">
        <v>1838</v>
      </c>
      <c r="J121" s="17" t="s">
        <v>1839</v>
      </c>
      <c r="K121" s="63">
        <v>15068550033</v>
      </c>
    </row>
    <row r="122" spans="1:13" ht="58" x14ac:dyDescent="0.35">
      <c r="A122" t="s">
        <v>1840</v>
      </c>
      <c r="B122" t="s">
        <v>1841</v>
      </c>
      <c r="C122" t="s">
        <v>1842</v>
      </c>
      <c r="D122" t="s">
        <v>1843</v>
      </c>
      <c r="E122" s="10" t="s">
        <v>50</v>
      </c>
      <c r="F122" s="11" t="s">
        <v>1844</v>
      </c>
      <c r="G122" s="12" t="s">
        <v>1147</v>
      </c>
      <c r="H122" s="17" t="str">
        <f>HYPERLINK("https://www.google.com/maps/?q=45.274075,-66.061236111", "https://www.google.com/maps/?q=45.274075,-66.061236111")</f>
        <v>https://www.google.com/maps/?q=45.274075,-66.061236111</v>
      </c>
      <c r="I122" s="17" t="s">
        <v>1845</v>
      </c>
      <c r="J122" s="12" t="s">
        <v>1846</v>
      </c>
      <c r="K122" s="69" t="s">
        <v>1847</v>
      </c>
    </row>
    <row r="123" spans="1:13" ht="29" x14ac:dyDescent="0.35">
      <c r="A123" t="s">
        <v>1848</v>
      </c>
      <c r="B123" t="s">
        <v>1849</v>
      </c>
      <c r="C123" t="s">
        <v>1850</v>
      </c>
      <c r="D123" t="s">
        <v>1851</v>
      </c>
      <c r="E123" s="10" t="s">
        <v>50</v>
      </c>
      <c r="F123" s="11" t="s">
        <v>1852</v>
      </c>
      <c r="H123" s="17" t="str">
        <f>HYPERLINK("https://www.google.com/maps/?q=45.3933500000001,-65.9659", "https://www.google.com/maps/?q=45.3933500000001,-65.9659")</f>
        <v>https://www.google.com/maps/?q=45.3933500000001,-65.9659</v>
      </c>
      <c r="J123" s="113" t="s">
        <v>1832</v>
      </c>
      <c r="K123" s="63"/>
    </row>
    <row r="124" spans="1:13" ht="29" x14ac:dyDescent="0.35">
      <c r="A124" t="s">
        <v>1853</v>
      </c>
      <c r="B124" t="s">
        <v>1854</v>
      </c>
      <c r="C124" t="s">
        <v>1855</v>
      </c>
      <c r="D124" t="s">
        <v>1856</v>
      </c>
      <c r="E124" s="10" t="s">
        <v>50</v>
      </c>
      <c r="F124" s="11" t="s">
        <v>1857</v>
      </c>
      <c r="H124" s="17" t="str">
        <f>HYPERLINK("https://www.google.com/maps/?q=47.145016667,-65.258630556", "https://www.google.com/maps/?q=47.145016667,-65.258630556")</f>
        <v>https://www.google.com/maps/?q=47.145016667,-65.258630556</v>
      </c>
      <c r="I124" s="17" t="s">
        <v>1858</v>
      </c>
      <c r="J124" s="113" t="s">
        <v>1832</v>
      </c>
      <c r="K124" s="63"/>
    </row>
    <row r="125" spans="1:13" ht="29" x14ac:dyDescent="0.35">
      <c r="A125" t="s">
        <v>1859</v>
      </c>
      <c r="B125" t="s">
        <v>1860</v>
      </c>
      <c r="C125" t="s">
        <v>1861</v>
      </c>
      <c r="D125" t="s">
        <v>1862</v>
      </c>
      <c r="E125" s="10" t="s">
        <v>50</v>
      </c>
      <c r="F125" s="11" t="s">
        <v>1863</v>
      </c>
      <c r="H125" s="17" t="str">
        <f>HYPERLINK("https://www.google.com/maps/?q=45.640833333,-65.894722222", "https://www.google.com/maps/?q=45.640833333,-65.894722222")</f>
        <v>https://www.google.com/maps/?q=45.640833333,-65.894722222</v>
      </c>
      <c r="I125" s="17" t="s">
        <v>1858</v>
      </c>
      <c r="J125" s="113" t="s">
        <v>1832</v>
      </c>
      <c r="K125" s="63"/>
    </row>
    <row r="126" spans="1:13" ht="29" x14ac:dyDescent="0.35">
      <c r="A126" t="s">
        <v>1864</v>
      </c>
      <c r="B126" t="s">
        <v>1865</v>
      </c>
      <c r="C126" t="s">
        <v>1866</v>
      </c>
      <c r="D126" t="s">
        <v>1867</v>
      </c>
      <c r="E126" s="10" t="s">
        <v>50</v>
      </c>
      <c r="F126" s="11" t="s">
        <v>1451</v>
      </c>
      <c r="G126" s="12" t="s">
        <v>1253</v>
      </c>
      <c r="H126" s="17" t="str">
        <f>HYPERLINK("https://www.google.com/maps/?q=46.1011361110001,-64.767494444", "https://www.google.com/maps/?q=46.1011361110001,-64.767494444")</f>
        <v>https://www.google.com/maps/?q=46.1011361110001,-64.767494444</v>
      </c>
      <c r="I126" s="17" t="s">
        <v>1452</v>
      </c>
      <c r="J126" s="17" t="s">
        <v>1868</v>
      </c>
      <c r="K126" s="63">
        <v>15068524247</v>
      </c>
      <c r="M126" s="38">
        <v>70421243</v>
      </c>
    </row>
    <row r="127" spans="1:13" ht="29" x14ac:dyDescent="0.35">
      <c r="A127" t="s">
        <v>1869</v>
      </c>
      <c r="B127" t="s">
        <v>1870</v>
      </c>
      <c r="C127" t="s">
        <v>1871</v>
      </c>
      <c r="D127" t="s">
        <v>1872</v>
      </c>
      <c r="E127" s="10" t="s">
        <v>28</v>
      </c>
      <c r="F127" s="11" t="s">
        <v>1873</v>
      </c>
      <c r="H127" s="17" t="str">
        <f>HYPERLINK("https://www.google.com/maps/?q=46.194033333,-64.2821222219999", "https://www.google.com/maps/?q=46.194033333,-64.2821222219999")</f>
        <v>https://www.google.com/maps/?q=46.194033333,-64.2821222219999</v>
      </c>
      <c r="I127" s="113" t="s">
        <v>1874</v>
      </c>
      <c r="J127" s="113" t="s">
        <v>1832</v>
      </c>
      <c r="K127" s="63"/>
    </row>
    <row r="128" spans="1:13" ht="29" x14ac:dyDescent="0.35">
      <c r="A128" t="s">
        <v>1875</v>
      </c>
      <c r="B128" t="s">
        <v>1876</v>
      </c>
      <c r="C128" t="s">
        <v>1877</v>
      </c>
      <c r="D128" t="s">
        <v>1878</v>
      </c>
      <c r="E128" s="10" t="s">
        <v>28</v>
      </c>
      <c r="F128" s="11" t="s">
        <v>1879</v>
      </c>
      <c r="H128" s="17" t="str">
        <f>HYPERLINK("https://www.google.com/maps/?q=45.318419444,-66.0824777779999", "https://www.google.com/maps/?q=45.318419444,-66.0824777779999")</f>
        <v>https://www.google.com/maps/?q=45.318419444,-66.0824777779999</v>
      </c>
      <c r="I128" s="17" t="s">
        <v>1880</v>
      </c>
      <c r="K128" s="63"/>
    </row>
    <row r="129" spans="1:12" ht="29" x14ac:dyDescent="0.35">
      <c r="A129" t="s">
        <v>1881</v>
      </c>
      <c r="B129" t="s">
        <v>1882</v>
      </c>
      <c r="C129" t="s">
        <v>1883</v>
      </c>
      <c r="D129" t="s">
        <v>1884</v>
      </c>
      <c r="E129" s="10" t="s">
        <v>28</v>
      </c>
      <c r="F129" s="11" t="s">
        <v>1885</v>
      </c>
      <c r="H129" s="17" t="str">
        <f>HYPERLINK("https://www.google.com/maps/?q=45.3544000000001,-66.1761083329999", "https://www.google.com/maps/?q=45.3544000000001,-66.1761083329999")</f>
        <v>https://www.google.com/maps/?q=45.3544000000001,-66.1761083329999</v>
      </c>
      <c r="I129" s="113" t="s">
        <v>1874</v>
      </c>
      <c r="J129" s="113" t="s">
        <v>1832</v>
      </c>
      <c r="K129" s="63"/>
    </row>
    <row r="130" spans="1:12" ht="29" x14ac:dyDescent="0.35">
      <c r="A130" t="s">
        <v>1886</v>
      </c>
      <c r="B130" t="s">
        <v>1887</v>
      </c>
      <c r="C130" t="s">
        <v>1888</v>
      </c>
      <c r="D130" t="s">
        <v>1889</v>
      </c>
      <c r="E130" s="10" t="s">
        <v>28</v>
      </c>
      <c r="F130" s="11" t="s">
        <v>1890</v>
      </c>
      <c r="G130" s="12" t="s">
        <v>1138</v>
      </c>
      <c r="H130" s="17" t="str">
        <f>HYPERLINK("https://www.google.com/maps/?q=46.0703,-64.7646999999999", "https://www.google.com/maps/?q=46.0703,-64.7646999999999")</f>
        <v>https://www.google.com/maps/?q=46.0703,-64.7646999999999</v>
      </c>
      <c r="I130" s="28" t="s">
        <v>1891</v>
      </c>
      <c r="J130" s="12" t="s">
        <v>1892</v>
      </c>
      <c r="K130" s="63" t="s">
        <v>1893</v>
      </c>
    </row>
    <row r="131" spans="1:12" ht="43.5" x14ac:dyDescent="0.35">
      <c r="A131" t="s">
        <v>1894</v>
      </c>
      <c r="B131" t="s">
        <v>1895</v>
      </c>
      <c r="C131" t="s">
        <v>1896</v>
      </c>
      <c r="D131" t="s">
        <v>1897</v>
      </c>
      <c r="E131" s="10" t="s">
        <v>28</v>
      </c>
      <c r="F131" s="11" t="s">
        <v>1392</v>
      </c>
      <c r="G131" s="12" t="s">
        <v>1147</v>
      </c>
      <c r="H131" s="51" t="str">
        <f>HYPERLINK("https://www.google.com/maps/?q=46.0961888890001,-64.8092305559999", "https://www.google.com/maps/?q=46.0961888890001,-64.8092305559999")</f>
        <v>https://www.google.com/maps/?q=46.0961888890001,-64.8092305559999</v>
      </c>
      <c r="I131" s="17" t="s">
        <v>1898</v>
      </c>
      <c r="J131" s="52" t="s">
        <v>1899</v>
      </c>
      <c r="K131" s="63">
        <v>15068537653</v>
      </c>
      <c r="L131" s="47"/>
    </row>
    <row r="132" spans="1:12" ht="46.5" x14ac:dyDescent="0.35">
      <c r="A132" t="s">
        <v>1900</v>
      </c>
      <c r="B132" t="s">
        <v>1901</v>
      </c>
      <c r="C132" t="s">
        <v>1902</v>
      </c>
      <c r="D132" t="s">
        <v>1903</v>
      </c>
      <c r="E132" s="10" t="s">
        <v>28</v>
      </c>
      <c r="F132" s="11" t="s">
        <v>1904</v>
      </c>
      <c r="G132" s="12" t="s">
        <v>1356</v>
      </c>
      <c r="H132" s="17" t="str">
        <f>HYPERLINK("https://www.google.com/maps/?q=45.5658000000001,-66.3847", "https://www.google.com/maps/?q=45.5658000000001,-66.3847")</f>
        <v>https://www.google.com/maps/?q=45.5658000000001,-66.3847</v>
      </c>
      <c r="I132" s="17" t="s">
        <v>1905</v>
      </c>
      <c r="J132" s="17" t="s">
        <v>1906</v>
      </c>
      <c r="K132" s="70" t="s">
        <v>1907</v>
      </c>
    </row>
    <row r="133" spans="1:12" ht="29" x14ac:dyDescent="0.35">
      <c r="A133" t="s">
        <v>1908</v>
      </c>
      <c r="B133" t="s">
        <v>1909</v>
      </c>
      <c r="C133" t="s">
        <v>1910</v>
      </c>
      <c r="D133" t="s">
        <v>1911</v>
      </c>
      <c r="E133" s="10" t="s">
        <v>28</v>
      </c>
      <c r="F133" s="11" t="s">
        <v>1912</v>
      </c>
      <c r="H133" s="17" t="str">
        <f>HYPERLINK("https://www.google.com/maps/?q=45.2874277780001,-65.987666667", "https://www.google.com/maps/?q=45.2874277780001,-65.987666667")</f>
        <v>https://www.google.com/maps/?q=45.2874277780001,-65.987666667</v>
      </c>
      <c r="K133" s="63"/>
    </row>
    <row r="134" spans="1:12" ht="29" x14ac:dyDescent="0.35">
      <c r="A134" t="s">
        <v>1913</v>
      </c>
      <c r="B134" t="s">
        <v>1914</v>
      </c>
      <c r="C134" t="s">
        <v>1915</v>
      </c>
      <c r="D134" t="s">
        <v>1916</v>
      </c>
      <c r="E134" s="10" t="s">
        <v>28</v>
      </c>
      <c r="F134" s="11" t="s">
        <v>1917</v>
      </c>
      <c r="H134" s="17" t="str">
        <f>HYPERLINK("https://www.google.com/maps/?q=47.451108333,-68.385330556", "https://www.google.com/maps/?q=47.451108333,-68.385330556")</f>
        <v>https://www.google.com/maps/?q=47.451108333,-68.385330556</v>
      </c>
      <c r="K134" s="63"/>
    </row>
    <row r="135" spans="1:12" ht="29" x14ac:dyDescent="0.35">
      <c r="A135" t="s">
        <v>1918</v>
      </c>
      <c r="B135" t="s">
        <v>1919</v>
      </c>
      <c r="C135" t="s">
        <v>1920</v>
      </c>
      <c r="D135" t="s">
        <v>1921</v>
      </c>
      <c r="E135" s="10" t="s">
        <v>28</v>
      </c>
      <c r="F135" s="11" t="s">
        <v>1922</v>
      </c>
      <c r="H135" s="17" t="str">
        <f>HYPERLINK("https://www.google.com/maps/?q=45.2333305560001,-65.9844388889999", "https://www.google.com/maps/?q=45.2333305560001,-65.9844388889999")</f>
        <v>https://www.google.com/maps/?q=45.2333305560001,-65.9844388889999</v>
      </c>
      <c r="K135" s="63"/>
    </row>
    <row r="136" spans="1:12" ht="29" x14ac:dyDescent="0.35">
      <c r="A136" t="s">
        <v>1923</v>
      </c>
      <c r="B136" t="s">
        <v>1924</v>
      </c>
      <c r="C136" t="s">
        <v>1925</v>
      </c>
      <c r="D136" t="s">
        <v>1926</v>
      </c>
      <c r="E136" s="10" t="s">
        <v>28</v>
      </c>
      <c r="F136" s="11" t="s">
        <v>1493</v>
      </c>
      <c r="H136" s="17" t="str">
        <f>HYPERLINK("https://www.google.com/maps/?q=45.438580556,-65.899683333", "https://www.google.com/maps/?q=45.438580556,-65.899683333")</f>
        <v>https://www.google.com/maps/?q=45.438580556,-65.899683333</v>
      </c>
      <c r="K136" s="63"/>
    </row>
    <row r="137" spans="1:12" ht="29" x14ac:dyDescent="0.35">
      <c r="A137" t="s">
        <v>1927</v>
      </c>
      <c r="B137" t="s">
        <v>1928</v>
      </c>
      <c r="C137" t="s">
        <v>1929</v>
      </c>
      <c r="D137" t="s">
        <v>1930</v>
      </c>
      <c r="E137" s="10" t="s">
        <v>28</v>
      </c>
      <c r="F137" s="11" t="s">
        <v>1931</v>
      </c>
      <c r="H137" s="17" t="str">
        <f>HYPERLINK("https://www.google.com/maps/?q=45.966613889,-66.5967805559999", "https://www.google.com/maps/?q=45.966613889,-66.5967805559999")</f>
        <v>https://www.google.com/maps/?q=45.966613889,-66.5967805559999</v>
      </c>
      <c r="K137" s="63"/>
    </row>
    <row r="138" spans="1:12" ht="29" x14ac:dyDescent="0.35">
      <c r="A138" t="s">
        <v>1932</v>
      </c>
      <c r="B138" t="s">
        <v>1933</v>
      </c>
      <c r="C138" t="s">
        <v>1934</v>
      </c>
      <c r="D138" t="s">
        <v>1935</v>
      </c>
      <c r="E138" s="10" t="s">
        <v>28</v>
      </c>
      <c r="F138" s="11" t="s">
        <v>1936</v>
      </c>
      <c r="H138" s="17" t="str">
        <f>HYPERLINK("https://www.google.com/maps/?q=47.2484805560001,-68.6264805559999", "https://www.google.com/maps/?q=47.2484805560001,-68.6264805559999")</f>
        <v>https://www.google.com/maps/?q=47.2484805560001,-68.6264805559999</v>
      </c>
      <c r="K138" s="63"/>
    </row>
    <row r="139" spans="1:12" ht="29" x14ac:dyDescent="0.35">
      <c r="A139" t="s">
        <v>1937</v>
      </c>
      <c r="B139" t="s">
        <v>1938</v>
      </c>
      <c r="C139" t="s">
        <v>1939</v>
      </c>
      <c r="D139" t="s">
        <v>1940</v>
      </c>
      <c r="E139" s="10" t="s">
        <v>28</v>
      </c>
      <c r="F139" s="11" t="s">
        <v>1941</v>
      </c>
      <c r="H139" s="17" t="str">
        <f>HYPERLINK("https://www.google.com/maps/?q=45.274577778,-66.0267222219999", "https://www.google.com/maps/?q=45.274577778,-66.0267222219999")</f>
        <v>https://www.google.com/maps/?q=45.274577778,-66.0267222219999</v>
      </c>
    </row>
    <row r="140" spans="1:12" ht="29" x14ac:dyDescent="0.35">
      <c r="A140" t="s">
        <v>1942</v>
      </c>
      <c r="B140" t="s">
        <v>1943</v>
      </c>
      <c r="C140" t="s">
        <v>1944</v>
      </c>
      <c r="D140" t="s">
        <v>1945</v>
      </c>
      <c r="E140" s="10" t="s">
        <v>28</v>
      </c>
      <c r="F140" s="11" t="s">
        <v>1946</v>
      </c>
      <c r="H140" s="17" t="str">
        <f>HYPERLINK("https://www.google.com/maps/?q=47.0061000000001,-65.586397222", "https://www.google.com/maps/?q=47.0061000000001,-65.586397222")</f>
        <v>https://www.google.com/maps/?q=47.0061000000001,-65.586397222</v>
      </c>
    </row>
    <row r="141" spans="1:12" ht="29" x14ac:dyDescent="0.35">
      <c r="A141" t="s">
        <v>1947</v>
      </c>
      <c r="B141" t="s">
        <v>1948</v>
      </c>
      <c r="C141" t="s">
        <v>1949</v>
      </c>
      <c r="D141" t="s">
        <v>1950</v>
      </c>
      <c r="E141" s="10" t="s">
        <v>28</v>
      </c>
      <c r="F141" s="11" t="s">
        <v>1951</v>
      </c>
      <c r="H141" s="17" t="str">
        <f>HYPERLINK("https://www.google.com/maps/?q=46.1312444440001,-64.750047222", "https://www.google.com/maps/?q=46.1312444440001,-64.750047222")</f>
        <v>https://www.google.com/maps/?q=46.1312444440001,-64.750047222</v>
      </c>
    </row>
    <row r="142" spans="1:12" ht="29" x14ac:dyDescent="0.35">
      <c r="A142" t="s">
        <v>1952</v>
      </c>
      <c r="B142" t="s">
        <v>1953</v>
      </c>
      <c r="C142" t="s">
        <v>1954</v>
      </c>
      <c r="D142" t="s">
        <v>1955</v>
      </c>
      <c r="E142" s="10" t="s">
        <v>28</v>
      </c>
      <c r="F142" s="11" t="s">
        <v>1956</v>
      </c>
      <c r="H142" s="17" t="str">
        <f>HYPERLINK("https://www.google.com/maps/?q=45.269341667,-66.061316667", "https://www.google.com/maps/?q=45.269341667,-66.061316667")</f>
        <v>https://www.google.com/maps/?q=45.269341667,-66.061316667</v>
      </c>
    </row>
    <row r="143" spans="1:12" ht="29" x14ac:dyDescent="0.35">
      <c r="A143" t="s">
        <v>1957</v>
      </c>
      <c r="B143" t="s">
        <v>1958</v>
      </c>
      <c r="C143" t="s">
        <v>1959</v>
      </c>
      <c r="D143" t="s">
        <v>1960</v>
      </c>
      <c r="E143" s="10" t="s">
        <v>28</v>
      </c>
      <c r="F143" s="11" t="s">
        <v>1961</v>
      </c>
      <c r="H143" s="17" t="str">
        <f>HYPERLINK("https://www.google.com/maps/?q=45.997522222,-66.7699083329999", "https://www.google.com/maps/?q=45.997522222,-66.7699083329999")</f>
        <v>https://www.google.com/maps/?q=45.997522222,-66.7699083329999</v>
      </c>
    </row>
    <row r="144" spans="1:12" ht="29" x14ac:dyDescent="0.35">
      <c r="A144" t="s">
        <v>1962</v>
      </c>
      <c r="B144" t="s">
        <v>1963</v>
      </c>
      <c r="C144" t="s">
        <v>1964</v>
      </c>
      <c r="D144" t="s">
        <v>1965</v>
      </c>
      <c r="E144" s="10" t="s">
        <v>28</v>
      </c>
      <c r="F144" s="11" t="s">
        <v>1966</v>
      </c>
      <c r="H144" s="17" t="str">
        <f>HYPERLINK("https://www.google.com/maps/?q=45.8064000000001,-65.3391999999999", "https://www.google.com/maps/?q=45.8064000000001,-65.3391999999999")</f>
        <v>https://www.google.com/maps/?q=45.8064000000001,-65.3391999999999</v>
      </c>
    </row>
    <row r="145" spans="1:10" ht="29" x14ac:dyDescent="0.35">
      <c r="A145" t="s">
        <v>1967</v>
      </c>
      <c r="B145" t="s">
        <v>1968</v>
      </c>
      <c r="C145" t="s">
        <v>1969</v>
      </c>
      <c r="D145" t="s">
        <v>1970</v>
      </c>
      <c r="E145" s="10" t="s">
        <v>28</v>
      </c>
      <c r="F145" s="11" t="s">
        <v>1971</v>
      </c>
      <c r="H145" s="17" t="str">
        <f>HYPERLINK("https://www.google.com/maps/?q=47.388897222,-68.3164", "https://www.google.com/maps/?q=47.388897222,-68.3164")</f>
        <v>https://www.google.com/maps/?q=47.388897222,-68.3164</v>
      </c>
    </row>
    <row r="146" spans="1:10" ht="29" x14ac:dyDescent="0.35">
      <c r="A146" t="s">
        <v>1972</v>
      </c>
      <c r="B146" t="s">
        <v>1973</v>
      </c>
      <c r="C146" t="s">
        <v>1974</v>
      </c>
      <c r="D146" t="s">
        <v>1975</v>
      </c>
      <c r="E146" s="10" t="s">
        <v>28</v>
      </c>
      <c r="F146" s="11" t="s">
        <v>1976</v>
      </c>
      <c r="H146" s="17" t="str">
        <f>HYPERLINK("https://www.google.com/maps/?q=46.0873888890001,-64.592725", "https://www.google.com/maps/?q=46.0873888890001,-64.592725")</f>
        <v>https://www.google.com/maps/?q=46.0873888890001,-64.592725</v>
      </c>
      <c r="J146" s="17"/>
    </row>
    <row r="147" spans="1:10" ht="29" x14ac:dyDescent="0.35">
      <c r="A147" t="s">
        <v>1977</v>
      </c>
      <c r="B147" t="s">
        <v>1978</v>
      </c>
      <c r="C147" t="s">
        <v>1979</v>
      </c>
      <c r="D147" t="s">
        <v>1980</v>
      </c>
      <c r="E147" s="10" t="s">
        <v>28</v>
      </c>
      <c r="F147" s="11" t="s">
        <v>1981</v>
      </c>
      <c r="H147" s="17" t="str">
        <f>HYPERLINK("https://www.google.com/maps/?q=45.276219444,-66.063655556", "https://www.google.com/maps/?q=45.276219444,-66.063655556")</f>
        <v>https://www.google.com/maps/?q=45.276219444,-66.063655556</v>
      </c>
    </row>
    <row r="148" spans="1:10" ht="29" x14ac:dyDescent="0.35">
      <c r="A148" t="s">
        <v>1982</v>
      </c>
      <c r="B148" t="s">
        <v>1983</v>
      </c>
      <c r="C148" t="s">
        <v>1984</v>
      </c>
      <c r="D148" t="s">
        <v>1985</v>
      </c>
      <c r="E148" s="10" t="s">
        <v>28</v>
      </c>
      <c r="F148" s="11" t="s">
        <v>1986</v>
      </c>
      <c r="H148" s="17" t="str">
        <f>HYPERLINK("https://www.google.com/maps/?q=46.4464,-67.5785999999999", "https://www.google.com/maps/?q=46.4464,-67.5785999999999")</f>
        <v>https://www.google.com/maps/?q=46.4464,-67.5785999999999</v>
      </c>
    </row>
    <row r="149" spans="1:10" ht="29" x14ac:dyDescent="0.35">
      <c r="A149" t="s">
        <v>1987</v>
      </c>
      <c r="B149" t="s">
        <v>1988</v>
      </c>
      <c r="C149" t="s">
        <v>1989</v>
      </c>
      <c r="D149" t="s">
        <v>1990</v>
      </c>
      <c r="E149" s="10" t="s">
        <v>28</v>
      </c>
      <c r="F149" s="11" t="s">
        <v>1991</v>
      </c>
      <c r="H149" s="17" t="str">
        <f>HYPERLINK("https://www.google.com/maps/?q=45.4050888890001,-65.9712249999999", "https://www.google.com/maps/?q=45.4050888890001,-65.9712249999999")</f>
        <v>https://www.google.com/maps/?q=45.4050888890001,-65.9712249999999</v>
      </c>
    </row>
    <row r="150" spans="1:10" ht="29" x14ac:dyDescent="0.35">
      <c r="A150" t="s">
        <v>1992</v>
      </c>
      <c r="B150" t="s">
        <v>1993</v>
      </c>
      <c r="C150" t="s">
        <v>1994</v>
      </c>
      <c r="D150" t="s">
        <v>1995</v>
      </c>
      <c r="E150" s="10" t="s">
        <v>28</v>
      </c>
      <c r="F150" s="11" t="s">
        <v>1996</v>
      </c>
      <c r="H150" s="17" t="str">
        <f>HYPERLINK("https://www.google.com/maps/?q=45.8775000000001,-66.575297222", "https://www.google.com/maps/?q=45.8775000000001,-66.575297222")</f>
        <v>https://www.google.com/maps/?q=45.8775000000001,-66.575297222</v>
      </c>
    </row>
    <row r="151" spans="1:10" ht="29" x14ac:dyDescent="0.35">
      <c r="A151" t="s">
        <v>1997</v>
      </c>
      <c r="B151" t="s">
        <v>1998</v>
      </c>
      <c r="C151" t="s">
        <v>1999</v>
      </c>
      <c r="D151" t="s">
        <v>2000</v>
      </c>
      <c r="E151" s="10" t="s">
        <v>28</v>
      </c>
      <c r="F151" s="11" t="s">
        <v>2001</v>
      </c>
      <c r="H151" s="17" t="str">
        <f>HYPERLINK("https://www.google.com/maps/?q=47.624608333,-64.866458333", "https://www.google.com/maps/?q=47.624608333,-64.866458333")</f>
        <v>https://www.google.com/maps/?q=47.624608333,-64.866458333</v>
      </c>
    </row>
    <row r="152" spans="1:10" ht="29" x14ac:dyDescent="0.35">
      <c r="A152" t="s">
        <v>2002</v>
      </c>
      <c r="B152" t="s">
        <v>2003</v>
      </c>
      <c r="C152" t="s">
        <v>2004</v>
      </c>
      <c r="D152" t="s">
        <v>2005</v>
      </c>
      <c r="E152" s="10" t="s">
        <v>28</v>
      </c>
      <c r="F152" s="11" t="s">
        <v>2006</v>
      </c>
      <c r="H152" s="17" t="str">
        <f>HYPERLINK("https://www.google.com/maps/?q=45.4881,-65.8264", "https://www.google.com/maps/?q=45.4881,-65.8264")</f>
        <v>https://www.google.com/maps/?q=45.4881,-65.8264</v>
      </c>
    </row>
    <row r="153" spans="1:10" ht="29" x14ac:dyDescent="0.35">
      <c r="A153" t="s">
        <v>2007</v>
      </c>
      <c r="B153" t="s">
        <v>2008</v>
      </c>
      <c r="C153" t="s">
        <v>2009</v>
      </c>
      <c r="D153" t="s">
        <v>2010</v>
      </c>
      <c r="E153" s="10" t="s">
        <v>44</v>
      </c>
      <c r="F153" s="11" t="s">
        <v>2011</v>
      </c>
      <c r="H153" s="17" t="str">
        <f>HYPERLINK("https://www.google.com/maps/?q=46.3948722220001,-65.1900249999999", "https://www.google.com/maps/?q=46.3948722220001,-65.1900249999999")</f>
        <v>https://www.google.com/maps/?q=46.3948722220001,-65.1900249999999</v>
      </c>
    </row>
    <row r="154" spans="1:10" ht="29" x14ac:dyDescent="0.35">
      <c r="A154" t="s">
        <v>2012</v>
      </c>
      <c r="B154" t="s">
        <v>2013</v>
      </c>
      <c r="C154" t="s">
        <v>2014</v>
      </c>
      <c r="D154" t="s">
        <v>2015</v>
      </c>
      <c r="E154" s="10" t="s">
        <v>44</v>
      </c>
      <c r="F154" s="11" t="s">
        <v>2016</v>
      </c>
      <c r="H154" s="17" t="str">
        <f>HYPERLINK("https://www.google.com/maps/?q=47.2511000000001,-65.3824999999999", "https://www.google.com/maps/?q=47.2511000000001,-65.3824999999999")</f>
        <v>https://www.google.com/maps/?q=47.2511000000001,-65.3824999999999</v>
      </c>
    </row>
    <row r="155" spans="1:10" ht="29" x14ac:dyDescent="0.35">
      <c r="A155" t="s">
        <v>2017</v>
      </c>
      <c r="B155" t="s">
        <v>2018</v>
      </c>
      <c r="C155" t="s">
        <v>2019</v>
      </c>
      <c r="D155" t="s">
        <v>2020</v>
      </c>
      <c r="E155" s="10" t="s">
        <v>28</v>
      </c>
      <c r="F155" s="11" t="s">
        <v>2021</v>
      </c>
      <c r="H155" s="17" t="str">
        <f>HYPERLINK("https://www.google.com/maps/?q=47.7444888890001,-65.074438889", "https://www.google.com/maps/?q=47.7444888890001,-65.074438889")</f>
        <v>https://www.google.com/maps/?q=47.7444888890001,-65.074438889</v>
      </c>
    </row>
    <row r="156" spans="1:10" ht="29" x14ac:dyDescent="0.35">
      <c r="A156" t="s">
        <v>2022</v>
      </c>
      <c r="B156" t="s">
        <v>2023</v>
      </c>
      <c r="C156" t="s">
        <v>2024</v>
      </c>
      <c r="D156" t="s">
        <v>2025</v>
      </c>
      <c r="E156" s="10" t="s">
        <v>28</v>
      </c>
      <c r="F156" s="11" t="s">
        <v>2026</v>
      </c>
      <c r="H156" s="17" t="str">
        <f>HYPERLINK("https://www.google.com/maps/?q=46.230772222,-64.296802778", "https://www.google.com/maps/?q=46.230772222,-64.296802778")</f>
        <v>https://www.google.com/maps/?q=46.230772222,-64.296802778</v>
      </c>
    </row>
    <row r="157" spans="1:10" ht="29" x14ac:dyDescent="0.35">
      <c r="A157" t="s">
        <v>2027</v>
      </c>
      <c r="B157" t="s">
        <v>2028</v>
      </c>
      <c r="C157" t="s">
        <v>2029</v>
      </c>
      <c r="D157" t="s">
        <v>2030</v>
      </c>
      <c r="E157" s="10" t="s">
        <v>28</v>
      </c>
      <c r="F157" s="11" t="s">
        <v>2031</v>
      </c>
      <c r="H157" s="17" t="str">
        <f>HYPERLINK("https://www.google.com/maps/?q=45.309030556,-66.012308333", "https://www.google.com/maps/?q=45.309030556,-66.012308333")</f>
        <v>https://www.google.com/maps/?q=45.309030556,-66.012308333</v>
      </c>
    </row>
    <row r="158" spans="1:10" ht="29" x14ac:dyDescent="0.35">
      <c r="A158" t="s">
        <v>2032</v>
      </c>
      <c r="B158" t="s">
        <v>2033</v>
      </c>
      <c r="C158" t="s">
        <v>2034</v>
      </c>
      <c r="D158" t="s">
        <v>2035</v>
      </c>
      <c r="E158" s="10" t="s">
        <v>28</v>
      </c>
      <c r="F158" s="11" t="s">
        <v>2036</v>
      </c>
      <c r="H158" s="17" t="str">
        <f>HYPERLINK("https://www.google.com/maps/?q=45.957219444,-66.560908333", "https://www.google.com/maps/?q=45.957219444,-66.560908333")</f>
        <v>https://www.google.com/maps/?q=45.957219444,-66.560908333</v>
      </c>
    </row>
    <row r="159" spans="1:10" ht="29" x14ac:dyDescent="0.35">
      <c r="A159" t="s">
        <v>2037</v>
      </c>
      <c r="B159" t="s">
        <v>2038</v>
      </c>
      <c r="C159" t="s">
        <v>2039</v>
      </c>
      <c r="D159" t="s">
        <v>2040</v>
      </c>
      <c r="E159" s="10" t="s">
        <v>28</v>
      </c>
      <c r="F159" s="11" t="s">
        <v>2041</v>
      </c>
      <c r="H159" s="17" t="str">
        <f>HYPERLINK("https://www.google.com/maps/?q=46.0722000000001,-64.8361", "https://www.google.com/maps/?q=46.0722000000001,-64.8361")</f>
        <v>https://www.google.com/maps/?q=46.0722000000001,-64.8361</v>
      </c>
    </row>
    <row r="160" spans="1:10" ht="29" x14ac:dyDescent="0.35">
      <c r="A160" t="s">
        <v>2042</v>
      </c>
      <c r="B160" t="s">
        <v>2043</v>
      </c>
      <c r="C160" t="s">
        <v>2044</v>
      </c>
      <c r="D160" t="s">
        <v>2045</v>
      </c>
      <c r="E160" s="10" t="s">
        <v>28</v>
      </c>
      <c r="F160" s="11" t="s">
        <v>1724</v>
      </c>
      <c r="H160" s="17" t="str">
        <f>HYPERLINK("https://www.google.com/maps/?q=46.177958333,-67.549741667", "https://www.google.com/maps/?q=46.177958333,-67.549741667")</f>
        <v>https://www.google.com/maps/?q=46.177958333,-67.549741667</v>
      </c>
    </row>
    <row r="161" spans="1:8" ht="29" x14ac:dyDescent="0.35">
      <c r="A161" t="s">
        <v>2046</v>
      </c>
      <c r="B161" t="s">
        <v>2047</v>
      </c>
      <c r="C161" t="s">
        <v>2048</v>
      </c>
      <c r="D161" t="s">
        <v>2049</v>
      </c>
      <c r="E161" s="10" t="s">
        <v>28</v>
      </c>
      <c r="F161" s="11" t="s">
        <v>2050</v>
      </c>
      <c r="H161" s="17" t="str">
        <f>HYPERLINK("https://www.google.com/maps/?q=46.0959444440001,-64.823591667", "https://www.google.com/maps/?q=46.0959444440001,-64.823591667")</f>
        <v>https://www.google.com/maps/?q=46.0959444440001,-64.823591667</v>
      </c>
    </row>
    <row r="162" spans="1:8" ht="29" x14ac:dyDescent="0.35">
      <c r="A162" t="s">
        <v>2051</v>
      </c>
      <c r="B162" t="s">
        <v>2052</v>
      </c>
      <c r="C162" t="s">
        <v>2053</v>
      </c>
      <c r="D162" t="s">
        <v>2054</v>
      </c>
      <c r="E162" s="10" t="s">
        <v>28</v>
      </c>
      <c r="F162" s="11" t="s">
        <v>2055</v>
      </c>
      <c r="H162" s="17" t="str">
        <f>HYPERLINK("https://www.google.com/maps/?q=45.9846388890001,-66.7624777779999", "https://www.google.com/maps/?q=45.9846388890001,-66.7624777779999")</f>
        <v>https://www.google.com/maps/?q=45.9846388890001,-66.7624777779999</v>
      </c>
    </row>
    <row r="163" spans="1:8" ht="29" x14ac:dyDescent="0.35">
      <c r="A163" t="s">
        <v>2056</v>
      </c>
      <c r="B163" t="s">
        <v>2057</v>
      </c>
      <c r="C163" t="s">
        <v>2058</v>
      </c>
      <c r="D163" t="s">
        <v>2059</v>
      </c>
      <c r="E163" s="10" t="s">
        <v>28</v>
      </c>
      <c r="F163" s="11" t="s">
        <v>2060</v>
      </c>
      <c r="H163" s="17" t="str">
        <f>HYPERLINK("https://www.google.com/maps/?q=47.3700305560001,-68.3136083329999", "https://www.google.com/maps/?q=47.3700305560001,-68.3136083329999")</f>
        <v>https://www.google.com/maps/?q=47.3700305560001,-68.3136083329999</v>
      </c>
    </row>
    <row r="164" spans="1:8" ht="29" x14ac:dyDescent="0.35">
      <c r="A164" t="s">
        <v>2061</v>
      </c>
      <c r="B164" t="s">
        <v>2062</v>
      </c>
      <c r="C164" t="s">
        <v>2063</v>
      </c>
      <c r="D164" t="s">
        <v>2064</v>
      </c>
      <c r="E164" s="10" t="s">
        <v>28</v>
      </c>
      <c r="F164" s="11" t="s">
        <v>2065</v>
      </c>
      <c r="H164" s="17" t="str">
        <f>HYPERLINK("https://www.google.com/maps/?q=47.6381555560001,-65.760483333", "https://www.google.com/maps/?q=47.6381555560001,-65.760483333")</f>
        <v>https://www.google.com/maps/?q=47.6381555560001,-65.760483333</v>
      </c>
    </row>
    <row r="165" spans="1:8" ht="29" x14ac:dyDescent="0.35">
      <c r="A165" t="s">
        <v>2066</v>
      </c>
      <c r="B165" t="s">
        <v>2067</v>
      </c>
      <c r="C165" t="s">
        <v>2068</v>
      </c>
      <c r="D165" t="s">
        <v>2069</v>
      </c>
      <c r="E165" s="10" t="s">
        <v>28</v>
      </c>
      <c r="F165" s="11" t="s">
        <v>2070</v>
      </c>
      <c r="H165" s="17" t="str">
        <f>HYPERLINK("https://www.google.com/maps/?q=47.789397222,-64.9658138889999", "https://www.google.com/maps/?q=47.789397222,-64.9658138889999")</f>
        <v>https://www.google.com/maps/?q=47.789397222,-64.9658138889999</v>
      </c>
    </row>
    <row r="166" spans="1:8" ht="29" x14ac:dyDescent="0.35">
      <c r="A166" t="s">
        <v>2071</v>
      </c>
      <c r="B166" t="s">
        <v>2072</v>
      </c>
      <c r="C166" t="s">
        <v>2073</v>
      </c>
      <c r="D166" t="s">
        <v>2074</v>
      </c>
      <c r="E166" s="10" t="s">
        <v>28</v>
      </c>
      <c r="F166" s="11" t="s">
        <v>2075</v>
      </c>
      <c r="H166" s="17" t="str">
        <f>HYPERLINK("https://www.google.com/maps/?q=46.0933444440001,-64.7594055559999", "https://www.google.com/maps/?q=46.0933444440001,-64.7594055559999")</f>
        <v>https://www.google.com/maps/?q=46.0933444440001,-64.7594055559999</v>
      </c>
    </row>
    <row r="167" spans="1:8" ht="29" x14ac:dyDescent="0.35">
      <c r="A167" t="s">
        <v>2076</v>
      </c>
      <c r="B167" t="s">
        <v>2077</v>
      </c>
      <c r="C167" t="s">
        <v>2078</v>
      </c>
      <c r="D167" t="s">
        <v>2079</v>
      </c>
      <c r="E167" s="10" t="s">
        <v>28</v>
      </c>
      <c r="F167" s="11" t="s">
        <v>1317</v>
      </c>
      <c r="H167" s="17" t="str">
        <f>HYPERLINK("https://www.google.com/maps/?q=46.0987277780001,-64.736766667", "https://www.google.com/maps/?q=46.0987277780001,-64.736766667")</f>
        <v>https://www.google.com/maps/?q=46.0987277780001,-64.736766667</v>
      </c>
    </row>
    <row r="168" spans="1:8" ht="29" x14ac:dyDescent="0.35">
      <c r="A168" t="s">
        <v>2080</v>
      </c>
      <c r="B168" t="s">
        <v>2081</v>
      </c>
      <c r="C168" t="s">
        <v>2082</v>
      </c>
      <c r="D168" t="s">
        <v>2083</v>
      </c>
      <c r="E168" s="10" t="s">
        <v>28</v>
      </c>
      <c r="F168" s="11" t="s">
        <v>1951</v>
      </c>
      <c r="H168" s="17" t="str">
        <f>HYPERLINK("https://www.google.com/maps/?q=46.1311833330001,-64.758088889", "https://www.google.com/maps/?q=46.1311833330001,-64.758088889")</f>
        <v>https://www.google.com/maps/?q=46.1311833330001,-64.758088889</v>
      </c>
    </row>
    <row r="169" spans="1:8" ht="29" x14ac:dyDescent="0.35">
      <c r="A169" t="s">
        <v>2084</v>
      </c>
      <c r="B169" t="s">
        <v>2085</v>
      </c>
      <c r="C169" t="s">
        <v>2086</v>
      </c>
      <c r="D169" t="s">
        <v>2087</v>
      </c>
      <c r="E169" s="10" t="s">
        <v>28</v>
      </c>
      <c r="F169" s="11" t="s">
        <v>2088</v>
      </c>
      <c r="H169" s="17" t="str">
        <f>HYPERLINK("https://www.google.com/maps/?q=46.0482277780001,-64.788108333", "https://www.google.com/maps/?q=46.0482277780001,-64.788108333")</f>
        <v>https://www.google.com/maps/?q=46.0482277780001,-64.788108333</v>
      </c>
    </row>
    <row r="170" spans="1:8" ht="29" x14ac:dyDescent="0.35">
      <c r="A170" t="s">
        <v>2089</v>
      </c>
      <c r="B170" t="s">
        <v>2090</v>
      </c>
      <c r="C170" t="s">
        <v>2091</v>
      </c>
      <c r="D170" t="s">
        <v>2092</v>
      </c>
      <c r="E170" s="10" t="s">
        <v>28</v>
      </c>
      <c r="F170" s="11" t="s">
        <v>2093</v>
      </c>
      <c r="H170" s="17" t="str">
        <f>HYPERLINK("https://www.google.com/maps/?q=47.637616667,-65.743752778", "https://www.google.com/maps/?q=47.637616667,-65.743752778")</f>
        <v>https://www.google.com/maps/?q=47.637616667,-65.743752778</v>
      </c>
    </row>
    <row r="171" spans="1:8" ht="29" x14ac:dyDescent="0.35">
      <c r="A171" t="s">
        <v>2094</v>
      </c>
      <c r="B171" t="s">
        <v>2095</v>
      </c>
      <c r="C171" t="s">
        <v>2096</v>
      </c>
      <c r="D171" t="s">
        <v>2097</v>
      </c>
      <c r="E171" s="10" t="s">
        <v>28</v>
      </c>
      <c r="F171" s="11" t="s">
        <v>2098</v>
      </c>
      <c r="H171" s="17" t="str">
        <f>HYPERLINK("https://www.google.com/maps/?q=46.1114694440001,-64.777388889", "https://www.google.com/maps/?q=46.1114694440001,-64.777388889")</f>
        <v>https://www.google.com/maps/?q=46.1114694440001,-64.777388889</v>
      </c>
    </row>
    <row r="172" spans="1:8" ht="29" x14ac:dyDescent="0.35">
      <c r="A172" t="s">
        <v>2099</v>
      </c>
      <c r="B172" t="s">
        <v>2100</v>
      </c>
      <c r="C172" t="s">
        <v>2101</v>
      </c>
      <c r="D172" t="s">
        <v>2102</v>
      </c>
      <c r="E172" s="10" t="s">
        <v>28</v>
      </c>
      <c r="F172" s="11" t="s">
        <v>2103</v>
      </c>
      <c r="H172" s="17" t="str">
        <f>HYPERLINK("https://www.google.com/maps/?q=46.003077778,-66.6837277779999", "https://www.google.com/maps/?q=46.003077778,-66.6837277779999")</f>
        <v>https://www.google.com/maps/?q=46.003077778,-66.6837277779999</v>
      </c>
    </row>
    <row r="173" spans="1:8" ht="29" x14ac:dyDescent="0.35">
      <c r="A173" t="s">
        <v>2104</v>
      </c>
      <c r="B173" t="s">
        <v>2105</v>
      </c>
      <c r="C173" t="s">
        <v>2106</v>
      </c>
      <c r="D173" t="s">
        <v>2107</v>
      </c>
      <c r="E173" s="10" t="s">
        <v>28</v>
      </c>
      <c r="F173" s="11" t="s">
        <v>2108</v>
      </c>
      <c r="H173" s="17" t="str">
        <f>HYPERLINK("https://www.google.com/maps/?q=47.2682,-65.1089388889999", "https://www.google.com/maps/?q=47.2682,-65.1089388889999")</f>
        <v>https://www.google.com/maps/?q=47.2682,-65.1089388889999</v>
      </c>
    </row>
    <row r="174" spans="1:8" ht="29" x14ac:dyDescent="0.35">
      <c r="A174" t="s">
        <v>2109</v>
      </c>
      <c r="B174" t="s">
        <v>2110</v>
      </c>
      <c r="C174" t="s">
        <v>2111</v>
      </c>
      <c r="D174" t="s">
        <v>2112</v>
      </c>
      <c r="E174" s="10" t="s">
        <v>28</v>
      </c>
      <c r="F174" s="11" t="s">
        <v>2113</v>
      </c>
      <c r="H174" s="17" t="str">
        <f>HYPERLINK("https://www.google.com/maps/?q=47.010741667,-65.482611111", "https://www.google.com/maps/?q=47.010741667,-65.482611111")</f>
        <v>https://www.google.com/maps/?q=47.010741667,-65.482611111</v>
      </c>
    </row>
    <row r="175" spans="1:8" ht="29" x14ac:dyDescent="0.35">
      <c r="A175" t="s">
        <v>2114</v>
      </c>
      <c r="B175" t="s">
        <v>2115</v>
      </c>
      <c r="C175" t="s">
        <v>2116</v>
      </c>
      <c r="D175" t="s">
        <v>2117</v>
      </c>
      <c r="E175" s="10" t="s">
        <v>28</v>
      </c>
      <c r="F175" s="11" t="s">
        <v>2118</v>
      </c>
      <c r="H175" s="17" t="str">
        <f>HYPERLINK("https://www.google.com/maps/?q=45.1281000000001,-66.802197222", "https://www.google.com/maps/?q=45.1281000000001,-66.802197222")</f>
        <v>https://www.google.com/maps/?q=45.1281000000001,-66.802197222</v>
      </c>
    </row>
    <row r="176" spans="1:8" ht="29" x14ac:dyDescent="0.35">
      <c r="A176" t="s">
        <v>2119</v>
      </c>
      <c r="B176" t="s">
        <v>2120</v>
      </c>
      <c r="C176" t="s">
        <v>2121</v>
      </c>
      <c r="D176" t="s">
        <v>2122</v>
      </c>
      <c r="E176" s="10" t="s">
        <v>28</v>
      </c>
      <c r="F176" s="11" t="s">
        <v>1182</v>
      </c>
      <c r="H176" s="17" t="str">
        <f>HYPERLINK("https://www.google.com/maps/?q=45.9604305560001,-66.660222222", "https://www.google.com/maps/?q=45.9604305560001,-66.660222222")</f>
        <v>https://www.google.com/maps/?q=45.9604305560001,-66.660222222</v>
      </c>
    </row>
    <row r="177" spans="1:8" ht="29" x14ac:dyDescent="0.35">
      <c r="A177" t="s">
        <v>2123</v>
      </c>
      <c r="B177" t="s">
        <v>2124</v>
      </c>
      <c r="C177" t="s">
        <v>2125</v>
      </c>
      <c r="D177" t="s">
        <v>2126</v>
      </c>
      <c r="E177" s="10" t="s">
        <v>28</v>
      </c>
      <c r="F177" s="11" t="s">
        <v>2127</v>
      </c>
      <c r="H177" s="17" t="str">
        <f>HYPERLINK("https://www.google.com/maps/?q=46.1279027780001,-64.879705556", "https://www.google.com/maps/?q=46.1279027780001,-64.879705556")</f>
        <v>https://www.google.com/maps/?q=46.1279027780001,-64.879705556</v>
      </c>
    </row>
    <row r="178" spans="1:8" ht="29" x14ac:dyDescent="0.35">
      <c r="A178" t="s">
        <v>2128</v>
      </c>
      <c r="B178" t="s">
        <v>2129</v>
      </c>
      <c r="C178" t="s">
        <v>2130</v>
      </c>
      <c r="D178" t="s">
        <v>2131</v>
      </c>
      <c r="E178" s="10" t="s">
        <v>28</v>
      </c>
      <c r="F178" s="11" t="s">
        <v>2132</v>
      </c>
      <c r="H178" s="17" t="str">
        <f>HYPERLINK("https://www.google.com/maps/?q=45.3672194440001,-65.952772222", "https://www.google.com/maps/?q=45.3672194440001,-65.952772222")</f>
        <v>https://www.google.com/maps/?q=45.3672194440001,-65.952772222</v>
      </c>
    </row>
    <row r="179" spans="1:8" ht="29" x14ac:dyDescent="0.35">
      <c r="A179" t="s">
        <v>2133</v>
      </c>
      <c r="B179" t="s">
        <v>2134</v>
      </c>
      <c r="C179" t="s">
        <v>2135</v>
      </c>
      <c r="D179" t="s">
        <v>2136</v>
      </c>
      <c r="E179" s="10" t="s">
        <v>28</v>
      </c>
      <c r="F179" s="11" t="s">
        <v>2137</v>
      </c>
      <c r="H179" s="17" t="str">
        <f>HYPERLINK("https://www.google.com/maps/?q=46.2384888890001,-64.505627778", "https://www.google.com/maps/?q=46.2384888890001,-64.505627778")</f>
        <v>https://www.google.com/maps/?q=46.2384888890001,-64.505627778</v>
      </c>
    </row>
    <row r="180" spans="1:8" ht="29" x14ac:dyDescent="0.35">
      <c r="A180" t="s">
        <v>2138</v>
      </c>
      <c r="B180" t="s">
        <v>2139</v>
      </c>
      <c r="C180" t="s">
        <v>2140</v>
      </c>
      <c r="D180" t="s">
        <v>2141</v>
      </c>
      <c r="E180" s="10" t="s">
        <v>28</v>
      </c>
      <c r="F180" s="11" t="s">
        <v>2142</v>
      </c>
      <c r="H180" s="17" t="str">
        <f>HYPERLINK("https://www.google.com/maps/?q=46.065816667,-64.798775", "https://www.google.com/maps/?q=46.065816667,-64.798775")</f>
        <v>https://www.google.com/maps/?q=46.065816667,-64.798775</v>
      </c>
    </row>
    <row r="181" spans="1:8" ht="29" x14ac:dyDescent="0.35">
      <c r="A181" t="s">
        <v>2143</v>
      </c>
      <c r="B181" t="s">
        <v>2144</v>
      </c>
      <c r="C181" t="s">
        <v>2145</v>
      </c>
      <c r="D181" t="s">
        <v>2146</v>
      </c>
      <c r="E181" s="10" t="s">
        <v>28</v>
      </c>
      <c r="F181" s="11" t="s">
        <v>2147</v>
      </c>
      <c r="H181" s="17" t="str">
        <f>HYPERLINK("https://www.google.com/maps/?q=45.99125,-66.665", "https://www.google.com/maps/?q=45.99125,-66.665")</f>
        <v>https://www.google.com/maps/?q=45.99125,-66.665</v>
      </c>
    </row>
    <row r="182" spans="1:8" ht="29" x14ac:dyDescent="0.35">
      <c r="A182" t="s">
        <v>2148</v>
      </c>
      <c r="B182" t="s">
        <v>2149</v>
      </c>
      <c r="C182" t="s">
        <v>2150</v>
      </c>
      <c r="D182" t="s">
        <v>2151</v>
      </c>
      <c r="E182" s="10" t="s">
        <v>28</v>
      </c>
      <c r="F182" s="11" t="s">
        <v>2152</v>
      </c>
      <c r="H182" s="17" t="str">
        <f>HYPERLINK("https://www.google.com/maps/?q=47.0352,-67.759397222", "https://www.google.com/maps/?q=47.0352,-67.759397222")</f>
        <v>https://www.google.com/maps/?q=47.0352,-67.759397222</v>
      </c>
    </row>
    <row r="183" spans="1:8" ht="29" x14ac:dyDescent="0.35">
      <c r="A183" t="s">
        <v>2153</v>
      </c>
      <c r="B183" t="s">
        <v>2154</v>
      </c>
      <c r="C183" t="s">
        <v>2155</v>
      </c>
      <c r="D183" t="s">
        <v>2156</v>
      </c>
      <c r="E183" s="10" t="s">
        <v>28</v>
      </c>
      <c r="F183" s="11" t="s">
        <v>1765</v>
      </c>
      <c r="H183" s="17" t="str">
        <f>HYPERLINK("https://www.google.com/maps/?q=46.1080000000001,-64.829097222", "https://www.google.com/maps/?q=46.1080000000001,-64.829097222")</f>
        <v>https://www.google.com/maps/?q=46.1080000000001,-64.829097222</v>
      </c>
    </row>
    <row r="184" spans="1:8" ht="29" x14ac:dyDescent="0.35">
      <c r="A184" t="s">
        <v>2157</v>
      </c>
      <c r="B184" t="s">
        <v>2158</v>
      </c>
      <c r="C184" t="s">
        <v>2159</v>
      </c>
      <c r="D184" t="s">
        <v>2160</v>
      </c>
      <c r="E184" s="10" t="s">
        <v>28</v>
      </c>
      <c r="F184" s="11" t="s">
        <v>1830</v>
      </c>
      <c r="H184" s="17" t="str">
        <f>HYPERLINK("https://www.google.com/maps/?q=46.208888889,-64.4271388889999", "https://www.google.com/maps/?q=46.208888889,-64.4271388889999")</f>
        <v>https://www.google.com/maps/?q=46.208888889,-64.4271388889999</v>
      </c>
    </row>
    <row r="185" spans="1:8" ht="29" x14ac:dyDescent="0.35">
      <c r="A185" t="s">
        <v>2161</v>
      </c>
      <c r="B185" t="s">
        <v>2162</v>
      </c>
      <c r="C185" t="s">
        <v>2163</v>
      </c>
      <c r="D185" t="s">
        <v>2164</v>
      </c>
      <c r="E185" s="10" t="s">
        <v>28</v>
      </c>
      <c r="F185" s="11" t="s">
        <v>2165</v>
      </c>
      <c r="H185" s="17" t="str">
        <f>HYPERLINK("https://www.google.com/maps/?q=45.957630556,-66.648347222", "https://www.google.com/maps/?q=45.957630556,-66.648347222")</f>
        <v>https://www.google.com/maps/?q=45.957630556,-66.648347222</v>
      </c>
    </row>
    <row r="186" spans="1:8" ht="29" x14ac:dyDescent="0.35">
      <c r="A186" t="s">
        <v>2166</v>
      </c>
      <c r="B186" t="s">
        <v>2167</v>
      </c>
      <c r="C186" t="s">
        <v>2168</v>
      </c>
      <c r="D186" t="s">
        <v>2169</v>
      </c>
      <c r="E186" s="10" t="s">
        <v>28</v>
      </c>
      <c r="F186" s="11" t="s">
        <v>2170</v>
      </c>
      <c r="H186" s="17" t="str">
        <f>HYPERLINK("https://www.google.com/maps/?q=45.8728,-67.0131", "https://www.google.com/maps/?q=45.8728,-67.0131")</f>
        <v>https://www.google.com/maps/?q=45.8728,-67.0131</v>
      </c>
    </row>
    <row r="187" spans="1:8" ht="29" x14ac:dyDescent="0.35">
      <c r="A187" t="s">
        <v>2171</v>
      </c>
      <c r="B187" t="s">
        <v>2172</v>
      </c>
      <c r="C187" t="s">
        <v>2173</v>
      </c>
      <c r="D187" t="s">
        <v>2174</v>
      </c>
      <c r="E187" s="10" t="s">
        <v>28</v>
      </c>
      <c r="F187" s="11" t="s">
        <v>2175</v>
      </c>
      <c r="H187" s="17" t="str">
        <f>HYPERLINK("https://www.google.com/maps/?q=45.294169444,-66.118327778", "https://www.google.com/maps/?q=45.294169444,-66.118327778")</f>
        <v>https://www.google.com/maps/?q=45.294169444,-66.118327778</v>
      </c>
    </row>
    <row r="188" spans="1:8" ht="29" x14ac:dyDescent="0.35">
      <c r="A188" t="s">
        <v>2176</v>
      </c>
      <c r="B188" t="s">
        <v>2177</v>
      </c>
      <c r="C188" t="s">
        <v>2178</v>
      </c>
      <c r="D188" t="s">
        <v>2179</v>
      </c>
      <c r="E188" s="10" t="s">
        <v>28</v>
      </c>
      <c r="F188" s="11" t="s">
        <v>2180</v>
      </c>
      <c r="H188" s="17" t="str">
        <f>HYPERLINK("https://www.google.com/maps/?q=46.2844000000001,-67.5343999999999", "https://www.google.com/maps/?q=46.2844000000001,-67.5343999999999")</f>
        <v>https://www.google.com/maps/?q=46.2844000000001,-67.5343999999999</v>
      </c>
    </row>
    <row r="189" spans="1:8" ht="29" x14ac:dyDescent="0.35">
      <c r="A189" t="s">
        <v>2181</v>
      </c>
      <c r="B189" t="s">
        <v>2182</v>
      </c>
      <c r="C189" t="s">
        <v>2183</v>
      </c>
      <c r="D189" t="s">
        <v>2184</v>
      </c>
      <c r="E189" s="10" t="s">
        <v>28</v>
      </c>
      <c r="F189" s="11" t="s">
        <v>2185</v>
      </c>
      <c r="H189" s="17" t="str">
        <f>HYPERLINK("https://www.google.com/maps/?q=46.3489000000001,-64.631397222", "https://www.google.com/maps/?q=46.3489000000001,-64.631397222")</f>
        <v>https://www.google.com/maps/?q=46.3489000000001,-64.631397222</v>
      </c>
    </row>
    <row r="190" spans="1:8" ht="29" x14ac:dyDescent="0.35">
      <c r="A190" t="s">
        <v>2186</v>
      </c>
      <c r="B190" t="s">
        <v>2187</v>
      </c>
      <c r="C190" t="s">
        <v>2188</v>
      </c>
      <c r="D190" t="s">
        <v>2189</v>
      </c>
      <c r="E190" s="10" t="s">
        <v>28</v>
      </c>
      <c r="F190" s="11" t="s">
        <v>2190</v>
      </c>
      <c r="H190" s="17" t="str">
        <f>HYPERLINK("https://www.google.com/maps/?q=46.0869083330001,-64.788508333", "https://www.google.com/maps/?q=46.0869083330001,-64.788508333")</f>
        <v>https://www.google.com/maps/?q=46.0869083330001,-64.788508333</v>
      </c>
    </row>
    <row r="191" spans="1:8" ht="29" x14ac:dyDescent="0.35">
      <c r="A191" t="s">
        <v>2191</v>
      </c>
      <c r="B191" t="s">
        <v>2192</v>
      </c>
      <c r="C191" t="s">
        <v>2193</v>
      </c>
      <c r="D191" t="s">
        <v>2194</v>
      </c>
      <c r="E191" s="10" t="s">
        <v>28</v>
      </c>
      <c r="F191" s="11" t="s">
        <v>2195</v>
      </c>
      <c r="H191" s="17" t="str">
        <f>HYPERLINK("https://www.google.com/maps/?q=47.029222222,-65.4692388889999", "https://www.google.com/maps/?q=47.029222222,-65.4692388889999")</f>
        <v>https://www.google.com/maps/?q=47.029222222,-65.4692388889999</v>
      </c>
    </row>
    <row r="192" spans="1:8" ht="29" x14ac:dyDescent="0.35">
      <c r="A192" t="s">
        <v>2196</v>
      </c>
      <c r="B192" t="s">
        <v>2197</v>
      </c>
      <c r="C192" t="s">
        <v>2198</v>
      </c>
      <c r="D192" t="s">
        <v>2199</v>
      </c>
      <c r="E192" s="10" t="s">
        <v>28</v>
      </c>
      <c r="F192" s="11" t="s">
        <v>2200</v>
      </c>
      <c r="H192" s="17" t="str">
        <f>HYPERLINK("https://www.google.com/maps/?q=47.8064000000001,-65.7497", "https://www.google.com/maps/?q=47.8064000000001,-65.7497")</f>
        <v>https://www.google.com/maps/?q=47.8064000000001,-65.7497</v>
      </c>
    </row>
    <row r="193" spans="1:8" ht="29" x14ac:dyDescent="0.35">
      <c r="A193" t="s">
        <v>2201</v>
      </c>
      <c r="B193" t="s">
        <v>2202</v>
      </c>
      <c r="C193" t="s">
        <v>2203</v>
      </c>
      <c r="D193" t="s">
        <v>2204</v>
      </c>
      <c r="E193" s="10" t="s">
        <v>28</v>
      </c>
      <c r="F193" s="11" t="s">
        <v>2205</v>
      </c>
      <c r="H193" s="17" t="str">
        <f>HYPERLINK("https://www.google.com/maps/?q=47.9847583330001,-66.694436111", "https://www.google.com/maps/?q=47.9847583330001,-66.694436111")</f>
        <v>https://www.google.com/maps/?q=47.9847583330001,-66.694436111</v>
      </c>
    </row>
    <row r="194" spans="1:8" ht="29" x14ac:dyDescent="0.35">
      <c r="A194" t="s">
        <v>2206</v>
      </c>
      <c r="B194" t="s">
        <v>2207</v>
      </c>
      <c r="C194" t="s">
        <v>2208</v>
      </c>
      <c r="D194" t="s">
        <v>2209</v>
      </c>
      <c r="E194" s="10" t="s">
        <v>28</v>
      </c>
      <c r="F194" s="11" t="s">
        <v>1844</v>
      </c>
      <c r="H194" s="17" t="str">
        <f>HYPERLINK("https://www.google.com/maps/?q=45.2742000000001,-66.0611083329999", "https://www.google.com/maps/?q=45.2742000000001,-66.0611083329999")</f>
        <v>https://www.google.com/maps/?q=45.2742000000001,-66.0611083329999</v>
      </c>
    </row>
    <row r="195" spans="1:8" ht="29" x14ac:dyDescent="0.35">
      <c r="A195" t="s">
        <v>2210</v>
      </c>
      <c r="B195" t="s">
        <v>2211</v>
      </c>
      <c r="C195" t="s">
        <v>2212</v>
      </c>
      <c r="D195" t="s">
        <v>2213</v>
      </c>
      <c r="E195" s="10" t="s">
        <v>28</v>
      </c>
      <c r="F195" s="11" t="s">
        <v>2214</v>
      </c>
      <c r="H195" s="17" t="str">
        <f>HYPERLINK("https://www.google.com/maps/?q=45.279194444,-66.076658333", "https://www.google.com/maps/?q=45.279194444,-66.076658333")</f>
        <v>https://www.google.com/maps/?q=45.279194444,-66.076658333</v>
      </c>
    </row>
    <row r="196" spans="1:8" ht="29" x14ac:dyDescent="0.35">
      <c r="A196" t="s">
        <v>2215</v>
      </c>
      <c r="B196" t="s">
        <v>2216</v>
      </c>
      <c r="C196" t="s">
        <v>2217</v>
      </c>
      <c r="D196" t="s">
        <v>2218</v>
      </c>
      <c r="E196" s="10" t="s">
        <v>28</v>
      </c>
      <c r="F196" s="11" t="s">
        <v>2219</v>
      </c>
      <c r="H196" s="17" t="str">
        <f>HYPERLINK("https://www.google.com/maps/?q=46.0071083330001,-67.5575499999999", "https://www.google.com/maps/?q=46.0071083330001,-67.5575499999999")</f>
        <v>https://www.google.com/maps/?q=46.0071083330001,-67.5575499999999</v>
      </c>
    </row>
    <row r="197" spans="1:8" ht="29" x14ac:dyDescent="0.35">
      <c r="A197" t="s">
        <v>2220</v>
      </c>
      <c r="B197" t="s">
        <v>2221</v>
      </c>
      <c r="C197" t="s">
        <v>2222</v>
      </c>
      <c r="D197" t="s">
        <v>2223</v>
      </c>
      <c r="E197" s="10" t="s">
        <v>28</v>
      </c>
      <c r="F197" s="11" t="s">
        <v>2224</v>
      </c>
      <c r="H197" s="17" t="str">
        <f>HYPERLINK("https://www.google.com/maps/?q=45.8903,-66.642497222", "https://www.google.com/maps/?q=45.8903,-66.642497222")</f>
        <v>https://www.google.com/maps/?q=45.8903,-66.642497222</v>
      </c>
    </row>
    <row r="198" spans="1:8" ht="29" x14ac:dyDescent="0.35">
      <c r="A198" t="s">
        <v>2225</v>
      </c>
      <c r="B198" t="s">
        <v>2226</v>
      </c>
      <c r="C198" t="s">
        <v>2227</v>
      </c>
      <c r="D198" t="s">
        <v>2228</v>
      </c>
      <c r="E198" s="10" t="s">
        <v>28</v>
      </c>
      <c r="F198" s="11" t="s">
        <v>2229</v>
      </c>
      <c r="H198" s="17" t="str">
        <f>HYPERLINK("https://www.google.com/maps/?q=45.990772222,-66.745958333", "https://www.google.com/maps/?q=45.990772222,-66.745958333")</f>
        <v>https://www.google.com/maps/?q=45.990772222,-66.745958333</v>
      </c>
    </row>
    <row r="199" spans="1:8" ht="29" x14ac:dyDescent="0.35">
      <c r="A199" t="s">
        <v>2230</v>
      </c>
      <c r="B199" t="s">
        <v>2231</v>
      </c>
      <c r="C199" t="s">
        <v>2232</v>
      </c>
      <c r="D199" t="s">
        <v>2233</v>
      </c>
      <c r="E199" s="10" t="s">
        <v>28</v>
      </c>
      <c r="F199" s="11" t="s">
        <v>2234</v>
      </c>
      <c r="H199" s="17" t="str">
        <f>HYPERLINK("https://www.google.com/maps/?q=46.0388861110001,-64.986388889", "https://www.google.com/maps/?q=46.0388861110001,-64.986388889")</f>
        <v>https://www.google.com/maps/?q=46.0388861110001,-64.986388889</v>
      </c>
    </row>
    <row r="200" spans="1:8" ht="29" x14ac:dyDescent="0.35">
      <c r="A200" t="s">
        <v>2235</v>
      </c>
      <c r="B200" t="s">
        <v>2236</v>
      </c>
      <c r="C200" t="s">
        <v>2237</v>
      </c>
      <c r="D200" t="s">
        <v>2238</v>
      </c>
      <c r="E200" s="10" t="s">
        <v>28</v>
      </c>
      <c r="F200" s="11" t="s">
        <v>2239</v>
      </c>
      <c r="H200" s="17" t="str">
        <f>HYPERLINK("https://www.google.com/maps/?q=47.1803,-67.9027972219999", "https://www.google.com/maps/?q=47.1803,-67.9027972219999")</f>
        <v>https://www.google.com/maps/?q=47.1803,-67.9027972219999</v>
      </c>
    </row>
    <row r="201" spans="1:8" ht="29" x14ac:dyDescent="0.35">
      <c r="A201" t="s">
        <v>2240</v>
      </c>
      <c r="B201" t="s">
        <v>2241</v>
      </c>
      <c r="C201" t="s">
        <v>2242</v>
      </c>
      <c r="D201" t="s">
        <v>2243</v>
      </c>
      <c r="E201" s="10" t="s">
        <v>28</v>
      </c>
      <c r="F201" s="11" t="s">
        <v>2244</v>
      </c>
      <c r="H201" s="17" t="str">
        <f>HYPERLINK("https://www.google.com/maps/?q=46.758055556,-67.692219444", "https://www.google.com/maps/?q=46.758055556,-67.692219444")</f>
        <v>https://www.google.com/maps/?q=46.758055556,-67.692219444</v>
      </c>
    </row>
    <row r="202" spans="1:8" ht="29" x14ac:dyDescent="0.35">
      <c r="A202" t="s">
        <v>2245</v>
      </c>
      <c r="B202" t="s">
        <v>2246</v>
      </c>
      <c r="C202" t="s">
        <v>2247</v>
      </c>
      <c r="D202" t="s">
        <v>2248</v>
      </c>
      <c r="E202" s="10" t="s">
        <v>28</v>
      </c>
      <c r="F202" s="11" t="s">
        <v>1399</v>
      </c>
      <c r="H202" s="17" t="str">
        <f>HYPERLINK("https://www.google.com/maps/?q=45.8527750000001,-66.4457", "https://www.google.com/maps/?q=45.8527750000001,-66.4457")</f>
        <v>https://www.google.com/maps/?q=45.8527750000001,-66.4457</v>
      </c>
    </row>
    <row r="203" spans="1:8" ht="29" x14ac:dyDescent="0.35">
      <c r="A203" t="s">
        <v>2249</v>
      </c>
      <c r="B203" t="s">
        <v>2250</v>
      </c>
      <c r="C203" t="s">
        <v>2251</v>
      </c>
      <c r="D203" t="s">
        <v>2252</v>
      </c>
      <c r="E203" s="10" t="s">
        <v>28</v>
      </c>
      <c r="F203" s="11" t="s">
        <v>2253</v>
      </c>
      <c r="H203" s="17" t="str">
        <f>HYPERLINK("https://www.google.com/maps/?q=45.303330556,-66.07305", "https://www.google.com/maps/?q=45.303330556,-66.07305")</f>
        <v>https://www.google.com/maps/?q=45.303330556,-66.07305</v>
      </c>
    </row>
    <row r="204" spans="1:8" ht="29" x14ac:dyDescent="0.35">
      <c r="A204" t="s">
        <v>2254</v>
      </c>
      <c r="B204" t="s">
        <v>2255</v>
      </c>
      <c r="C204" t="s">
        <v>2256</v>
      </c>
      <c r="D204" t="s">
        <v>2257</v>
      </c>
      <c r="E204" s="10" t="s">
        <v>28</v>
      </c>
      <c r="F204" s="11" t="s">
        <v>2258</v>
      </c>
      <c r="H204" s="17" t="str">
        <f>HYPERLINK("https://www.google.com/maps/?q=45.5921500000001,-64.9943749999999", "https://www.google.com/maps/?q=45.5921500000001,-64.9943749999999")</f>
        <v>https://www.google.com/maps/?q=45.5921500000001,-64.9943749999999</v>
      </c>
    </row>
    <row r="205" spans="1:8" ht="29" x14ac:dyDescent="0.35">
      <c r="A205" t="s">
        <v>2259</v>
      </c>
      <c r="B205" t="s">
        <v>2260</v>
      </c>
      <c r="C205" t="s">
        <v>2261</v>
      </c>
      <c r="D205" t="s">
        <v>2262</v>
      </c>
      <c r="E205" s="10" t="s">
        <v>28</v>
      </c>
      <c r="F205" s="11" t="s">
        <v>2263</v>
      </c>
      <c r="H205" s="17" t="str">
        <f>HYPERLINK("https://www.google.com/maps/?q=46.1811000000001,-64.2293972219999", "https://www.google.com/maps/?q=46.1811000000001,-64.2293972219999")</f>
        <v>https://www.google.com/maps/?q=46.1811000000001,-64.2293972219999</v>
      </c>
    </row>
    <row r="206" spans="1:8" ht="29" x14ac:dyDescent="0.35">
      <c r="A206" t="s">
        <v>2264</v>
      </c>
      <c r="B206" t="s">
        <v>2265</v>
      </c>
      <c r="C206" t="s">
        <v>2266</v>
      </c>
      <c r="D206" t="s">
        <v>2267</v>
      </c>
      <c r="E206" s="10" t="s">
        <v>28</v>
      </c>
      <c r="F206" s="11" t="s">
        <v>2268</v>
      </c>
      <c r="H206" s="17" t="str">
        <f>HYPERLINK("https://www.google.com/maps/?q=45.0749500000001,-66.7549472219999", "https://www.google.com/maps/?q=45.0749500000001,-66.7549472219999")</f>
        <v>https://www.google.com/maps/?q=45.0749500000001,-66.7549472219999</v>
      </c>
    </row>
    <row r="207" spans="1:8" ht="29" x14ac:dyDescent="0.35">
      <c r="A207" t="s">
        <v>2269</v>
      </c>
      <c r="B207" t="s">
        <v>2270</v>
      </c>
      <c r="C207" t="s">
        <v>2271</v>
      </c>
      <c r="D207" t="s">
        <v>2272</v>
      </c>
      <c r="E207" s="10" t="s">
        <v>28</v>
      </c>
      <c r="F207" s="11" t="s">
        <v>2273</v>
      </c>
      <c r="H207" s="17" t="str">
        <f>HYPERLINK("https://www.google.com/maps/?q=47.6154000000001,-65.612988889", "https://www.google.com/maps/?q=47.6154000000001,-65.612988889")</f>
        <v>https://www.google.com/maps/?q=47.6154000000001,-65.612988889</v>
      </c>
    </row>
    <row r="208" spans="1:8" ht="29" x14ac:dyDescent="0.35">
      <c r="A208" t="s">
        <v>2274</v>
      </c>
      <c r="B208" t="s">
        <v>2275</v>
      </c>
      <c r="C208" t="s">
        <v>2276</v>
      </c>
      <c r="D208" t="s">
        <v>2277</v>
      </c>
      <c r="E208" s="10" t="s">
        <v>28</v>
      </c>
      <c r="F208" s="11" t="s">
        <v>2278</v>
      </c>
      <c r="H208" s="17" t="str">
        <f>HYPERLINK("https://www.google.com/maps/?q=45.957858333,-67.1668722219999", "https://www.google.com/maps/?q=45.957858333,-67.1668722219999")</f>
        <v>https://www.google.com/maps/?q=45.957858333,-67.1668722219999</v>
      </c>
    </row>
    <row r="209" spans="1:8" ht="29" x14ac:dyDescent="0.35">
      <c r="A209" t="s">
        <v>2279</v>
      </c>
      <c r="B209" t="s">
        <v>2280</v>
      </c>
      <c r="C209" t="s">
        <v>2281</v>
      </c>
      <c r="D209" t="s">
        <v>2282</v>
      </c>
      <c r="E209" s="10" t="s">
        <v>28</v>
      </c>
      <c r="F209" s="11" t="s">
        <v>2283</v>
      </c>
      <c r="H209" s="17" t="str">
        <f>HYPERLINK("https://www.google.com/maps/?q=45.9771777780001,-66.640819444", "https://www.google.com/maps/?q=45.9771777780001,-66.640819444")</f>
        <v>https://www.google.com/maps/?q=45.9771777780001,-66.640819444</v>
      </c>
    </row>
    <row r="210" spans="1:8" ht="29" x14ac:dyDescent="0.35">
      <c r="A210" t="s">
        <v>2284</v>
      </c>
      <c r="B210" t="s">
        <v>2285</v>
      </c>
      <c r="C210" t="s">
        <v>2286</v>
      </c>
      <c r="D210" t="s">
        <v>2287</v>
      </c>
      <c r="E210" s="10" t="s">
        <v>28</v>
      </c>
      <c r="F210" s="11" t="s">
        <v>2288</v>
      </c>
      <c r="H210" s="17" t="str">
        <f>HYPERLINK("https://www.google.com/maps/?q=45.9645722220001,-66.863022222", "https://www.google.com/maps/?q=45.9645722220001,-66.863022222")</f>
        <v>https://www.google.com/maps/?q=45.9645722220001,-66.863022222</v>
      </c>
    </row>
    <row r="211" spans="1:8" ht="29" x14ac:dyDescent="0.35">
      <c r="A211" t="s">
        <v>2289</v>
      </c>
      <c r="B211" t="s">
        <v>2290</v>
      </c>
      <c r="C211" t="s">
        <v>2291</v>
      </c>
      <c r="D211" t="s">
        <v>2292</v>
      </c>
      <c r="E211" s="10" t="s">
        <v>28</v>
      </c>
      <c r="F211" s="11" t="s">
        <v>2293</v>
      </c>
      <c r="H211" s="17" t="str">
        <f>HYPERLINK("https://www.google.com/maps/?q=46.081588889,-64.831641667", "https://www.google.com/maps/?q=46.081588889,-64.831641667")</f>
        <v>https://www.google.com/maps/?q=46.081588889,-64.831641667</v>
      </c>
    </row>
    <row r="212" spans="1:8" ht="29" x14ac:dyDescent="0.35">
      <c r="A212" t="s">
        <v>2294</v>
      </c>
      <c r="B212" t="s">
        <v>2295</v>
      </c>
      <c r="C212" t="s">
        <v>2296</v>
      </c>
      <c r="D212" t="s">
        <v>2297</v>
      </c>
      <c r="E212" s="10" t="s">
        <v>28</v>
      </c>
      <c r="F212" s="11" t="s">
        <v>2298</v>
      </c>
      <c r="H212" s="17" t="str">
        <f>HYPERLINK("https://www.google.com/maps/?q=46.0965861110001,-64.7928416669999", "https://www.google.com/maps/?q=46.0965861110001,-64.7928416669999")</f>
        <v>https://www.google.com/maps/?q=46.0965861110001,-64.7928416669999</v>
      </c>
    </row>
    <row r="213" spans="1:8" ht="29" x14ac:dyDescent="0.35">
      <c r="A213" t="s">
        <v>2299</v>
      </c>
      <c r="B213" t="s">
        <v>2300</v>
      </c>
      <c r="C213" t="s">
        <v>2301</v>
      </c>
      <c r="D213" t="s">
        <v>2302</v>
      </c>
      <c r="E213" s="10" t="s">
        <v>28</v>
      </c>
      <c r="F213" s="11" t="s">
        <v>2303</v>
      </c>
      <c r="H213" s="17" t="str">
        <f>HYPERLINK("https://www.google.com/maps/?q=45.9283,-65.2152972219999", "https://www.google.com/maps/?q=45.9283,-65.2152972219999")</f>
        <v>https://www.google.com/maps/?q=45.9283,-65.2152972219999</v>
      </c>
    </row>
    <row r="214" spans="1:8" ht="29" x14ac:dyDescent="0.35">
      <c r="A214" t="s">
        <v>2304</v>
      </c>
      <c r="B214" t="s">
        <v>2305</v>
      </c>
      <c r="C214" t="s">
        <v>2306</v>
      </c>
      <c r="D214" t="s">
        <v>2307</v>
      </c>
      <c r="E214" s="10" t="s">
        <v>28</v>
      </c>
      <c r="F214" s="11" t="s">
        <v>2308</v>
      </c>
      <c r="H214" s="17" t="str">
        <f>HYPERLINK("https://www.google.com/maps/?q=45.940988889,-66.701347222", "https://www.google.com/maps/?q=45.940988889,-66.701347222")</f>
        <v>https://www.google.com/maps/?q=45.940988889,-66.701347222</v>
      </c>
    </row>
    <row r="215" spans="1:8" ht="29" x14ac:dyDescent="0.35">
      <c r="A215" t="s">
        <v>2309</v>
      </c>
      <c r="B215" t="s">
        <v>2310</v>
      </c>
      <c r="C215" t="s">
        <v>2311</v>
      </c>
      <c r="D215" t="s">
        <v>2312</v>
      </c>
      <c r="E215" s="10" t="s">
        <v>28</v>
      </c>
      <c r="F215" s="11" t="s">
        <v>2313</v>
      </c>
      <c r="H215" s="17" t="str">
        <f>HYPERLINK("https://www.google.com/maps/?q=45.3264972220001,-65.578822222", "https://www.google.com/maps/?q=45.3264972220001,-65.578822222")</f>
        <v>https://www.google.com/maps/?q=45.3264972220001,-65.578822222</v>
      </c>
    </row>
    <row r="216" spans="1:8" ht="29" x14ac:dyDescent="0.35">
      <c r="A216" t="s">
        <v>2314</v>
      </c>
      <c r="B216" t="s">
        <v>2315</v>
      </c>
      <c r="C216" t="s">
        <v>2316</v>
      </c>
      <c r="D216" t="s">
        <v>2317</v>
      </c>
      <c r="E216" s="10" t="s">
        <v>28</v>
      </c>
      <c r="F216" s="11" t="s">
        <v>2318</v>
      </c>
      <c r="H216" s="17" t="str">
        <f>HYPERLINK("https://www.google.com/maps/?q=46.3798444440001,-67.645058333", "https://www.google.com/maps/?q=46.3798444440001,-67.645058333")</f>
        <v>https://www.google.com/maps/?q=46.3798444440001,-67.645058333</v>
      </c>
    </row>
    <row r="217" spans="1:8" ht="29" x14ac:dyDescent="0.35">
      <c r="A217" t="s">
        <v>2319</v>
      </c>
      <c r="B217" t="s">
        <v>2320</v>
      </c>
      <c r="C217" t="s">
        <v>2321</v>
      </c>
      <c r="D217" t="s">
        <v>2322</v>
      </c>
      <c r="E217" s="10" t="s">
        <v>28</v>
      </c>
      <c r="F217" s="11" t="s">
        <v>2323</v>
      </c>
      <c r="H217" s="17" t="str">
        <f>HYPERLINK("https://www.google.com/maps/?q=47.7748500000001,-64.9381888889999", "https://www.google.com/maps/?q=47.7748500000001,-64.9381888889999")</f>
        <v>https://www.google.com/maps/?q=47.7748500000001,-64.9381888889999</v>
      </c>
    </row>
    <row r="218" spans="1:8" ht="29" x14ac:dyDescent="0.35">
      <c r="A218" t="s">
        <v>2324</v>
      </c>
      <c r="B218" t="s">
        <v>2325</v>
      </c>
      <c r="C218" t="s">
        <v>2326</v>
      </c>
      <c r="D218" t="s">
        <v>2327</v>
      </c>
      <c r="E218" s="10" t="s">
        <v>28</v>
      </c>
      <c r="F218" s="11" t="s">
        <v>2328</v>
      </c>
      <c r="H218" s="17" t="str">
        <f>HYPERLINK("https://www.google.com/maps/?q=46.103047222,-66.0486", "https://www.google.com/maps/?q=46.103047222,-66.0486")</f>
        <v>https://www.google.com/maps/?q=46.103047222,-66.0486</v>
      </c>
    </row>
    <row r="219" spans="1:8" ht="29" x14ac:dyDescent="0.35">
      <c r="A219" t="s">
        <v>2329</v>
      </c>
      <c r="B219" t="s">
        <v>2330</v>
      </c>
      <c r="C219" t="s">
        <v>2331</v>
      </c>
      <c r="D219" t="s">
        <v>2332</v>
      </c>
      <c r="E219" s="10" t="s">
        <v>28</v>
      </c>
      <c r="F219" s="11" t="s">
        <v>2333</v>
      </c>
      <c r="H219" s="17" t="str">
        <f>HYPERLINK("https://www.google.com/maps/?q=47.7984000000001,-65.1349", "https://www.google.com/maps/?q=47.7984000000001,-65.1349")</f>
        <v>https://www.google.com/maps/?q=47.7984000000001,-65.1349</v>
      </c>
    </row>
    <row r="220" spans="1:8" ht="29" x14ac:dyDescent="0.35">
      <c r="A220" t="s">
        <v>2334</v>
      </c>
      <c r="B220" t="s">
        <v>2335</v>
      </c>
      <c r="C220" t="s">
        <v>2336</v>
      </c>
      <c r="D220" t="s">
        <v>2337</v>
      </c>
      <c r="E220" s="10" t="s">
        <v>28</v>
      </c>
      <c r="F220" s="11" t="s">
        <v>2338</v>
      </c>
      <c r="H220" s="17" t="str">
        <f>HYPERLINK("https://www.google.com/maps/?q=45.4157777780001,-65.721138889", "https://www.google.com/maps/?q=45.4157777780001,-65.721138889")</f>
        <v>https://www.google.com/maps/?q=45.4157777780001,-65.721138889</v>
      </c>
    </row>
    <row r="221" spans="1:8" ht="29" x14ac:dyDescent="0.35">
      <c r="A221" t="s">
        <v>2339</v>
      </c>
      <c r="B221" t="s">
        <v>2340</v>
      </c>
      <c r="C221" t="s">
        <v>2341</v>
      </c>
      <c r="D221" t="s">
        <v>2342</v>
      </c>
      <c r="E221" s="10" t="s">
        <v>28</v>
      </c>
      <c r="F221" s="11" t="s">
        <v>2343</v>
      </c>
      <c r="H221" s="17" t="str">
        <f>HYPERLINK("https://www.google.com/maps/?q=45.134508333,-66.5504583329999", "https://www.google.com/maps/?q=45.134508333,-66.5504583329999")</f>
        <v>https://www.google.com/maps/?q=45.134508333,-66.5504583329999</v>
      </c>
    </row>
    <row r="222" spans="1:8" ht="29" x14ac:dyDescent="0.35">
      <c r="A222" t="s">
        <v>2344</v>
      </c>
      <c r="B222" t="s">
        <v>2345</v>
      </c>
      <c r="C222" t="s">
        <v>2346</v>
      </c>
      <c r="D222" t="s">
        <v>2347</v>
      </c>
      <c r="E222" s="10" t="s">
        <v>28</v>
      </c>
      <c r="F222" s="11" t="s">
        <v>2348</v>
      </c>
      <c r="H222" s="17" t="str">
        <f>HYPERLINK("https://www.google.com/maps/?q=45.1976861110001,-67.128616667", "https://www.google.com/maps/?q=45.1976861110001,-67.128616667")</f>
        <v>https://www.google.com/maps/?q=45.1976861110001,-67.128616667</v>
      </c>
    </row>
    <row r="223" spans="1:8" ht="29" x14ac:dyDescent="0.35">
      <c r="A223" t="s">
        <v>2349</v>
      </c>
      <c r="B223" t="s">
        <v>2350</v>
      </c>
      <c r="C223" t="s">
        <v>2351</v>
      </c>
      <c r="D223" t="s">
        <v>2352</v>
      </c>
      <c r="E223" s="10" t="s">
        <v>28</v>
      </c>
      <c r="F223" s="11" t="s">
        <v>2353</v>
      </c>
      <c r="H223" s="17" t="str">
        <f>HYPERLINK("https://www.google.com/maps/?q=45.1253,-67.0930999999999", "https://www.google.com/maps/?q=45.1253,-67.0930999999999")</f>
        <v>https://www.google.com/maps/?q=45.1253,-67.0930999999999</v>
      </c>
    </row>
    <row r="224" spans="1:8" ht="29" x14ac:dyDescent="0.35">
      <c r="A224" t="s">
        <v>2354</v>
      </c>
      <c r="B224" t="s">
        <v>2355</v>
      </c>
      <c r="C224" t="s">
        <v>2356</v>
      </c>
      <c r="D224" t="s">
        <v>2357</v>
      </c>
      <c r="E224" s="10" t="s">
        <v>28</v>
      </c>
      <c r="F224" s="11" t="s">
        <v>2358</v>
      </c>
      <c r="H224" s="17" t="str">
        <f>HYPERLINK("https://www.google.com/maps/?q=45.3161527780001,-66.213980556", "https://www.google.com/maps/?q=45.3161527780001,-66.213980556")</f>
        <v>https://www.google.com/maps/?q=45.3161527780001,-66.213980556</v>
      </c>
    </row>
    <row r="225" spans="1:10" ht="29" x14ac:dyDescent="0.35">
      <c r="A225" t="s">
        <v>2359</v>
      </c>
      <c r="B225" t="s">
        <v>2360</v>
      </c>
      <c r="C225" t="s">
        <v>2361</v>
      </c>
      <c r="D225" t="s">
        <v>2362</v>
      </c>
      <c r="E225" s="10" t="s">
        <v>28</v>
      </c>
      <c r="F225" s="11" t="s">
        <v>1277</v>
      </c>
      <c r="H225" s="17" t="str">
        <f>HYPERLINK("https://www.google.com/maps/?q=46.9596083330001,-65.794169444", "https://www.google.com/maps/?q=46.9596083330001,-65.794169444")</f>
        <v>https://www.google.com/maps/?q=46.9596083330001,-65.794169444</v>
      </c>
    </row>
    <row r="226" spans="1:10" ht="29" x14ac:dyDescent="0.35">
      <c r="A226" t="s">
        <v>2363</v>
      </c>
      <c r="B226" t="s">
        <v>2364</v>
      </c>
      <c r="C226" t="s">
        <v>2365</v>
      </c>
      <c r="D226" t="s">
        <v>2366</v>
      </c>
      <c r="E226" s="10" t="s">
        <v>28</v>
      </c>
      <c r="F226" s="11" t="s">
        <v>2367</v>
      </c>
      <c r="H226" s="17" t="str">
        <f>HYPERLINK("https://www.google.com/maps/?q=46.323052778,-64.525830556", "https://www.google.com/maps/?q=46.323052778,-64.525830556")</f>
        <v>https://www.google.com/maps/?q=46.323052778,-64.525830556</v>
      </c>
    </row>
    <row r="227" spans="1:10" ht="29" x14ac:dyDescent="0.35">
      <c r="A227" t="s">
        <v>2368</v>
      </c>
      <c r="B227" t="s">
        <v>2369</v>
      </c>
      <c r="C227" t="s">
        <v>2370</v>
      </c>
      <c r="D227" t="s">
        <v>2371</v>
      </c>
      <c r="E227" s="10" t="s">
        <v>28</v>
      </c>
      <c r="F227" s="11" t="s">
        <v>2372</v>
      </c>
      <c r="H227" s="17" t="str">
        <f>HYPERLINK("https://www.google.com/maps/?q=47.0977777780001,-65.7349972219999", "https://www.google.com/maps/?q=47.0977777780001,-65.7349972219999")</f>
        <v>https://www.google.com/maps/?q=47.0977777780001,-65.7349972219999</v>
      </c>
    </row>
    <row r="228" spans="1:10" ht="29" x14ac:dyDescent="0.35">
      <c r="A228" t="s">
        <v>2373</v>
      </c>
      <c r="B228" t="s">
        <v>2374</v>
      </c>
      <c r="C228" t="s">
        <v>2375</v>
      </c>
      <c r="D228" t="s">
        <v>2376</v>
      </c>
      <c r="E228" s="10" t="s">
        <v>28</v>
      </c>
      <c r="F228" s="11" t="s">
        <v>2377</v>
      </c>
      <c r="H228" s="17" t="str">
        <f>HYPERLINK("https://www.google.com/maps/?q=46.091538889,-64.7817277779999", "https://www.google.com/maps/?q=46.091538889,-64.7817277779999")</f>
        <v>https://www.google.com/maps/?q=46.091538889,-64.7817277779999</v>
      </c>
    </row>
    <row r="229" spans="1:10" ht="29" x14ac:dyDescent="0.35">
      <c r="A229" t="s">
        <v>2378</v>
      </c>
      <c r="B229" t="s">
        <v>2379</v>
      </c>
      <c r="C229" t="s">
        <v>2380</v>
      </c>
      <c r="D229" t="s">
        <v>2381</v>
      </c>
      <c r="E229" s="10" t="s">
        <v>50</v>
      </c>
      <c r="F229" s="11" t="s">
        <v>1165</v>
      </c>
      <c r="H229" s="17" t="str">
        <f>HYPERLINK("https://www.google.com/maps/?q=45.9187138890001,-66.631341667", "https://www.google.com/maps/?q=45.9187138890001,-66.631341667")</f>
        <v>https://www.google.com/maps/?q=45.9187138890001,-66.631341667</v>
      </c>
    </row>
    <row r="230" spans="1:10" ht="29" x14ac:dyDescent="0.35">
      <c r="A230" t="s">
        <v>2382</v>
      </c>
      <c r="B230" t="s">
        <v>2383</v>
      </c>
      <c r="C230" t="s">
        <v>2384</v>
      </c>
      <c r="D230" t="s">
        <v>2385</v>
      </c>
      <c r="E230" s="10" t="s">
        <v>50</v>
      </c>
      <c r="F230" s="11" t="s">
        <v>2386</v>
      </c>
      <c r="H230" s="17" t="str">
        <f>HYPERLINK("https://www.google.com/maps/?q=45.182930556,-67.233230556", "https://www.google.com/maps/?q=45.182930556,-67.233230556")</f>
        <v>https://www.google.com/maps/?q=45.182930556,-67.233230556</v>
      </c>
    </row>
    <row r="231" spans="1:10" ht="29" x14ac:dyDescent="0.35">
      <c r="A231" t="s">
        <v>2387</v>
      </c>
      <c r="B231" t="s">
        <v>2388</v>
      </c>
      <c r="C231" t="s">
        <v>2389</v>
      </c>
      <c r="D231" t="s">
        <v>2390</v>
      </c>
      <c r="E231" s="10" t="s">
        <v>28</v>
      </c>
      <c r="F231" s="11" t="s">
        <v>1323</v>
      </c>
      <c r="H231" s="17" t="str">
        <f>HYPERLINK("https://www.google.com/maps/?q=45.8297916670001,-66.230044444", "https://www.google.com/maps/?q=45.8297916670001,-66.230044444")</f>
        <v>https://www.google.com/maps/?q=45.8297916670001,-66.230044444</v>
      </c>
    </row>
    <row r="232" spans="1:10" ht="29" x14ac:dyDescent="0.35">
      <c r="A232" t="s">
        <v>2391</v>
      </c>
      <c r="B232" t="s">
        <v>2392</v>
      </c>
      <c r="C232" t="s">
        <v>2393</v>
      </c>
      <c r="D232" t="s">
        <v>2394</v>
      </c>
      <c r="E232" s="10" t="s">
        <v>28</v>
      </c>
      <c r="F232" s="11" t="s">
        <v>2395</v>
      </c>
      <c r="H232" s="17" t="str">
        <f>HYPERLINK("https://www.google.com/maps/?q=47.5103472220001,-64.9247999999999", "https://www.google.com/maps/?q=47.5103472220001,-64.9247999999999")</f>
        <v>https://www.google.com/maps/?q=47.5103472220001,-64.9247999999999</v>
      </c>
      <c r="J232" s="17"/>
    </row>
    <row r="233" spans="1:10" ht="29" x14ac:dyDescent="0.35">
      <c r="A233" t="s">
        <v>2396</v>
      </c>
      <c r="B233" t="s">
        <v>2397</v>
      </c>
      <c r="C233" t="s">
        <v>2398</v>
      </c>
      <c r="D233" t="s">
        <v>2399</v>
      </c>
      <c r="E233" s="10" t="s">
        <v>28</v>
      </c>
      <c r="F233" s="11" t="s">
        <v>2400</v>
      </c>
      <c r="H233" s="17" t="str">
        <f>HYPERLINK("https://www.google.com/maps/?q=45.6833333330001,-66.647222222", "https://www.google.com/maps/?q=45.6833333330001,-66.647222222")</f>
        <v>https://www.google.com/maps/?q=45.6833333330001,-66.647222222</v>
      </c>
    </row>
    <row r="234" spans="1:10" ht="29" x14ac:dyDescent="0.35">
      <c r="A234" t="s">
        <v>2401</v>
      </c>
      <c r="B234" t="s">
        <v>2402</v>
      </c>
      <c r="C234" t="s">
        <v>2403</v>
      </c>
      <c r="D234" t="s">
        <v>2404</v>
      </c>
      <c r="E234" s="10" t="s">
        <v>28</v>
      </c>
      <c r="F234" s="11" t="s">
        <v>2405</v>
      </c>
      <c r="H234" s="17" t="str">
        <f>HYPERLINK("https://www.google.com/maps/?q=44.710213889,-66.746619444", "https://www.google.com/maps/?q=44.710213889,-66.746619444")</f>
        <v>https://www.google.com/maps/?q=44.710213889,-66.746619444</v>
      </c>
    </row>
    <row r="235" spans="1:10" ht="29" x14ac:dyDescent="0.35">
      <c r="A235" t="s">
        <v>2406</v>
      </c>
      <c r="B235" t="s">
        <v>2407</v>
      </c>
      <c r="C235" t="s">
        <v>2408</v>
      </c>
      <c r="D235" t="s">
        <v>2409</v>
      </c>
      <c r="E235" s="10" t="s">
        <v>28</v>
      </c>
      <c r="F235" s="11" t="s">
        <v>2410</v>
      </c>
      <c r="H235" s="17" t="str">
        <f>HYPERLINK("https://www.google.com/maps/?q=45.887219444,-65.316663889", "https://www.google.com/maps/?q=45.887219444,-65.316663889")</f>
        <v>https://www.google.com/maps/?q=45.887219444,-65.316663889</v>
      </c>
    </row>
    <row r="236" spans="1:10" ht="29" x14ac:dyDescent="0.35">
      <c r="A236" t="s">
        <v>2411</v>
      </c>
      <c r="B236" t="s">
        <v>2412</v>
      </c>
      <c r="C236" t="s">
        <v>2413</v>
      </c>
      <c r="D236" t="s">
        <v>2414</v>
      </c>
      <c r="E236" s="10" t="s">
        <v>28</v>
      </c>
      <c r="F236" s="11" t="s">
        <v>2415</v>
      </c>
      <c r="H236" s="17" t="str">
        <f>HYPERLINK("https://www.google.com/maps/?q=45.4141666670001,-66.310830556", "https://www.google.com/maps/?q=45.4141666670001,-66.310830556")</f>
        <v>https://www.google.com/maps/?q=45.4141666670001,-66.310830556</v>
      </c>
    </row>
    <row r="237" spans="1:10" ht="29" x14ac:dyDescent="0.35">
      <c r="A237" t="s">
        <v>2416</v>
      </c>
      <c r="B237" t="s">
        <v>2417</v>
      </c>
      <c r="C237" t="s">
        <v>2418</v>
      </c>
      <c r="D237" t="s">
        <v>2419</v>
      </c>
      <c r="E237" s="10" t="s">
        <v>28</v>
      </c>
      <c r="F237" s="11" t="s">
        <v>2420</v>
      </c>
      <c r="H237" s="17" t="str">
        <f>HYPERLINK("https://www.google.com/maps/?q=47.4652972220001,-67.3905999999999", "https://www.google.com/maps/?q=47.4652972220001,-67.3905999999999")</f>
        <v>https://www.google.com/maps/?q=47.4652972220001,-67.3905999999999</v>
      </c>
    </row>
    <row r="238" spans="1:10" ht="29" x14ac:dyDescent="0.35">
      <c r="A238" t="s">
        <v>2421</v>
      </c>
      <c r="B238" t="s">
        <v>2422</v>
      </c>
      <c r="C238" t="s">
        <v>2423</v>
      </c>
      <c r="D238" t="s">
        <v>2424</v>
      </c>
      <c r="E238" s="10" t="s">
        <v>28</v>
      </c>
      <c r="F238" s="11" t="s">
        <v>2425</v>
      </c>
      <c r="H238" s="17" t="str">
        <f>HYPERLINK("https://www.google.com/maps/?q=47.7422,-64.7205999999999", "https://www.google.com/maps/?q=47.7422,-64.7205999999999")</f>
        <v>https://www.google.com/maps/?q=47.7422,-64.7205999999999</v>
      </c>
    </row>
    <row r="239" spans="1:10" ht="29" x14ac:dyDescent="0.35">
      <c r="A239" t="s">
        <v>2426</v>
      </c>
      <c r="B239" t="s">
        <v>2427</v>
      </c>
      <c r="C239" t="s">
        <v>2428</v>
      </c>
      <c r="D239" t="s">
        <v>2429</v>
      </c>
      <c r="E239" s="10" t="s">
        <v>28</v>
      </c>
      <c r="F239" s="11" t="s">
        <v>1229</v>
      </c>
      <c r="H239" s="17" t="str">
        <f>HYPERLINK("https://www.google.com/maps/?q=46.0658333330001,-64.711386111", "https://www.google.com/maps/?q=46.0658333330001,-64.711386111")</f>
        <v>https://www.google.com/maps/?q=46.0658333330001,-64.711386111</v>
      </c>
    </row>
    <row r="240" spans="1:10" ht="29" x14ac:dyDescent="0.35">
      <c r="A240" t="s">
        <v>2430</v>
      </c>
      <c r="B240" t="s">
        <v>2431</v>
      </c>
      <c r="C240" t="s">
        <v>2432</v>
      </c>
      <c r="D240" t="s">
        <v>2433</v>
      </c>
      <c r="E240" s="10" t="s">
        <v>28</v>
      </c>
      <c r="F240" s="11" t="s">
        <v>2434</v>
      </c>
      <c r="H240" s="17" t="str">
        <f>HYPERLINK("https://www.google.com/maps/?q=46.113377778,-64.829369444", "https://www.google.com/maps/?q=46.113377778,-64.829369444")</f>
        <v>https://www.google.com/maps/?q=46.113377778,-64.829369444</v>
      </c>
    </row>
    <row r="241" spans="1:8" ht="29" x14ac:dyDescent="0.35">
      <c r="A241" t="s">
        <v>2435</v>
      </c>
      <c r="B241" t="s">
        <v>2436</v>
      </c>
      <c r="C241" t="s">
        <v>2437</v>
      </c>
      <c r="D241" t="s">
        <v>2438</v>
      </c>
      <c r="E241" s="10" t="s">
        <v>28</v>
      </c>
      <c r="F241" s="11" t="s">
        <v>2439</v>
      </c>
      <c r="H241" s="17" t="str">
        <f>HYPERLINK("https://www.google.com/maps/?q=46.224869444,-64.423377778", "https://www.google.com/maps/?q=46.224869444,-64.423377778")</f>
        <v>https://www.google.com/maps/?q=46.224869444,-64.423377778</v>
      </c>
    </row>
    <row r="242" spans="1:8" ht="29" x14ac:dyDescent="0.35">
      <c r="A242" t="s">
        <v>2440</v>
      </c>
      <c r="B242" t="s">
        <v>2441</v>
      </c>
      <c r="C242" t="s">
        <v>2442</v>
      </c>
      <c r="D242" t="s">
        <v>2443</v>
      </c>
      <c r="E242" s="10" t="s">
        <v>28</v>
      </c>
      <c r="F242" s="11" t="s">
        <v>2444</v>
      </c>
      <c r="H242" s="17" t="str">
        <f>HYPERLINK("https://www.google.com/maps/?q=47.0271638890001,-65.461475", "https://www.google.com/maps/?q=47.0271638890001,-65.461475")</f>
        <v>https://www.google.com/maps/?q=47.0271638890001,-65.461475</v>
      </c>
    </row>
    <row r="243" spans="1:8" ht="29" x14ac:dyDescent="0.35">
      <c r="A243" t="s">
        <v>2445</v>
      </c>
      <c r="B243" t="s">
        <v>2446</v>
      </c>
      <c r="C243" t="s">
        <v>2447</v>
      </c>
      <c r="D243" t="s">
        <v>2448</v>
      </c>
      <c r="E243" s="10" t="s">
        <v>461</v>
      </c>
      <c r="F243" s="11" t="s">
        <v>2449</v>
      </c>
      <c r="H243" s="17" t="str">
        <f>HYPERLINK("https://www.google.com/maps/?q=45.949769444,-66.694980556", "https://www.google.com/maps/?q=45.949769444,-66.694980556")</f>
        <v>https://www.google.com/maps/?q=45.949769444,-66.694980556</v>
      </c>
    </row>
    <row r="244" spans="1:8" ht="29" x14ac:dyDescent="0.35">
      <c r="A244" t="s">
        <v>2450</v>
      </c>
      <c r="B244" t="s">
        <v>2451</v>
      </c>
      <c r="C244" t="s">
        <v>2452</v>
      </c>
      <c r="D244" t="s">
        <v>2453</v>
      </c>
      <c r="E244" s="10" t="s">
        <v>28</v>
      </c>
      <c r="F244" s="11" t="s">
        <v>2454</v>
      </c>
      <c r="H244" s="17" t="str">
        <f>HYPERLINK("https://www.google.com/maps/?q=46.1042833330001,-64.9011027779999", "https://www.google.com/maps/?q=46.1042833330001,-64.9011027779999")</f>
        <v>https://www.google.com/maps/?q=46.1042833330001,-64.9011027779999</v>
      </c>
    </row>
    <row r="245" spans="1:8" ht="29" x14ac:dyDescent="0.35">
      <c r="A245" t="s">
        <v>2455</v>
      </c>
      <c r="B245" t="s">
        <v>2456</v>
      </c>
      <c r="C245" t="s">
        <v>2457</v>
      </c>
      <c r="D245" t="s">
        <v>2458</v>
      </c>
      <c r="E245" s="10" t="s">
        <v>28</v>
      </c>
      <c r="F245" s="11" t="s">
        <v>2459</v>
      </c>
      <c r="G245" s="17"/>
      <c r="H245" s="17" t="str">
        <f>HYPERLINK("https://www.google.com/maps/?q=46.1302805560001,-64.834088889", "https://www.google.com/maps/?q=46.1302805560001,-64.834088889")</f>
        <v>https://www.google.com/maps/?q=46.1302805560001,-64.834088889</v>
      </c>
    </row>
    <row r="246" spans="1:8" ht="29" x14ac:dyDescent="0.35">
      <c r="A246" t="s">
        <v>2460</v>
      </c>
      <c r="B246" t="s">
        <v>2461</v>
      </c>
      <c r="C246" t="s">
        <v>2462</v>
      </c>
      <c r="D246" t="s">
        <v>2463</v>
      </c>
      <c r="E246" s="10" t="s">
        <v>28</v>
      </c>
      <c r="F246" s="11" t="s">
        <v>2464</v>
      </c>
      <c r="H246" s="17" t="str">
        <f>HYPERLINK("https://www.google.com/maps/?q=45.169066667,-67.317455556", "https://www.google.com/maps/?q=45.169066667,-67.317455556")</f>
        <v>https://www.google.com/maps/?q=45.169066667,-67.317455556</v>
      </c>
    </row>
    <row r="247" spans="1:8" ht="29" x14ac:dyDescent="0.35">
      <c r="A247" t="s">
        <v>2465</v>
      </c>
      <c r="B247" t="s">
        <v>2466</v>
      </c>
      <c r="C247" t="s">
        <v>2467</v>
      </c>
      <c r="D247" t="s">
        <v>2468</v>
      </c>
      <c r="E247" s="10" t="s">
        <v>28</v>
      </c>
      <c r="F247" s="11" t="s">
        <v>2469</v>
      </c>
      <c r="H247" s="17" t="str">
        <f>HYPERLINK("https://www.google.com/maps/?q=45.4428,-65.9553", "https://www.google.com/maps/?q=45.4428,-65.9553")</f>
        <v>https://www.google.com/maps/?q=45.4428,-65.9553</v>
      </c>
    </row>
    <row r="248" spans="1:8" ht="29" x14ac:dyDescent="0.35">
      <c r="A248" t="s">
        <v>2470</v>
      </c>
      <c r="B248" t="s">
        <v>2471</v>
      </c>
      <c r="C248" t="s">
        <v>2472</v>
      </c>
      <c r="D248" t="s">
        <v>2473</v>
      </c>
      <c r="E248" s="10" t="s">
        <v>28</v>
      </c>
      <c r="F248" s="11" t="s">
        <v>2474</v>
      </c>
      <c r="H248" s="17" t="str">
        <f>HYPERLINK("https://www.google.com/maps/?q=45.4468972220001,-66.008897222", "https://www.google.com/maps/?q=45.4468972220001,-66.008897222")</f>
        <v>https://www.google.com/maps/?q=45.4468972220001,-66.008897222</v>
      </c>
    </row>
    <row r="249" spans="1:8" ht="29" x14ac:dyDescent="0.35">
      <c r="A249" t="s">
        <v>2475</v>
      </c>
      <c r="B249" t="s">
        <v>2476</v>
      </c>
      <c r="C249" t="s">
        <v>2477</v>
      </c>
      <c r="D249" t="s">
        <v>2478</v>
      </c>
      <c r="E249" s="10" t="s">
        <v>28</v>
      </c>
      <c r="F249" s="11" t="s">
        <v>1382</v>
      </c>
      <c r="H249" s="17" t="str">
        <f>HYPERLINK("https://www.google.com/maps/?q=46.063858333,-66.5817888889999", "https://www.google.com/maps/?q=46.063858333,-66.5817888889999")</f>
        <v>https://www.google.com/maps/?q=46.063858333,-66.5817888889999</v>
      </c>
    </row>
    <row r="250" spans="1:8" ht="29" x14ac:dyDescent="0.35">
      <c r="A250" t="s">
        <v>2479</v>
      </c>
      <c r="B250" t="s">
        <v>2480</v>
      </c>
      <c r="C250" t="s">
        <v>2481</v>
      </c>
      <c r="D250" t="s">
        <v>2482</v>
      </c>
      <c r="E250" s="10" t="s">
        <v>28</v>
      </c>
      <c r="F250" s="11" t="s">
        <v>2483</v>
      </c>
      <c r="H250" s="17" t="str">
        <f>HYPERLINK("https://www.google.com/maps/?q=45.946055556,-66.643027778", "https://www.google.com/maps/?q=45.946055556,-66.643027778")</f>
        <v>https://www.google.com/maps/?q=45.946055556,-66.643027778</v>
      </c>
    </row>
    <row r="251" spans="1:8" ht="29" x14ac:dyDescent="0.35">
      <c r="A251" t="s">
        <v>2484</v>
      </c>
      <c r="B251" t="s">
        <v>2485</v>
      </c>
      <c r="C251" t="s">
        <v>2486</v>
      </c>
      <c r="D251" t="s">
        <v>2487</v>
      </c>
      <c r="E251" s="10" t="s">
        <v>28</v>
      </c>
      <c r="F251" s="11" t="s">
        <v>2488</v>
      </c>
      <c r="H251" s="17" t="str">
        <f>HYPERLINK("https://www.google.com/maps/?q=45.8371916670001,-66.4928305559999", "https://www.google.com/maps/?q=45.8371916670001,-66.4928305559999")</f>
        <v>https://www.google.com/maps/?q=45.8371916670001,-66.4928305559999</v>
      </c>
    </row>
    <row r="252" spans="1:8" ht="29" x14ac:dyDescent="0.35">
      <c r="A252" t="s">
        <v>2489</v>
      </c>
      <c r="B252" t="s">
        <v>2490</v>
      </c>
      <c r="C252" t="s">
        <v>2491</v>
      </c>
      <c r="D252" t="s">
        <v>2492</v>
      </c>
      <c r="E252" s="10" t="s">
        <v>28</v>
      </c>
      <c r="F252" s="11" t="s">
        <v>2493</v>
      </c>
      <c r="H252" s="17" t="str">
        <f>HYPERLINK("https://www.google.com/maps/?q=45.930969444,-66.6505", "https://www.google.com/maps/?q=45.930969444,-66.6505")</f>
        <v>https://www.google.com/maps/?q=45.930969444,-66.6505</v>
      </c>
    </row>
    <row r="253" spans="1:8" ht="29" x14ac:dyDescent="0.35">
      <c r="A253" t="s">
        <v>2494</v>
      </c>
      <c r="B253" t="s">
        <v>2495</v>
      </c>
      <c r="C253" t="s">
        <v>2496</v>
      </c>
      <c r="D253" t="s">
        <v>2497</v>
      </c>
      <c r="E253" s="10" t="s">
        <v>28</v>
      </c>
      <c r="F253" s="11" t="s">
        <v>2498</v>
      </c>
      <c r="H253" s="17" t="str">
        <f>HYPERLINK("https://www.google.com/maps/?q=45.466244444,-66.078458333", "https://www.google.com/maps/?q=45.466244444,-66.078458333")</f>
        <v>https://www.google.com/maps/?q=45.466244444,-66.078458333</v>
      </c>
    </row>
    <row r="254" spans="1:8" ht="29" x14ac:dyDescent="0.35">
      <c r="A254" t="s">
        <v>2499</v>
      </c>
      <c r="B254" t="s">
        <v>2500</v>
      </c>
      <c r="C254" t="s">
        <v>2501</v>
      </c>
      <c r="D254" t="s">
        <v>2502</v>
      </c>
      <c r="E254" s="10" t="s">
        <v>50</v>
      </c>
      <c r="F254" s="11" t="s">
        <v>2503</v>
      </c>
      <c r="H254" s="17" t="str">
        <f>HYPERLINK("https://www.google.com/maps/?q=45.9220222220001,-65.874675", "https://www.google.com/maps/?q=45.9220222220001,-65.874675")</f>
        <v>https://www.google.com/maps/?q=45.9220222220001,-65.874675</v>
      </c>
    </row>
    <row r="255" spans="1:8" ht="29" x14ac:dyDescent="0.35">
      <c r="A255" t="s">
        <v>2504</v>
      </c>
      <c r="B255" t="s">
        <v>2505</v>
      </c>
      <c r="C255" t="s">
        <v>2506</v>
      </c>
      <c r="D255" t="s">
        <v>2507</v>
      </c>
      <c r="E255" s="10" t="s">
        <v>461</v>
      </c>
      <c r="F255" s="11" t="s">
        <v>2508</v>
      </c>
      <c r="H255" s="17" t="str">
        <f>HYPERLINK("https://www.google.com/maps/?q=45.2503,-66.072933333", "https://www.google.com/maps/?q=45.2503,-66.072933333")</f>
        <v>https://www.google.com/maps/?q=45.2503,-66.072933333</v>
      </c>
    </row>
    <row r="256" spans="1:8" ht="29" x14ac:dyDescent="0.35">
      <c r="A256" t="s">
        <v>2509</v>
      </c>
      <c r="B256" t="s">
        <v>2510</v>
      </c>
      <c r="C256" t="s">
        <v>2511</v>
      </c>
      <c r="D256" t="s">
        <v>2512</v>
      </c>
      <c r="E256" s="10" t="s">
        <v>461</v>
      </c>
      <c r="F256" s="11" t="s">
        <v>2513</v>
      </c>
      <c r="H256" s="17" t="str">
        <f>HYPERLINK("https://www.google.com/maps/?q=46.294208333,-64.61875", "https://www.google.com/maps/?q=46.294208333,-64.61875")</f>
        <v>https://www.google.com/maps/?q=46.294208333,-64.61875</v>
      </c>
    </row>
    <row r="257" spans="1:8" ht="29" x14ac:dyDescent="0.35">
      <c r="A257" t="s">
        <v>2514</v>
      </c>
      <c r="B257" t="s">
        <v>2515</v>
      </c>
      <c r="C257" t="s">
        <v>2516</v>
      </c>
      <c r="D257" t="s">
        <v>2517</v>
      </c>
      <c r="E257" s="10" t="s">
        <v>50</v>
      </c>
      <c r="F257" s="11" t="s">
        <v>2518</v>
      </c>
      <c r="H257" s="17" t="str">
        <f>HYPERLINK("https://www.google.com/maps/?q=45.0808555560001,-67.056066667", "https://www.google.com/maps/?q=45.0808555560001,-67.056066667")</f>
        <v>https://www.google.com/maps/?q=45.0808555560001,-67.056066667</v>
      </c>
    </row>
    <row r="258" spans="1:8" ht="29" x14ac:dyDescent="0.35">
      <c r="A258" t="s">
        <v>2519</v>
      </c>
      <c r="B258" t="s">
        <v>2520</v>
      </c>
      <c r="C258" t="s">
        <v>2521</v>
      </c>
      <c r="D258" t="s">
        <v>2522</v>
      </c>
      <c r="E258" s="10" t="s">
        <v>50</v>
      </c>
      <c r="F258" s="11" t="s">
        <v>1504</v>
      </c>
      <c r="H258" s="17" t="str">
        <f>HYPERLINK("https://www.google.com/maps/?q=47.3686000000001,-68.3563972219999", "https://www.google.com/maps/?q=47.3686000000001,-68.3563972219999")</f>
        <v>https://www.google.com/maps/?q=47.3686000000001,-68.3563972219999</v>
      </c>
    </row>
    <row r="259" spans="1:8" ht="29" x14ac:dyDescent="0.35">
      <c r="A259" t="s">
        <v>2523</v>
      </c>
      <c r="B259" t="s">
        <v>2524</v>
      </c>
      <c r="C259" t="s">
        <v>2525</v>
      </c>
      <c r="D259" t="s">
        <v>2526</v>
      </c>
      <c r="E259" s="10" t="s">
        <v>50</v>
      </c>
      <c r="F259" s="11" t="s">
        <v>2527</v>
      </c>
      <c r="H259" s="17" t="str">
        <f>HYPERLINK("https://www.google.com/maps/?q=46.4530722220001,-66.520563889", "https://www.google.com/maps/?q=46.4530722220001,-66.520563889")</f>
        <v>https://www.google.com/maps/?q=46.4530722220001,-66.520563889</v>
      </c>
    </row>
    <row r="260" spans="1:8" ht="29" x14ac:dyDescent="0.35">
      <c r="A260" t="s">
        <v>2528</v>
      </c>
      <c r="B260" t="s">
        <v>2529</v>
      </c>
      <c r="C260" t="s">
        <v>2530</v>
      </c>
      <c r="D260" t="s">
        <v>2531</v>
      </c>
      <c r="E260" s="10" t="s">
        <v>50</v>
      </c>
      <c r="F260" s="11" t="s">
        <v>2532</v>
      </c>
      <c r="H260" s="17" t="str">
        <f>HYPERLINK("https://www.google.com/maps/?q=45.1124722220001,-66.744777778", "https://www.google.com/maps/?q=45.1124722220001,-66.744777778")</f>
        <v>https://www.google.com/maps/?q=45.1124722220001,-66.744777778</v>
      </c>
    </row>
    <row r="261" spans="1:8" ht="29" x14ac:dyDescent="0.35">
      <c r="A261" t="s">
        <v>2533</v>
      </c>
      <c r="B261" t="s">
        <v>2534</v>
      </c>
      <c r="C261" t="s">
        <v>2535</v>
      </c>
      <c r="D261" t="s">
        <v>2536</v>
      </c>
      <c r="E261" s="10" t="s">
        <v>50</v>
      </c>
      <c r="F261" s="11" t="s">
        <v>2303</v>
      </c>
      <c r="H261" s="17" t="str">
        <f>HYPERLINK("https://www.google.com/maps/?q=45.9285833330001,-65.215444444", "https://www.google.com/maps/?q=45.9285833330001,-65.215444444")</f>
        <v>https://www.google.com/maps/?q=45.9285833330001,-65.215444444</v>
      </c>
    </row>
    <row r="262" spans="1:8" ht="29" x14ac:dyDescent="0.35">
      <c r="A262" t="s">
        <v>2537</v>
      </c>
      <c r="B262" t="s">
        <v>2538</v>
      </c>
      <c r="C262" t="s">
        <v>2539</v>
      </c>
      <c r="D262" t="s">
        <v>2540</v>
      </c>
      <c r="E262" s="10" t="s">
        <v>50</v>
      </c>
      <c r="F262" s="11" t="s">
        <v>2541</v>
      </c>
      <c r="H262" s="17" t="str">
        <f>HYPERLINK("https://www.google.com/maps/?q=45.920838889,-65.645061111", "https://www.google.com/maps/?q=45.920838889,-65.645061111")</f>
        <v>https://www.google.com/maps/?q=45.920838889,-65.645061111</v>
      </c>
    </row>
    <row r="263" spans="1:8" ht="29" x14ac:dyDescent="0.35">
      <c r="A263" t="s">
        <v>2542</v>
      </c>
      <c r="B263" t="s">
        <v>2543</v>
      </c>
      <c r="C263" t="s">
        <v>2544</v>
      </c>
      <c r="D263" t="s">
        <v>2545</v>
      </c>
      <c r="E263" s="10" t="s">
        <v>50</v>
      </c>
      <c r="F263" s="11" t="s">
        <v>2546</v>
      </c>
      <c r="H263" s="17" t="str">
        <f>HYPERLINK("https://www.google.com/maps/?q=47.415147222,-68.264277778", "https://www.google.com/maps/?q=47.415147222,-68.264277778")</f>
        <v>https://www.google.com/maps/?q=47.415147222,-68.264277778</v>
      </c>
    </row>
    <row r="264" spans="1:8" ht="29" x14ac:dyDescent="0.35">
      <c r="A264" t="s">
        <v>2547</v>
      </c>
      <c r="B264" t="s">
        <v>2548</v>
      </c>
      <c r="C264" t="s">
        <v>2549</v>
      </c>
      <c r="D264" t="s">
        <v>2550</v>
      </c>
      <c r="E264" s="10" t="s">
        <v>66</v>
      </c>
      <c r="F264" s="11" t="s">
        <v>2551</v>
      </c>
      <c r="H264" s="17" t="str">
        <f>HYPERLINK("https://www.google.com/maps/?q=45.365997222,-65.9532972219999", "https://www.google.com/maps/?q=45.365997222,-65.9532972219999")</f>
        <v>https://www.google.com/maps/?q=45.365997222,-65.9532972219999</v>
      </c>
    </row>
    <row r="265" spans="1:8" ht="29" x14ac:dyDescent="0.35">
      <c r="A265" t="s">
        <v>2552</v>
      </c>
      <c r="B265" t="s">
        <v>2553</v>
      </c>
      <c r="C265" t="s">
        <v>2554</v>
      </c>
      <c r="D265" t="s">
        <v>2555</v>
      </c>
      <c r="E265" s="10" t="s">
        <v>66</v>
      </c>
      <c r="F265" s="11" t="s">
        <v>1837</v>
      </c>
      <c r="G265" s="17"/>
      <c r="H265" s="17" t="str">
        <f>HYPERLINK("https://www.google.com/maps/?q=46.1113888890001,-64.718055556", "https://www.google.com/maps/?q=46.1113888890001,-64.718055556")</f>
        <v>https://www.google.com/maps/?q=46.1113888890001,-64.718055556</v>
      </c>
    </row>
    <row r="266" spans="1:8" ht="29" x14ac:dyDescent="0.35">
      <c r="A266" t="s">
        <v>2556</v>
      </c>
      <c r="B266" t="s">
        <v>2557</v>
      </c>
      <c r="C266" t="s">
        <v>2558</v>
      </c>
      <c r="D266" t="s">
        <v>2559</v>
      </c>
      <c r="E266" s="10" t="s">
        <v>66</v>
      </c>
      <c r="F266" s="11" t="s">
        <v>2098</v>
      </c>
      <c r="H266" s="17" t="str">
        <f>HYPERLINK("https://www.google.com/maps/?q=46.111422222,-64.777", "https://www.google.com/maps/?q=46.111422222,-64.777")</f>
        <v>https://www.google.com/maps/?q=46.111422222,-64.777</v>
      </c>
    </row>
    <row r="267" spans="1:8" ht="29" x14ac:dyDescent="0.35">
      <c r="A267" t="s">
        <v>2560</v>
      </c>
      <c r="B267" t="s">
        <v>2561</v>
      </c>
      <c r="C267" t="s">
        <v>2562</v>
      </c>
      <c r="D267" t="s">
        <v>2563</v>
      </c>
      <c r="E267" s="10" t="s">
        <v>66</v>
      </c>
      <c r="F267" s="11" t="s">
        <v>2564</v>
      </c>
      <c r="H267" s="17" t="str">
        <f>HYPERLINK("https://www.google.com/maps/?q=45.8391194440001,-66.4969694439999", "https://www.google.com/maps/?q=45.8391194440001,-66.4969694439999")</f>
        <v>https://www.google.com/maps/?q=45.8391194440001,-66.4969694439999</v>
      </c>
    </row>
    <row r="268" spans="1:8" ht="29" x14ac:dyDescent="0.35">
      <c r="A268" t="s">
        <v>2565</v>
      </c>
      <c r="B268" t="s">
        <v>2566</v>
      </c>
      <c r="C268" t="s">
        <v>2567</v>
      </c>
      <c r="D268" t="s">
        <v>2568</v>
      </c>
      <c r="E268" s="10" t="s">
        <v>66</v>
      </c>
      <c r="F268" s="11" t="s">
        <v>1765</v>
      </c>
      <c r="H268" s="17" t="str">
        <f>HYPERLINK("https://www.google.com/maps/?q=46.107661111,-64.8317499999999", "https://www.google.com/maps/?q=46.107661111,-64.8317499999999")</f>
        <v>https://www.google.com/maps/?q=46.107661111,-64.8317499999999</v>
      </c>
    </row>
    <row r="269" spans="1:8" ht="29" x14ac:dyDescent="0.35">
      <c r="A269" t="s">
        <v>2569</v>
      </c>
      <c r="B269" t="s">
        <v>2570</v>
      </c>
      <c r="C269" t="s">
        <v>2571</v>
      </c>
      <c r="D269" t="s">
        <v>2572</v>
      </c>
      <c r="E269" s="10" t="s">
        <v>66</v>
      </c>
      <c r="F269" s="11" t="s">
        <v>2573</v>
      </c>
      <c r="H269" s="17" t="str">
        <f>HYPERLINK("https://www.google.com/maps/?q=45.3125000000001,-65.9655611109999", "https://www.google.com/maps/?q=45.3125000000001,-65.9655611109999")</f>
        <v>https://www.google.com/maps/?q=45.3125000000001,-65.9655611109999</v>
      </c>
    </row>
    <row r="270" spans="1:8" ht="29" x14ac:dyDescent="0.35">
      <c r="A270" t="s">
        <v>2574</v>
      </c>
      <c r="B270" t="s">
        <v>2575</v>
      </c>
      <c r="C270" t="s">
        <v>2576</v>
      </c>
      <c r="D270" t="s">
        <v>2577</v>
      </c>
      <c r="E270" s="10" t="s">
        <v>66</v>
      </c>
      <c r="F270" s="11" t="s">
        <v>2578</v>
      </c>
      <c r="H270" s="17" t="str">
        <f>HYPERLINK("https://www.google.com/maps/?q=46.059094444,-64.815797222", "https://www.google.com/maps/?q=46.059094444,-64.815797222")</f>
        <v>https://www.google.com/maps/?q=46.059094444,-64.815797222</v>
      </c>
    </row>
    <row r="271" spans="1:8" ht="29" x14ac:dyDescent="0.35">
      <c r="A271" t="s">
        <v>2579</v>
      </c>
      <c r="B271" t="s">
        <v>2580</v>
      </c>
      <c r="C271" t="s">
        <v>2581</v>
      </c>
      <c r="D271" t="s">
        <v>2582</v>
      </c>
      <c r="E271" s="10" t="s">
        <v>66</v>
      </c>
      <c r="F271" s="11" t="s">
        <v>1476</v>
      </c>
      <c r="H271" s="17" t="str">
        <f>HYPERLINK("https://www.google.com/maps/?q=46.1046027780001,-64.805205556", "https://www.google.com/maps/?q=46.1046027780001,-64.805205556")</f>
        <v>https://www.google.com/maps/?q=46.1046027780001,-64.805205556</v>
      </c>
    </row>
    <row r="272" spans="1:8" ht="29" x14ac:dyDescent="0.35">
      <c r="A272" t="s">
        <v>2583</v>
      </c>
      <c r="B272" t="s">
        <v>2584</v>
      </c>
      <c r="C272" t="s">
        <v>2585</v>
      </c>
      <c r="D272" t="s">
        <v>2586</v>
      </c>
      <c r="E272" s="10" t="s">
        <v>66</v>
      </c>
      <c r="F272" s="11" t="s">
        <v>2587</v>
      </c>
      <c r="H272" s="17" t="str">
        <f>HYPERLINK("https://www.google.com/maps/?q=45.9696555560001,-66.5810222219999", "https://www.google.com/maps/?q=45.9696555560001,-66.5810222219999")</f>
        <v>https://www.google.com/maps/?q=45.9696555560001,-66.5810222219999</v>
      </c>
    </row>
    <row r="273" spans="1:8" ht="29" x14ac:dyDescent="0.35">
      <c r="A273" t="s">
        <v>2588</v>
      </c>
      <c r="B273" t="s">
        <v>2589</v>
      </c>
      <c r="C273" t="s">
        <v>2590</v>
      </c>
      <c r="D273" t="s">
        <v>2591</v>
      </c>
      <c r="E273" s="10" t="s">
        <v>66</v>
      </c>
      <c r="F273" s="11" t="s">
        <v>2592</v>
      </c>
      <c r="H273" s="17" t="str">
        <f>HYPERLINK("https://www.google.com/maps/?q=46.2207083330001,-64.541130556", "https://www.google.com/maps/?q=46.2207083330001,-64.541130556")</f>
        <v>https://www.google.com/maps/?q=46.2207083330001,-64.541130556</v>
      </c>
    </row>
    <row r="274" spans="1:8" ht="29" x14ac:dyDescent="0.35">
      <c r="A274" t="s">
        <v>2593</v>
      </c>
      <c r="B274" t="s">
        <v>2594</v>
      </c>
      <c r="C274" t="s">
        <v>2595</v>
      </c>
      <c r="D274" t="s">
        <v>2596</v>
      </c>
      <c r="E274" s="10" t="s">
        <v>66</v>
      </c>
      <c r="F274" s="11" t="s">
        <v>2597</v>
      </c>
      <c r="H274" s="17" t="str">
        <f>HYPERLINK("https://www.google.com/maps/?q=45.898969444,-64.372030556", "https://www.google.com/maps/?q=45.898969444,-64.372030556")</f>
        <v>https://www.google.com/maps/?q=45.898969444,-64.372030556</v>
      </c>
    </row>
    <row r="275" spans="1:8" ht="29" x14ac:dyDescent="0.35">
      <c r="A275" t="s">
        <v>2598</v>
      </c>
      <c r="B275" t="s">
        <v>2599</v>
      </c>
      <c r="C275" t="s">
        <v>2600</v>
      </c>
      <c r="D275" t="s">
        <v>2601</v>
      </c>
      <c r="E275" s="10" t="s">
        <v>66</v>
      </c>
      <c r="F275" s="11" t="s">
        <v>2602</v>
      </c>
      <c r="H275" s="17" t="str">
        <f>HYPERLINK("https://www.google.com/maps/?q=45.289619444,-66.08885", "https://www.google.com/maps/?q=45.289619444,-66.08885")</f>
        <v>https://www.google.com/maps/?q=45.289619444,-66.08885</v>
      </c>
    </row>
    <row r="276" spans="1:8" ht="29" x14ac:dyDescent="0.35">
      <c r="A276" t="s">
        <v>2603</v>
      </c>
      <c r="B276" t="s">
        <v>2604</v>
      </c>
      <c r="C276" t="s">
        <v>2605</v>
      </c>
      <c r="D276" t="s">
        <v>2606</v>
      </c>
      <c r="E276" s="10" t="s">
        <v>66</v>
      </c>
      <c r="F276" s="11" t="s">
        <v>2607</v>
      </c>
      <c r="H276" s="17" t="str">
        <f>HYPERLINK("https://www.google.com/maps/?q=45.9357694440001,-66.661519444", "https://www.google.com/maps/?q=45.9357694440001,-66.661519444")</f>
        <v>https://www.google.com/maps/?q=45.9357694440001,-66.661519444</v>
      </c>
    </row>
    <row r="277" spans="1:8" ht="29" x14ac:dyDescent="0.35">
      <c r="A277" t="s">
        <v>2608</v>
      </c>
      <c r="B277" t="s">
        <v>2609</v>
      </c>
      <c r="C277" t="s">
        <v>2610</v>
      </c>
      <c r="D277" t="s">
        <v>2611</v>
      </c>
      <c r="E277" s="10" t="s">
        <v>66</v>
      </c>
      <c r="F277" s="11" t="s">
        <v>1922</v>
      </c>
      <c r="H277" s="17" t="str">
        <f>HYPERLINK("https://www.google.com/maps/?q=45.2330000000001,-65.984", "https://www.google.com/maps/?q=45.2330000000001,-65.984")</f>
        <v>https://www.google.com/maps/?q=45.2330000000001,-65.984</v>
      </c>
    </row>
    <row r="278" spans="1:8" ht="29" x14ac:dyDescent="0.35">
      <c r="A278" t="s">
        <v>2612</v>
      </c>
      <c r="B278" t="s">
        <v>2613</v>
      </c>
      <c r="C278" t="s">
        <v>2614</v>
      </c>
      <c r="D278" t="s">
        <v>2615</v>
      </c>
      <c r="E278" s="10" t="s">
        <v>28</v>
      </c>
      <c r="F278" s="11" t="s">
        <v>2616</v>
      </c>
      <c r="H278" s="17" t="str">
        <f>HYPERLINK("https://www.google.com/maps/?q=45.3008333330001,-66.0294388889999", "https://www.google.com/maps/?q=45.3008333330001,-66.0294388889999")</f>
        <v>https://www.google.com/maps/?q=45.3008333330001,-66.0294388889999</v>
      </c>
    </row>
    <row r="279" spans="1:8" ht="29" x14ac:dyDescent="0.35">
      <c r="A279" t="s">
        <v>2617</v>
      </c>
      <c r="B279" t="s">
        <v>2618</v>
      </c>
      <c r="C279" t="s">
        <v>2619</v>
      </c>
      <c r="D279" t="s">
        <v>2620</v>
      </c>
      <c r="E279" s="10" t="s">
        <v>28</v>
      </c>
      <c r="F279" s="11" t="s">
        <v>2621</v>
      </c>
      <c r="H279" s="17" t="str">
        <f>HYPERLINK("https://www.google.com/maps/?q=46.1189000000001,-64.8420055559999", "https://www.google.com/maps/?q=46.1189000000001,-64.8420055559999")</f>
        <v>https://www.google.com/maps/?q=46.1189000000001,-64.8420055559999</v>
      </c>
    </row>
    <row r="280" spans="1:8" ht="29" x14ac:dyDescent="0.35">
      <c r="A280" t="s">
        <v>2622</v>
      </c>
      <c r="B280" t="s">
        <v>2623</v>
      </c>
      <c r="C280" t="s">
        <v>2624</v>
      </c>
      <c r="D280" t="s">
        <v>2625</v>
      </c>
      <c r="E280" s="10" t="s">
        <v>17</v>
      </c>
      <c r="F280" s="11" t="s">
        <v>2343</v>
      </c>
      <c r="H280" s="17" t="str">
        <f>HYPERLINK("https://www.google.com/maps/?q=45.134166667,-66.5505555559999", "https://www.google.com/maps/?q=45.134166667,-66.5505555559999")</f>
        <v>https://www.google.com/maps/?q=45.134166667,-66.5505555559999</v>
      </c>
    </row>
    <row r="281" spans="1:8" ht="29" x14ac:dyDescent="0.35">
      <c r="A281" t="s">
        <v>2626</v>
      </c>
      <c r="B281" t="s">
        <v>2627</v>
      </c>
      <c r="C281" t="s">
        <v>2628</v>
      </c>
      <c r="D281" t="s">
        <v>2629</v>
      </c>
      <c r="E281" s="10" t="s">
        <v>17</v>
      </c>
      <c r="F281" s="11" t="s">
        <v>1818</v>
      </c>
      <c r="H281" s="17" t="str">
        <f>HYPERLINK("https://www.google.com/maps/?q=47.6872000000001,-65.4308", "https://www.google.com/maps/?q=47.6872000000001,-65.4308")</f>
        <v>https://www.google.com/maps/?q=47.6872000000001,-65.4308</v>
      </c>
    </row>
    <row r="282" spans="1:8" ht="29" x14ac:dyDescent="0.35">
      <c r="A282" t="s">
        <v>2630</v>
      </c>
      <c r="B282" t="s">
        <v>2631</v>
      </c>
      <c r="C282" t="s">
        <v>2632</v>
      </c>
      <c r="D282" t="s">
        <v>2633</v>
      </c>
      <c r="E282" s="10" t="s">
        <v>17</v>
      </c>
      <c r="F282" s="11" t="s">
        <v>2634</v>
      </c>
      <c r="H282" s="17" t="str">
        <f>HYPERLINK("https://www.google.com/maps/?q=47.048222222,-65.324611111", "https://www.google.com/maps/?q=47.048222222,-65.324611111")</f>
        <v>https://www.google.com/maps/?q=47.048222222,-65.324611111</v>
      </c>
    </row>
    <row r="283" spans="1:8" ht="29" x14ac:dyDescent="0.35">
      <c r="A283" t="s">
        <v>2635</v>
      </c>
      <c r="B283" t="s">
        <v>2636</v>
      </c>
      <c r="C283" t="s">
        <v>2637</v>
      </c>
      <c r="D283" t="s">
        <v>2638</v>
      </c>
      <c r="E283" s="10" t="s">
        <v>17</v>
      </c>
      <c r="F283" s="11" t="s">
        <v>2333</v>
      </c>
      <c r="H283" s="17" t="str">
        <f>HYPERLINK("https://www.google.com/maps/?q=47.799861111,-65.134916667", "https://www.google.com/maps/?q=47.799861111,-65.134916667")</f>
        <v>https://www.google.com/maps/?q=47.799861111,-65.134916667</v>
      </c>
    </row>
    <row r="284" spans="1:8" ht="29" x14ac:dyDescent="0.35">
      <c r="A284" t="s">
        <v>2639</v>
      </c>
      <c r="B284" t="s">
        <v>2640</v>
      </c>
      <c r="C284" t="s">
        <v>2641</v>
      </c>
      <c r="D284" t="s">
        <v>2642</v>
      </c>
      <c r="E284" s="10" t="s">
        <v>17</v>
      </c>
      <c r="F284" s="11" t="s">
        <v>2333</v>
      </c>
      <c r="H284" s="17" t="str">
        <f>HYPERLINK("https://www.google.com/maps/?q=47.7986000000001,-65.1342", "https://www.google.com/maps/?q=47.7986000000001,-65.1342")</f>
        <v>https://www.google.com/maps/?q=47.7986000000001,-65.1342</v>
      </c>
    </row>
    <row r="285" spans="1:8" ht="29" x14ac:dyDescent="0.35">
      <c r="A285" t="s">
        <v>2643</v>
      </c>
      <c r="B285" t="s">
        <v>2644</v>
      </c>
      <c r="C285" t="s">
        <v>2645</v>
      </c>
      <c r="D285" t="s">
        <v>2646</v>
      </c>
      <c r="E285" s="10" t="s">
        <v>50</v>
      </c>
      <c r="F285" s="11" t="s">
        <v>2647</v>
      </c>
      <c r="H285" s="17" t="str">
        <f>HYPERLINK("https://www.google.com/maps/?q=45.8873611110001,-65.31675", "https://www.google.com/maps/?q=45.8873611110001,-65.31675")</f>
        <v>https://www.google.com/maps/?q=45.8873611110001,-65.31675</v>
      </c>
    </row>
    <row r="286" spans="1:8" ht="29" x14ac:dyDescent="0.35">
      <c r="A286" t="s">
        <v>2648</v>
      </c>
      <c r="B286" t="s">
        <v>2649</v>
      </c>
      <c r="C286" t="s">
        <v>2650</v>
      </c>
      <c r="D286" t="s">
        <v>2651</v>
      </c>
      <c r="E286" s="10" t="s">
        <v>50</v>
      </c>
      <c r="F286" s="11" t="s">
        <v>2652</v>
      </c>
      <c r="H286" s="17" t="str">
        <f>HYPERLINK("https://www.google.com/maps/?q=45.327116667,-65.903461111", "https://www.google.com/maps/?q=45.327116667,-65.903461111")</f>
        <v>https://www.google.com/maps/?q=45.327116667,-65.903461111</v>
      </c>
    </row>
    <row r="287" spans="1:8" ht="29" x14ac:dyDescent="0.35">
      <c r="A287" t="s">
        <v>2653</v>
      </c>
      <c r="B287" t="s">
        <v>2654</v>
      </c>
      <c r="C287" t="s">
        <v>2655</v>
      </c>
      <c r="D287" t="s">
        <v>2656</v>
      </c>
      <c r="E287" s="10" t="s">
        <v>50</v>
      </c>
      <c r="F287" s="11" t="s">
        <v>2657</v>
      </c>
      <c r="H287" s="17" t="str">
        <f>HYPERLINK("https://www.google.com/maps/?q=45.9060416670001,-66.7020277779999", "https://www.google.com/maps/?q=45.9060416670001,-66.7020277779999")</f>
        <v>https://www.google.com/maps/?q=45.9060416670001,-66.7020277779999</v>
      </c>
    </row>
    <row r="288" spans="1:8" ht="29" x14ac:dyDescent="0.35">
      <c r="A288" t="s">
        <v>2658</v>
      </c>
      <c r="B288" t="s">
        <v>2659</v>
      </c>
      <c r="C288" t="s">
        <v>2660</v>
      </c>
      <c r="D288" t="s">
        <v>2661</v>
      </c>
      <c r="E288" s="10" t="s">
        <v>50</v>
      </c>
      <c r="F288" s="11" t="s">
        <v>2662</v>
      </c>
      <c r="H288" s="17" t="str">
        <f>HYPERLINK("https://www.google.com/maps/?q=47.318055556,-68.091930556", "https://www.google.com/maps/?q=47.318055556,-68.091930556")</f>
        <v>https://www.google.com/maps/?q=47.318055556,-68.091930556</v>
      </c>
    </row>
    <row r="289" spans="1:8" ht="29" x14ac:dyDescent="0.35">
      <c r="A289" t="s">
        <v>2663</v>
      </c>
      <c r="B289" t="s">
        <v>2664</v>
      </c>
      <c r="C289" t="s">
        <v>2665</v>
      </c>
      <c r="D289" t="s">
        <v>2666</v>
      </c>
      <c r="E289" s="10" t="s">
        <v>50</v>
      </c>
      <c r="F289" s="11" t="s">
        <v>2667</v>
      </c>
      <c r="H289" s="17" t="str">
        <f>HYPERLINK("https://www.google.com/maps/?q=47.7085000000001,-65.7211694439999", "https://www.google.com/maps/?q=47.7085000000001,-65.7211694439999")</f>
        <v>https://www.google.com/maps/?q=47.7085000000001,-65.7211694439999</v>
      </c>
    </row>
    <row r="290" spans="1:8" ht="29" x14ac:dyDescent="0.35">
      <c r="A290" t="s">
        <v>2668</v>
      </c>
      <c r="B290" t="s">
        <v>2669</v>
      </c>
      <c r="C290" t="s">
        <v>2670</v>
      </c>
      <c r="D290" t="s">
        <v>2671</v>
      </c>
      <c r="E290" s="10" t="s">
        <v>50</v>
      </c>
      <c r="F290" s="11" t="s">
        <v>2672</v>
      </c>
      <c r="G290" s="17"/>
      <c r="H290" s="17" t="str">
        <f>HYPERLINK("https://www.google.com/maps/?q=46.1425166670001,-64.837502778", "https://www.google.com/maps/?q=46.1425166670001,-64.837502778")</f>
        <v>https://www.google.com/maps/?q=46.1425166670001,-64.837502778</v>
      </c>
    </row>
    <row r="291" spans="1:8" ht="29" x14ac:dyDescent="0.35">
      <c r="A291" t="s">
        <v>2673</v>
      </c>
      <c r="B291" t="s">
        <v>2674</v>
      </c>
      <c r="C291" t="s">
        <v>2675</v>
      </c>
      <c r="D291" t="s">
        <v>2676</v>
      </c>
      <c r="E291" s="10" t="s">
        <v>50</v>
      </c>
      <c r="F291" s="11" t="s">
        <v>1556</v>
      </c>
      <c r="H291" s="17" t="str">
        <f>HYPERLINK("https://www.google.com/maps/?q=47.0555694440001,-65.4886361109999", "https://www.google.com/maps/?q=47.0555694440001,-65.4886361109999")</f>
        <v>https://www.google.com/maps/?q=47.0555694440001,-65.4886361109999</v>
      </c>
    </row>
    <row r="292" spans="1:8" ht="29" x14ac:dyDescent="0.35">
      <c r="A292" t="s">
        <v>2677</v>
      </c>
      <c r="B292" t="s">
        <v>2678</v>
      </c>
      <c r="C292" t="s">
        <v>2679</v>
      </c>
      <c r="D292" t="s">
        <v>2680</v>
      </c>
      <c r="E292" s="10" t="s">
        <v>50</v>
      </c>
      <c r="F292" s="11" t="s">
        <v>2681</v>
      </c>
      <c r="H292" s="17" t="str">
        <f>HYPERLINK("https://www.google.com/maps/?q=45.9477444440001,-66.6424916669999", "https://www.google.com/maps/?q=45.9477444440001,-66.6424916669999")</f>
        <v>https://www.google.com/maps/?q=45.9477444440001,-66.6424916669999</v>
      </c>
    </row>
    <row r="293" spans="1:8" ht="29" x14ac:dyDescent="0.35">
      <c r="A293" t="s">
        <v>2682</v>
      </c>
      <c r="B293" t="s">
        <v>2683</v>
      </c>
      <c r="C293" t="s">
        <v>2684</v>
      </c>
      <c r="D293" t="s">
        <v>2685</v>
      </c>
      <c r="E293" s="10" t="s">
        <v>50</v>
      </c>
      <c r="F293" s="11" t="s">
        <v>2686</v>
      </c>
      <c r="H293" s="17" t="str">
        <f>HYPERLINK("https://www.google.com/maps/?q=45.3001611110001,-66.029958333", "https://www.google.com/maps/?q=45.3001611110001,-66.029958333")</f>
        <v>https://www.google.com/maps/?q=45.3001611110001,-66.029958333</v>
      </c>
    </row>
    <row r="294" spans="1:8" ht="29" x14ac:dyDescent="0.35">
      <c r="A294" t="s">
        <v>2687</v>
      </c>
      <c r="B294" t="s">
        <v>2688</v>
      </c>
      <c r="C294" t="s">
        <v>2689</v>
      </c>
      <c r="D294" t="s">
        <v>2690</v>
      </c>
      <c r="E294" s="10" t="s">
        <v>28</v>
      </c>
      <c r="F294" s="11" t="s">
        <v>2691</v>
      </c>
      <c r="H294" s="17" t="str">
        <f>HYPERLINK("https://www.google.com/maps/?q=46.0972166670001,-64.8373972219999", "https://www.google.com/maps/?q=46.0972166670001,-64.8373972219999")</f>
        <v>https://www.google.com/maps/?q=46.0972166670001,-64.8373972219999</v>
      </c>
    </row>
    <row r="295" spans="1:8" ht="29" x14ac:dyDescent="0.35">
      <c r="A295" t="s">
        <v>2692</v>
      </c>
      <c r="B295" t="s">
        <v>2693</v>
      </c>
      <c r="C295" t="s">
        <v>2694</v>
      </c>
      <c r="D295" t="s">
        <v>2695</v>
      </c>
      <c r="E295" s="10" t="s">
        <v>28</v>
      </c>
      <c r="F295" s="11" t="s">
        <v>2696</v>
      </c>
      <c r="G295" s="17"/>
      <c r="H295" s="17" t="str">
        <f>HYPERLINK("https://www.google.com/maps/?q=46.109,-64.7427638889999", "https://www.google.com/maps/?q=46.109,-64.7427638889999")</f>
        <v>https://www.google.com/maps/?q=46.109,-64.7427638889999</v>
      </c>
    </row>
    <row r="296" spans="1:8" ht="29" x14ac:dyDescent="0.35">
      <c r="A296" t="s">
        <v>2697</v>
      </c>
      <c r="B296" t="s">
        <v>2698</v>
      </c>
      <c r="C296" t="s">
        <v>2699</v>
      </c>
      <c r="D296" t="s">
        <v>2700</v>
      </c>
      <c r="E296" s="10" t="s">
        <v>28</v>
      </c>
      <c r="F296" s="11" t="s">
        <v>2701</v>
      </c>
      <c r="H296" s="17" t="str">
        <f>HYPERLINK("https://www.google.com/maps/?q=47.4496972220001,-65.5071972219999", "https://www.google.com/maps/?q=47.4496972220001,-65.5071972219999")</f>
        <v>https://www.google.com/maps/?q=47.4496972220001,-65.5071972219999</v>
      </c>
    </row>
    <row r="297" spans="1:8" ht="29" x14ac:dyDescent="0.35">
      <c r="A297" t="s">
        <v>2702</v>
      </c>
      <c r="B297" t="s">
        <v>2703</v>
      </c>
      <c r="C297" t="s">
        <v>2704</v>
      </c>
      <c r="D297" t="s">
        <v>2705</v>
      </c>
      <c r="E297" s="10" t="s">
        <v>28</v>
      </c>
      <c r="F297" s="11" t="s">
        <v>2706</v>
      </c>
      <c r="H297" s="17" t="str">
        <f>HYPERLINK("https://www.google.com/maps/?q=45.3330583330001,-66.016938889", "https://www.google.com/maps/?q=45.3330583330001,-66.016938889")</f>
        <v>https://www.google.com/maps/?q=45.3330583330001,-66.016938889</v>
      </c>
    </row>
    <row r="298" spans="1:8" ht="29" x14ac:dyDescent="0.35">
      <c r="A298" t="s">
        <v>2707</v>
      </c>
      <c r="B298" t="s">
        <v>2708</v>
      </c>
      <c r="C298" t="s">
        <v>2709</v>
      </c>
      <c r="D298" t="s">
        <v>2710</v>
      </c>
      <c r="E298" s="10" t="s">
        <v>66</v>
      </c>
      <c r="F298" s="11" t="s">
        <v>2711</v>
      </c>
      <c r="H298" s="17" t="str">
        <f>HYPERLINK("https://www.google.com/maps/?q=45.2912833330001,-66.0325444439999", "https://www.google.com/maps/?q=45.2912833330001,-66.0325444439999")</f>
        <v>https://www.google.com/maps/?q=45.2912833330001,-66.0325444439999</v>
      </c>
    </row>
    <row r="299" spans="1:8" ht="29" x14ac:dyDescent="0.35">
      <c r="A299" t="s">
        <v>2712</v>
      </c>
      <c r="B299" t="s">
        <v>2713</v>
      </c>
      <c r="C299" t="s">
        <v>2714</v>
      </c>
      <c r="D299" t="s">
        <v>2715</v>
      </c>
      <c r="E299" s="10" t="s">
        <v>66</v>
      </c>
      <c r="F299" s="11" t="s">
        <v>2716</v>
      </c>
      <c r="H299" s="17" t="str">
        <f>HYPERLINK("https://www.google.com/maps/?q=46.2054444440001,-64.530408333", "https://www.google.com/maps/?q=46.2054444440001,-64.530408333")</f>
        <v>https://www.google.com/maps/?q=46.2054444440001,-64.530408333</v>
      </c>
    </row>
    <row r="300" spans="1:8" ht="29" x14ac:dyDescent="0.35">
      <c r="A300" t="s">
        <v>2717</v>
      </c>
      <c r="B300" t="s">
        <v>2718</v>
      </c>
      <c r="C300" t="s">
        <v>2719</v>
      </c>
      <c r="D300" t="s">
        <v>2720</v>
      </c>
      <c r="E300" s="10" t="s">
        <v>28</v>
      </c>
      <c r="F300" s="11" t="s">
        <v>2721</v>
      </c>
      <c r="H300" s="17" t="str">
        <f>HYPERLINK("https://www.google.com/maps/?q=46.09,-64.7764", "https://www.google.com/maps/?q=46.09,-64.7764")</f>
        <v>https://www.google.com/maps/?q=46.09,-64.7764</v>
      </c>
    </row>
    <row r="301" spans="1:8" ht="29" x14ac:dyDescent="0.35">
      <c r="A301" t="s">
        <v>2722</v>
      </c>
      <c r="B301" t="s">
        <v>2723</v>
      </c>
      <c r="C301" t="s">
        <v>2724</v>
      </c>
      <c r="D301" t="s">
        <v>2725</v>
      </c>
      <c r="E301" s="10" t="s">
        <v>28</v>
      </c>
      <c r="F301" s="11" t="s">
        <v>2726</v>
      </c>
      <c r="H301" s="17" t="str">
        <f>HYPERLINK("https://www.google.com/maps/?q=45.2349972220001,-66.1364", "https://www.google.com/maps/?q=45.2349972220001,-66.1364")</f>
        <v>https://www.google.com/maps/?q=45.2349972220001,-66.1364</v>
      </c>
    </row>
    <row r="302" spans="1:8" ht="29" x14ac:dyDescent="0.35">
      <c r="A302" t="s">
        <v>2727</v>
      </c>
      <c r="B302" t="s">
        <v>2728</v>
      </c>
      <c r="C302" t="s">
        <v>2729</v>
      </c>
      <c r="D302" t="s">
        <v>2730</v>
      </c>
      <c r="E302" s="10" t="s">
        <v>28</v>
      </c>
      <c r="F302" s="11" t="s">
        <v>2731</v>
      </c>
      <c r="H302" s="17" t="str">
        <f>HYPERLINK("https://www.google.com/maps/?q=46.0878250000001,-64.776813889", "https://www.google.com/maps/?q=46.0878250000001,-64.776813889")</f>
        <v>https://www.google.com/maps/?q=46.0878250000001,-64.776813889</v>
      </c>
    </row>
    <row r="303" spans="1:8" ht="29" x14ac:dyDescent="0.35">
      <c r="A303" t="s">
        <v>2732</v>
      </c>
      <c r="B303" t="s">
        <v>2733</v>
      </c>
      <c r="C303" t="s">
        <v>2734</v>
      </c>
      <c r="D303" t="s">
        <v>2735</v>
      </c>
      <c r="E303" s="10" t="s">
        <v>28</v>
      </c>
      <c r="F303" s="11" t="s">
        <v>2736</v>
      </c>
      <c r="H303" s="17" t="str">
        <f>HYPERLINK("https://www.google.com/maps/?q=46.107252778,-64.7424999999999", "https://www.google.com/maps/?q=46.107252778,-64.7424999999999")</f>
        <v>https://www.google.com/maps/?q=46.107252778,-64.7424999999999</v>
      </c>
    </row>
    <row r="304" spans="1:8" ht="29" x14ac:dyDescent="0.35">
      <c r="A304" t="s">
        <v>2737</v>
      </c>
      <c r="B304" t="s">
        <v>2738</v>
      </c>
      <c r="C304" t="s">
        <v>2739</v>
      </c>
      <c r="D304" t="s">
        <v>2740</v>
      </c>
      <c r="E304" s="10" t="s">
        <v>28</v>
      </c>
      <c r="F304" s="11" t="s">
        <v>2741</v>
      </c>
      <c r="H304" s="17" t="str">
        <f>HYPERLINK("https://www.google.com/maps/?q=46.104527778,-64.821822222", "https://www.google.com/maps/?q=46.104527778,-64.821822222")</f>
        <v>https://www.google.com/maps/?q=46.104527778,-64.821822222</v>
      </c>
    </row>
    <row r="305" spans="1:8" ht="29" x14ac:dyDescent="0.35">
      <c r="A305" t="s">
        <v>2742</v>
      </c>
      <c r="B305" t="s">
        <v>2743</v>
      </c>
      <c r="C305" t="s">
        <v>2744</v>
      </c>
      <c r="D305" t="s">
        <v>2745</v>
      </c>
      <c r="E305" s="10" t="s">
        <v>28</v>
      </c>
      <c r="F305" s="11" t="s">
        <v>2746</v>
      </c>
      <c r="H305" s="17" t="str">
        <f>HYPERLINK("https://www.google.com/maps/?q=46.216736111,-64.5040749999999", "https://www.google.com/maps/?q=46.216736111,-64.5040749999999")</f>
        <v>https://www.google.com/maps/?q=46.216736111,-64.5040749999999</v>
      </c>
    </row>
    <row r="306" spans="1:8" ht="29" x14ac:dyDescent="0.35">
      <c r="A306" t="s">
        <v>2747</v>
      </c>
      <c r="B306" t="s">
        <v>2748</v>
      </c>
      <c r="C306" t="s">
        <v>2749</v>
      </c>
      <c r="D306" t="s">
        <v>2750</v>
      </c>
      <c r="E306" s="10" t="s">
        <v>28</v>
      </c>
      <c r="F306" s="11" t="s">
        <v>2751</v>
      </c>
      <c r="H306" s="17" t="str">
        <f>HYPERLINK("https://www.google.com/maps/?q=47.6642000000001,-65.1492", "https://www.google.com/maps/?q=47.6642000000001,-65.1492")</f>
        <v>https://www.google.com/maps/?q=47.6642000000001,-65.1492</v>
      </c>
    </row>
    <row r="307" spans="1:8" ht="29" x14ac:dyDescent="0.35">
      <c r="A307" t="s">
        <v>2752</v>
      </c>
      <c r="B307" t="s">
        <v>2753</v>
      </c>
      <c r="C307" t="s">
        <v>2754</v>
      </c>
      <c r="D307" t="s">
        <v>2755</v>
      </c>
      <c r="E307" s="10" t="s">
        <v>28</v>
      </c>
      <c r="F307" s="11" t="s">
        <v>2756</v>
      </c>
      <c r="H307" s="17" t="str">
        <f>HYPERLINK("https://www.google.com/maps/?q=45.9074694440001,-66.5862", "https://www.google.com/maps/?q=45.9074694440001,-66.5862")</f>
        <v>https://www.google.com/maps/?q=45.9074694440001,-66.5862</v>
      </c>
    </row>
    <row r="308" spans="1:8" ht="29" x14ac:dyDescent="0.35">
      <c r="A308" t="s">
        <v>2757</v>
      </c>
      <c r="B308" t="s">
        <v>2758</v>
      </c>
      <c r="C308" t="s">
        <v>2759</v>
      </c>
      <c r="D308" t="s">
        <v>2760</v>
      </c>
      <c r="E308" s="10" t="s">
        <v>28</v>
      </c>
      <c r="F308" s="11" t="s">
        <v>2761</v>
      </c>
      <c r="H308" s="17" t="str">
        <f>HYPERLINK("https://www.google.com/maps/?q=45.305269444,-66.0212888889999", "https://www.google.com/maps/?q=45.305269444,-66.0212888889999")</f>
        <v>https://www.google.com/maps/?q=45.305269444,-66.0212888889999</v>
      </c>
    </row>
    <row r="309" spans="1:8" ht="29" x14ac:dyDescent="0.35">
      <c r="A309" t="s">
        <v>2762</v>
      </c>
      <c r="B309" t="s">
        <v>2763</v>
      </c>
      <c r="C309" t="s">
        <v>2764</v>
      </c>
      <c r="D309" t="s">
        <v>2765</v>
      </c>
      <c r="E309" s="10" t="s">
        <v>44</v>
      </c>
      <c r="F309" s="11" t="s">
        <v>2766</v>
      </c>
      <c r="H309" s="17" t="str">
        <f>HYPERLINK("https://www.google.com/maps/?q=45.960883333,-64.193058333", "https://www.google.com/maps/?q=45.960883333,-64.193058333")</f>
        <v>https://www.google.com/maps/?q=45.960883333,-64.193058333</v>
      </c>
    </row>
    <row r="310" spans="1:8" ht="29" x14ac:dyDescent="0.35">
      <c r="A310" t="s">
        <v>2767</v>
      </c>
      <c r="B310" t="s">
        <v>2768</v>
      </c>
      <c r="C310" t="s">
        <v>2769</v>
      </c>
      <c r="D310" t="s">
        <v>2770</v>
      </c>
      <c r="E310" s="10" t="s">
        <v>44</v>
      </c>
      <c r="F310" s="11" t="s">
        <v>2771</v>
      </c>
      <c r="H310" s="17" t="str">
        <f>HYPERLINK("https://www.google.com/maps/?q=45.8099861110001,-67.769586111", "https://www.google.com/maps/?q=45.8099861110001,-67.769586111")</f>
        <v>https://www.google.com/maps/?q=45.8099861110001,-67.769586111</v>
      </c>
    </row>
    <row r="311" spans="1:8" ht="29" x14ac:dyDescent="0.35">
      <c r="A311" t="s">
        <v>2772</v>
      </c>
      <c r="B311" t="s">
        <v>2773</v>
      </c>
      <c r="C311" t="s">
        <v>2774</v>
      </c>
      <c r="D311" t="s">
        <v>2775</v>
      </c>
      <c r="E311" s="10" t="s">
        <v>44</v>
      </c>
      <c r="F311" s="11" t="s">
        <v>2776</v>
      </c>
      <c r="H311" s="17" t="str">
        <f>HYPERLINK("https://www.google.com/maps/?q=45.809177778,-64.748722222", "https://www.google.com/maps/?q=45.809177778,-64.748722222")</f>
        <v>https://www.google.com/maps/?q=45.809177778,-64.748722222</v>
      </c>
    </row>
    <row r="312" spans="1:8" ht="29" x14ac:dyDescent="0.35">
      <c r="A312" t="s">
        <v>2777</v>
      </c>
      <c r="B312" t="s">
        <v>2778</v>
      </c>
      <c r="C312" t="s">
        <v>2779</v>
      </c>
      <c r="D312" t="s">
        <v>2780</v>
      </c>
      <c r="E312" s="10" t="s">
        <v>44</v>
      </c>
      <c r="F312" s="11" t="s">
        <v>2781</v>
      </c>
      <c r="H312" s="17" t="str">
        <f>HYPERLINK("https://www.google.com/maps/?q=46.9742722220001,-67.500722222", "https://www.google.com/maps/?q=46.9742722220001,-67.500722222")</f>
        <v>https://www.google.com/maps/?q=46.9742722220001,-67.500722222</v>
      </c>
    </row>
    <row r="313" spans="1:8" ht="29" x14ac:dyDescent="0.35">
      <c r="A313" t="s">
        <v>2782</v>
      </c>
      <c r="B313" t="s">
        <v>2783</v>
      </c>
      <c r="C313" t="s">
        <v>2784</v>
      </c>
      <c r="D313" t="s">
        <v>2785</v>
      </c>
      <c r="E313" s="10" t="s">
        <v>44</v>
      </c>
      <c r="F313" s="11" t="s">
        <v>2786</v>
      </c>
      <c r="H313" s="17" t="str">
        <f>HYPERLINK("https://www.google.com/maps/?q=45.8423388890001,-66.051655556", "https://www.google.com/maps/?q=45.8423388890001,-66.051655556")</f>
        <v>https://www.google.com/maps/?q=45.8423388890001,-66.051655556</v>
      </c>
    </row>
    <row r="314" spans="1:8" ht="29" x14ac:dyDescent="0.35">
      <c r="A314" t="s">
        <v>2787</v>
      </c>
      <c r="B314" t="s">
        <v>2788</v>
      </c>
      <c r="C314" t="s">
        <v>2789</v>
      </c>
      <c r="D314" t="s">
        <v>2790</v>
      </c>
      <c r="E314" s="10" t="s">
        <v>44</v>
      </c>
      <c r="F314" s="11" t="s">
        <v>2791</v>
      </c>
      <c r="H314" s="17" t="str">
        <f>HYPERLINK("https://www.google.com/maps/?q=46.6098277780001,-64.785608333", "https://www.google.com/maps/?q=46.6098277780001,-64.785608333")</f>
        <v>https://www.google.com/maps/?q=46.6098277780001,-64.785608333</v>
      </c>
    </row>
    <row r="315" spans="1:8" ht="29" x14ac:dyDescent="0.35">
      <c r="A315" t="s">
        <v>2792</v>
      </c>
      <c r="B315" t="s">
        <v>2793</v>
      </c>
      <c r="C315" t="s">
        <v>2794</v>
      </c>
      <c r="D315" t="s">
        <v>2795</v>
      </c>
      <c r="E315" s="10" t="s">
        <v>44</v>
      </c>
      <c r="F315" s="11" t="s">
        <v>2796</v>
      </c>
      <c r="H315" s="17" t="str">
        <f>HYPERLINK("https://www.google.com/maps/?q=47.643952778,-65.142033333", "https://www.google.com/maps/?q=47.643952778,-65.142033333")</f>
        <v>https://www.google.com/maps/?q=47.643952778,-65.142033333</v>
      </c>
    </row>
    <row r="316" spans="1:8" ht="29" x14ac:dyDescent="0.35">
      <c r="A316" t="s">
        <v>2797</v>
      </c>
      <c r="B316" t="s">
        <v>2798</v>
      </c>
      <c r="C316" t="s">
        <v>2799</v>
      </c>
      <c r="D316" t="s">
        <v>2800</v>
      </c>
      <c r="E316" s="10" t="s">
        <v>28</v>
      </c>
      <c r="F316" s="11" t="s">
        <v>2801</v>
      </c>
      <c r="H316" s="17" t="str">
        <f>HYPERLINK("https://www.google.com/maps/?q=46.0697638890001,-64.0885", "https://www.google.com/maps/?q=46.0697638890001,-64.0885")</f>
        <v>https://www.google.com/maps/?q=46.0697638890001,-64.0885</v>
      </c>
    </row>
    <row r="317" spans="1:8" ht="29" x14ac:dyDescent="0.35">
      <c r="A317" t="s">
        <v>2802</v>
      </c>
      <c r="B317" t="s">
        <v>2803</v>
      </c>
      <c r="C317" t="s">
        <v>2804</v>
      </c>
      <c r="D317" t="s">
        <v>2805</v>
      </c>
      <c r="E317" s="10" t="s">
        <v>44</v>
      </c>
      <c r="F317" s="11" t="s">
        <v>2806</v>
      </c>
      <c r="H317" s="17" t="str">
        <f>HYPERLINK("https://www.google.com/maps/?q=45.540680556,-66.030372222", "https://www.google.com/maps/?q=45.540680556,-66.030372222")</f>
        <v>https://www.google.com/maps/?q=45.540680556,-66.030372222</v>
      </c>
    </row>
    <row r="318" spans="1:8" ht="29" x14ac:dyDescent="0.35">
      <c r="A318" t="s">
        <v>2807</v>
      </c>
      <c r="B318" t="s">
        <v>2808</v>
      </c>
      <c r="C318" t="s">
        <v>2809</v>
      </c>
      <c r="D318" t="s">
        <v>2810</v>
      </c>
      <c r="E318" s="10" t="s">
        <v>44</v>
      </c>
      <c r="F318" s="11" t="s">
        <v>2811</v>
      </c>
      <c r="H318" s="17" t="str">
        <f>HYPERLINK("https://www.google.com/maps/?q=45.7735250000001,-66.898558333", "https://www.google.com/maps/?q=45.7735250000001,-66.898558333")</f>
        <v>https://www.google.com/maps/?q=45.7735250000001,-66.898558333</v>
      </c>
    </row>
    <row r="319" spans="1:8" ht="29" x14ac:dyDescent="0.35">
      <c r="A319" t="s">
        <v>2812</v>
      </c>
      <c r="B319" t="s">
        <v>2813</v>
      </c>
      <c r="C319" t="s">
        <v>2814</v>
      </c>
      <c r="D319" t="s">
        <v>2815</v>
      </c>
      <c r="E319" s="10" t="s">
        <v>44</v>
      </c>
      <c r="F319" s="11" t="s">
        <v>2816</v>
      </c>
      <c r="H319" s="17" t="str">
        <f>HYPERLINK("https://www.google.com/maps/?q=46.1174888890001,-66.768558333", "https://www.google.com/maps/?q=46.1174888890001,-66.768558333")</f>
        <v>https://www.google.com/maps/?q=46.1174888890001,-66.768558333</v>
      </c>
    </row>
    <row r="320" spans="1:8" ht="29" x14ac:dyDescent="0.35">
      <c r="A320" t="s">
        <v>2817</v>
      </c>
      <c r="B320" t="s">
        <v>2818</v>
      </c>
      <c r="C320" t="s">
        <v>2819</v>
      </c>
      <c r="D320" t="s">
        <v>2820</v>
      </c>
      <c r="E320" s="10" t="s">
        <v>28</v>
      </c>
      <c r="F320" s="11" t="s">
        <v>2821</v>
      </c>
      <c r="H320" s="17" t="str">
        <f>HYPERLINK("https://www.google.com/maps/?q=46.2030972220001,-64.3753", "https://www.google.com/maps/?q=46.2030972220001,-64.3753")</f>
        <v>https://www.google.com/maps/?q=46.2030972220001,-64.3753</v>
      </c>
    </row>
    <row r="321" spans="1:8" ht="29" x14ac:dyDescent="0.35">
      <c r="A321" t="s">
        <v>2822</v>
      </c>
      <c r="B321" t="s">
        <v>2823</v>
      </c>
      <c r="C321" t="s">
        <v>2824</v>
      </c>
      <c r="D321" t="s">
        <v>2825</v>
      </c>
      <c r="E321" s="10" t="s">
        <v>44</v>
      </c>
      <c r="F321" s="11" t="s">
        <v>1986</v>
      </c>
      <c r="G321" s="17"/>
      <c r="H321" s="17" t="str">
        <f>HYPERLINK("https://www.google.com/maps/?q=46.4450305560001,-67.576288889", "https://www.google.com/maps/?q=46.4450305560001,-67.576288889")</f>
        <v>https://www.google.com/maps/?q=46.4450305560001,-67.576288889</v>
      </c>
    </row>
    <row r="322" spans="1:8" ht="29" x14ac:dyDescent="0.35">
      <c r="A322" t="s">
        <v>2826</v>
      </c>
      <c r="B322" t="s">
        <v>2827</v>
      </c>
      <c r="C322" t="s">
        <v>2828</v>
      </c>
      <c r="D322" t="s">
        <v>2829</v>
      </c>
      <c r="E322" s="10" t="s">
        <v>44</v>
      </c>
      <c r="F322" s="11" t="s">
        <v>2830</v>
      </c>
      <c r="H322" s="17" t="str">
        <f>HYPERLINK("https://www.google.com/maps/?q=45.927402778,-66.115358333", "https://www.google.com/maps/?q=45.927402778,-66.115358333")</f>
        <v>https://www.google.com/maps/?q=45.927402778,-66.115358333</v>
      </c>
    </row>
    <row r="323" spans="1:8" ht="29" x14ac:dyDescent="0.35">
      <c r="A323" t="s">
        <v>2831</v>
      </c>
      <c r="B323" t="s">
        <v>2832</v>
      </c>
      <c r="C323" t="s">
        <v>2833</v>
      </c>
      <c r="D323" t="s">
        <v>2834</v>
      </c>
      <c r="E323" s="10" t="s">
        <v>44</v>
      </c>
      <c r="F323" s="11" t="s">
        <v>2835</v>
      </c>
      <c r="H323" s="17" t="str">
        <f>HYPERLINK("https://www.google.com/maps/?q=45.232347222,-67.338883333", "https://www.google.com/maps/?q=45.232347222,-67.338883333")</f>
        <v>https://www.google.com/maps/?q=45.232347222,-67.338883333</v>
      </c>
    </row>
    <row r="324" spans="1:8" ht="29" x14ac:dyDescent="0.35">
      <c r="A324" t="s">
        <v>2836</v>
      </c>
      <c r="B324" t="s">
        <v>2837</v>
      </c>
      <c r="C324" t="s">
        <v>2838</v>
      </c>
      <c r="D324" t="s">
        <v>2839</v>
      </c>
      <c r="E324" s="10" t="s">
        <v>44</v>
      </c>
      <c r="F324" s="11" t="s">
        <v>2840</v>
      </c>
      <c r="H324" s="17" t="str">
        <f>HYPERLINK("https://www.google.com/maps/?q=45.8200305560001,-64.5996888889999", "https://www.google.com/maps/?q=45.8200305560001,-64.5996888889999")</f>
        <v>https://www.google.com/maps/?q=45.8200305560001,-64.5996888889999</v>
      </c>
    </row>
    <row r="325" spans="1:8" ht="29" x14ac:dyDescent="0.35">
      <c r="A325" t="s">
        <v>2841</v>
      </c>
      <c r="B325" t="s">
        <v>2842</v>
      </c>
      <c r="C325" t="s">
        <v>2843</v>
      </c>
      <c r="D325" t="s">
        <v>2844</v>
      </c>
      <c r="E325" s="10" t="s">
        <v>1109</v>
      </c>
      <c r="F325" s="11" t="s">
        <v>2845</v>
      </c>
      <c r="H325" s="17" t="str">
        <f>HYPERLINK("https://www.google.com/maps/?q=45.2916666670001,-67.273055556", "https://www.google.com/maps/?q=45.2916666670001,-67.273055556")</f>
        <v>https://www.google.com/maps/?q=45.2916666670001,-67.273055556</v>
      </c>
    </row>
    <row r="326" spans="1:8" ht="29" x14ac:dyDescent="0.35">
      <c r="A326" t="s">
        <v>2846</v>
      </c>
      <c r="B326" t="s">
        <v>2847</v>
      </c>
      <c r="C326" t="s">
        <v>2848</v>
      </c>
      <c r="D326" t="s">
        <v>2849</v>
      </c>
      <c r="E326" s="10" t="s">
        <v>28</v>
      </c>
      <c r="F326" s="11" t="s">
        <v>2850</v>
      </c>
      <c r="H326" s="17" t="str">
        <f>HYPERLINK("https://www.google.com/maps/?q=45.724738889,-65.502175", "https://www.google.com/maps/?q=45.724738889,-65.502175")</f>
        <v>https://www.google.com/maps/?q=45.724738889,-65.502175</v>
      </c>
    </row>
    <row r="327" spans="1:8" ht="29" x14ac:dyDescent="0.35">
      <c r="A327" t="s">
        <v>2851</v>
      </c>
      <c r="B327" t="s">
        <v>2852</v>
      </c>
      <c r="C327" t="s">
        <v>2853</v>
      </c>
      <c r="D327" t="s">
        <v>2854</v>
      </c>
      <c r="E327" s="10" t="s">
        <v>28</v>
      </c>
      <c r="F327" s="11" t="s">
        <v>2855</v>
      </c>
      <c r="H327" s="17" t="str">
        <f>HYPERLINK("https://www.google.com/maps/?q=45.716905556,-64.7346666669999", "https://www.google.com/maps/?q=45.716905556,-64.7346666669999")</f>
        <v>https://www.google.com/maps/?q=45.716905556,-64.7346666669999</v>
      </c>
    </row>
    <row r="328" spans="1:8" ht="29" x14ac:dyDescent="0.35">
      <c r="A328" t="s">
        <v>2856</v>
      </c>
      <c r="B328" t="s">
        <v>2857</v>
      </c>
      <c r="C328" t="s">
        <v>2858</v>
      </c>
      <c r="D328" t="s">
        <v>2859</v>
      </c>
      <c r="E328" s="10" t="s">
        <v>28</v>
      </c>
      <c r="F328" s="11" t="s">
        <v>1368</v>
      </c>
      <c r="H328" s="17" t="str">
        <f>HYPERLINK("https://www.google.com/maps/?q=46.0463583330001,-65.08435", "https://www.google.com/maps/?q=46.0463583330001,-65.08435")</f>
        <v>https://www.google.com/maps/?q=46.0463583330001,-65.08435</v>
      </c>
    </row>
    <row r="329" spans="1:8" ht="29" x14ac:dyDescent="0.35">
      <c r="A329" t="s">
        <v>2860</v>
      </c>
      <c r="B329" t="s">
        <v>2861</v>
      </c>
      <c r="C329" t="s">
        <v>2862</v>
      </c>
      <c r="D329" t="s">
        <v>2863</v>
      </c>
      <c r="E329" s="10" t="s">
        <v>28</v>
      </c>
      <c r="F329" s="11" t="s">
        <v>2864</v>
      </c>
      <c r="H329" s="17" t="str">
        <f>HYPERLINK("https://www.google.com/maps/?q=47.9946194440001,-66.705577778", "https://www.google.com/maps/?q=47.9946194440001,-66.705577778")</f>
        <v>https://www.google.com/maps/?q=47.9946194440001,-66.705577778</v>
      </c>
    </row>
    <row r="330" spans="1:8" ht="29" x14ac:dyDescent="0.35">
      <c r="A330" t="s">
        <v>2865</v>
      </c>
      <c r="B330" t="s">
        <v>2866</v>
      </c>
      <c r="C330" t="s">
        <v>2867</v>
      </c>
      <c r="D330" t="s">
        <v>2868</v>
      </c>
      <c r="E330" s="10" t="s">
        <v>28</v>
      </c>
      <c r="F330" s="11" t="s">
        <v>2869</v>
      </c>
      <c r="H330" s="17" t="str">
        <f>HYPERLINK("https://www.google.com/maps/?q=46.1741666670001,-64.900555556", "https://www.google.com/maps/?q=46.1741666670001,-64.900555556")</f>
        <v>https://www.google.com/maps/?q=46.1741666670001,-64.900555556</v>
      </c>
    </row>
    <row r="331" spans="1:8" ht="29" x14ac:dyDescent="0.35">
      <c r="A331" t="s">
        <v>2870</v>
      </c>
      <c r="B331" t="s">
        <v>2871</v>
      </c>
      <c r="C331" t="s">
        <v>2872</v>
      </c>
      <c r="D331" t="s">
        <v>2873</v>
      </c>
      <c r="E331" s="10" t="s">
        <v>28</v>
      </c>
      <c r="F331" s="11" t="s">
        <v>2874</v>
      </c>
      <c r="H331" s="17" t="str">
        <f>HYPERLINK("https://www.google.com/maps/?q=46.1133055560001,-64.7146472219999", "https://www.google.com/maps/?q=46.1133055560001,-64.7146472219999")</f>
        <v>https://www.google.com/maps/?q=46.1133055560001,-64.7146472219999</v>
      </c>
    </row>
    <row r="332" spans="1:8" ht="29" x14ac:dyDescent="0.35">
      <c r="A332" t="s">
        <v>2875</v>
      </c>
      <c r="B332" t="s">
        <v>2876</v>
      </c>
      <c r="C332" t="s">
        <v>2877</v>
      </c>
      <c r="D332" t="s">
        <v>2878</v>
      </c>
      <c r="E332" s="10" t="s">
        <v>28</v>
      </c>
      <c r="F332" s="11" t="s">
        <v>2879</v>
      </c>
      <c r="H332" s="17" t="str">
        <f>HYPERLINK("https://www.google.com/maps/?q=45.771188889,-65.1091472219999", "https://www.google.com/maps/?q=45.771188889,-65.1091472219999")</f>
        <v>https://www.google.com/maps/?q=45.771188889,-65.1091472219999</v>
      </c>
    </row>
    <row r="333" spans="1:8" ht="29" x14ac:dyDescent="0.35">
      <c r="A333" t="s">
        <v>2880</v>
      </c>
      <c r="B333" t="s">
        <v>2881</v>
      </c>
      <c r="C333" t="s">
        <v>2882</v>
      </c>
      <c r="D333" t="s">
        <v>2883</v>
      </c>
      <c r="E333" s="10" t="s">
        <v>28</v>
      </c>
      <c r="F333" s="11" t="s">
        <v>2884</v>
      </c>
      <c r="H333" s="17" t="str">
        <f>HYPERLINK("https://www.google.com/maps/?q=46.195222222,-64.8042027779999", "https://www.google.com/maps/?q=46.195222222,-64.8042027779999")</f>
        <v>https://www.google.com/maps/?q=46.195222222,-64.8042027779999</v>
      </c>
    </row>
    <row r="334" spans="1:8" ht="29" x14ac:dyDescent="0.35">
      <c r="A334" t="s">
        <v>2885</v>
      </c>
      <c r="B334" t="s">
        <v>2886</v>
      </c>
      <c r="C334" t="s">
        <v>2887</v>
      </c>
      <c r="D334" t="s">
        <v>2888</v>
      </c>
      <c r="E334" s="10" t="s">
        <v>44</v>
      </c>
      <c r="F334" s="11" t="s">
        <v>2889</v>
      </c>
      <c r="H334" s="17" t="str">
        <f>HYPERLINK("https://www.google.com/maps/?q=46.4965916670001,-67.6965888889999", "https://www.google.com/maps/?q=46.4965916670001,-67.6965888889999")</f>
        <v>https://www.google.com/maps/?q=46.4965916670001,-67.6965888889999</v>
      </c>
    </row>
    <row r="335" spans="1:8" ht="29" x14ac:dyDescent="0.35">
      <c r="A335" t="s">
        <v>2890</v>
      </c>
      <c r="B335" t="s">
        <v>2891</v>
      </c>
      <c r="C335" t="s">
        <v>2892</v>
      </c>
      <c r="D335" t="s">
        <v>2893</v>
      </c>
      <c r="E335" s="10" t="s">
        <v>44</v>
      </c>
      <c r="F335" s="11" t="s">
        <v>2894</v>
      </c>
      <c r="H335" s="17" t="str">
        <f>HYPERLINK("https://www.google.com/maps/?q=46.901441667,-67.399630556", "https://www.google.com/maps/?q=46.901441667,-67.399630556")</f>
        <v>https://www.google.com/maps/?q=46.901441667,-67.399630556</v>
      </c>
    </row>
    <row r="336" spans="1:8" ht="29" x14ac:dyDescent="0.35">
      <c r="A336" t="s">
        <v>2895</v>
      </c>
      <c r="B336" t="s">
        <v>2896</v>
      </c>
      <c r="C336" t="s">
        <v>2897</v>
      </c>
      <c r="D336" t="s">
        <v>2898</v>
      </c>
      <c r="E336" s="10" t="s">
        <v>50</v>
      </c>
      <c r="F336" s="11" t="s">
        <v>2899</v>
      </c>
      <c r="H336" s="17" t="str">
        <f>HYPERLINK("https://www.google.com/maps/?q=46.922797222,-67.4552944439999", "https://www.google.com/maps/?q=46.922797222,-67.4552944439999")</f>
        <v>https://www.google.com/maps/?q=46.922797222,-67.4552944439999</v>
      </c>
    </row>
    <row r="337" spans="1:8" ht="29" x14ac:dyDescent="0.35">
      <c r="A337" t="s">
        <v>2900</v>
      </c>
      <c r="B337" t="s">
        <v>2901</v>
      </c>
      <c r="C337" t="s">
        <v>2902</v>
      </c>
      <c r="D337" t="s">
        <v>2903</v>
      </c>
      <c r="E337" s="10" t="s">
        <v>50</v>
      </c>
      <c r="F337" s="11" t="s">
        <v>2691</v>
      </c>
      <c r="H337" s="17" t="str">
        <f>HYPERLINK("https://www.google.com/maps/?q=46.0972,-64.8371999999999", "https://www.google.com/maps/?q=46.0972,-64.8371999999999")</f>
        <v>https://www.google.com/maps/?q=46.0972,-64.8371999999999</v>
      </c>
    </row>
    <row r="338" spans="1:8" ht="29" x14ac:dyDescent="0.35">
      <c r="A338" t="s">
        <v>2904</v>
      </c>
      <c r="B338" t="s">
        <v>2905</v>
      </c>
      <c r="C338" t="s">
        <v>2906</v>
      </c>
      <c r="D338" t="s">
        <v>2907</v>
      </c>
      <c r="E338" s="10" t="s">
        <v>50</v>
      </c>
      <c r="F338" s="11" t="s">
        <v>2175</v>
      </c>
      <c r="H338" s="17" t="str">
        <f>HYPERLINK("https://www.google.com/maps/?q=45.2944555560001,-66.1184749999999", "https://www.google.com/maps/?q=45.2944555560001,-66.1184749999999")</f>
        <v>https://www.google.com/maps/?q=45.2944555560001,-66.1184749999999</v>
      </c>
    </row>
    <row r="339" spans="1:8" ht="29" x14ac:dyDescent="0.35">
      <c r="A339" t="s">
        <v>2908</v>
      </c>
      <c r="B339" t="s">
        <v>2909</v>
      </c>
      <c r="C339" t="s">
        <v>2910</v>
      </c>
      <c r="D339" t="s">
        <v>2911</v>
      </c>
      <c r="E339" s="10" t="s">
        <v>50</v>
      </c>
      <c r="F339" s="11" t="s">
        <v>1724</v>
      </c>
      <c r="G339" s="17"/>
      <c r="H339" s="17" t="str">
        <f>HYPERLINK("https://www.google.com/maps/?q=46.1777777780001,-67.5497", "https://www.google.com/maps/?q=46.1777777780001,-67.5497")</f>
        <v>https://www.google.com/maps/?q=46.1777777780001,-67.5497</v>
      </c>
    </row>
    <row r="340" spans="1:8" ht="29" x14ac:dyDescent="0.35">
      <c r="A340" t="s">
        <v>2269</v>
      </c>
      <c r="B340" t="s">
        <v>2912</v>
      </c>
      <c r="C340" t="s">
        <v>2271</v>
      </c>
      <c r="D340" t="s">
        <v>2913</v>
      </c>
      <c r="E340" s="10" t="s">
        <v>50</v>
      </c>
      <c r="F340" s="11" t="s">
        <v>2273</v>
      </c>
      <c r="H340" s="17" t="str">
        <f>HYPERLINK("https://www.google.com/maps/?q=47.6154000000001,-65.612977778", "https://www.google.com/maps/?q=47.6154000000001,-65.612977778")</f>
        <v>https://www.google.com/maps/?q=47.6154000000001,-65.612977778</v>
      </c>
    </row>
    <row r="341" spans="1:8" ht="29" x14ac:dyDescent="0.35">
      <c r="A341" t="s">
        <v>2914</v>
      </c>
      <c r="B341" t="s">
        <v>2915</v>
      </c>
      <c r="C341" t="s">
        <v>2916</v>
      </c>
      <c r="D341" t="s">
        <v>2917</v>
      </c>
      <c r="E341" s="10" t="s">
        <v>50</v>
      </c>
      <c r="F341" s="11" t="s">
        <v>2716</v>
      </c>
      <c r="H341" s="17" t="str">
        <f>HYPERLINK("https://www.google.com/maps/?q=46.2052944440001,-64.530291667", "https://www.google.com/maps/?q=46.2052944440001,-64.530291667")</f>
        <v>https://www.google.com/maps/?q=46.2052944440001,-64.530291667</v>
      </c>
    </row>
    <row r="342" spans="1:8" ht="29" x14ac:dyDescent="0.35">
      <c r="A342" t="s">
        <v>2918</v>
      </c>
      <c r="B342" t="s">
        <v>2919</v>
      </c>
      <c r="C342" t="s">
        <v>2920</v>
      </c>
      <c r="D342" t="s">
        <v>2921</v>
      </c>
      <c r="E342" s="10" t="s">
        <v>50</v>
      </c>
      <c r="F342" s="11" t="s">
        <v>2922</v>
      </c>
      <c r="H342" s="17" t="str">
        <f>HYPERLINK("https://www.google.com/maps/?q=46.6018722220001,-65.941844444", "https://www.google.com/maps/?q=46.6018722220001,-65.941844444")</f>
        <v>https://www.google.com/maps/?q=46.6018722220001,-65.941844444</v>
      </c>
    </row>
    <row r="343" spans="1:8" ht="29" x14ac:dyDescent="0.35">
      <c r="A343" t="s">
        <v>2923</v>
      </c>
      <c r="B343" t="s">
        <v>2924</v>
      </c>
      <c r="C343" t="s">
        <v>2925</v>
      </c>
      <c r="D343" t="s">
        <v>2926</v>
      </c>
      <c r="E343" s="10" t="s">
        <v>50</v>
      </c>
      <c r="F343" s="11" t="s">
        <v>2927</v>
      </c>
      <c r="H343" s="17" t="str">
        <f>HYPERLINK("https://www.google.com/maps/?q=46.9227777780001,-65.226958333", "https://www.google.com/maps/?q=46.9227777780001,-65.226958333")</f>
        <v>https://www.google.com/maps/?q=46.9227777780001,-65.226958333</v>
      </c>
    </row>
    <row r="344" spans="1:8" ht="29" x14ac:dyDescent="0.35">
      <c r="A344" t="s">
        <v>2928</v>
      </c>
      <c r="B344" t="s">
        <v>2929</v>
      </c>
      <c r="C344" t="s">
        <v>2930</v>
      </c>
      <c r="D344" t="s">
        <v>2931</v>
      </c>
      <c r="E344" s="10" t="s">
        <v>50</v>
      </c>
      <c r="F344" s="11" t="s">
        <v>2932</v>
      </c>
      <c r="H344" s="17" t="str">
        <f>HYPERLINK("https://www.google.com/maps/?q=47.5522361110001,-65.0972416669999", "https://www.google.com/maps/?q=47.5522361110001,-65.0972416669999")</f>
        <v>https://www.google.com/maps/?q=47.5522361110001,-65.0972416669999</v>
      </c>
    </row>
    <row r="345" spans="1:8" ht="29" x14ac:dyDescent="0.35">
      <c r="A345" t="s">
        <v>2933</v>
      </c>
      <c r="B345" t="s">
        <v>2934</v>
      </c>
      <c r="C345" t="s">
        <v>2935</v>
      </c>
      <c r="D345" t="s">
        <v>2936</v>
      </c>
      <c r="E345" s="10" t="s">
        <v>50</v>
      </c>
      <c r="F345" s="11" t="s">
        <v>2937</v>
      </c>
      <c r="H345" s="17" t="str">
        <f>HYPERLINK("https://www.google.com/maps/?q=46.603336111,-64.8200027779999", "https://www.google.com/maps/?q=46.603336111,-64.8200027779999")</f>
        <v>https://www.google.com/maps/?q=46.603336111,-64.8200027779999</v>
      </c>
    </row>
    <row r="346" spans="1:8" ht="29" x14ac:dyDescent="0.35">
      <c r="A346" t="s">
        <v>1119</v>
      </c>
      <c r="B346" t="s">
        <v>1135</v>
      </c>
      <c r="C346" t="s">
        <v>1120</v>
      </c>
      <c r="D346" t="s">
        <v>1136</v>
      </c>
      <c r="E346" s="10" t="s">
        <v>28</v>
      </c>
      <c r="F346" s="11" t="s">
        <v>2672</v>
      </c>
      <c r="H346" s="17" t="str">
        <f>HYPERLINK("https://www.google.com/maps/?q=46.1425,-64.8375", "https://www.google.com/maps/?q=46.1425,-64.8375")</f>
        <v>https://www.google.com/maps/?q=46.1425,-64.8375</v>
      </c>
    </row>
    <row r="347" spans="1:8" ht="29" x14ac:dyDescent="0.35">
      <c r="A347" t="s">
        <v>2938</v>
      </c>
      <c r="B347" t="s">
        <v>2939</v>
      </c>
      <c r="C347" t="s">
        <v>2940</v>
      </c>
      <c r="D347" t="s">
        <v>2941</v>
      </c>
      <c r="E347" s="10" t="s">
        <v>28</v>
      </c>
      <c r="F347" s="11" t="s">
        <v>2942</v>
      </c>
      <c r="H347" s="17" t="str">
        <f>HYPERLINK("https://www.google.com/maps/?q=47.6699944440001,-65.697219444", "https://www.google.com/maps/?q=47.6699944440001,-65.697219444")</f>
        <v>https://www.google.com/maps/?q=47.6699944440001,-65.697219444</v>
      </c>
    </row>
    <row r="348" spans="1:8" ht="29" x14ac:dyDescent="0.35">
      <c r="A348" t="s">
        <v>2943</v>
      </c>
      <c r="B348" t="s">
        <v>2944</v>
      </c>
      <c r="C348" t="s">
        <v>2945</v>
      </c>
      <c r="D348" t="s">
        <v>2946</v>
      </c>
      <c r="E348" s="10" t="s">
        <v>28</v>
      </c>
      <c r="F348" s="11" t="s">
        <v>2947</v>
      </c>
      <c r="H348" s="17" t="str">
        <f>HYPERLINK("https://www.google.com/maps/?q=47.992983333,-66.666816667", "https://www.google.com/maps/?q=47.992983333,-66.666816667")</f>
        <v>https://www.google.com/maps/?q=47.992983333,-66.666816667</v>
      </c>
    </row>
    <row r="349" spans="1:8" ht="29" x14ac:dyDescent="0.35">
      <c r="A349" t="s">
        <v>2948</v>
      </c>
      <c r="B349" t="s">
        <v>2949</v>
      </c>
      <c r="C349" t="s">
        <v>2950</v>
      </c>
      <c r="D349" t="s">
        <v>2951</v>
      </c>
      <c r="E349" s="10" t="s">
        <v>28</v>
      </c>
      <c r="F349" s="11" t="s">
        <v>2952</v>
      </c>
      <c r="H349" s="17" t="str">
        <f>HYPERLINK("https://www.google.com/maps/?q=45.960344444,-66.637536111", "https://www.google.com/maps/?q=45.960344444,-66.637536111")</f>
        <v>https://www.google.com/maps/?q=45.960344444,-66.637536111</v>
      </c>
    </row>
    <row r="350" spans="1:8" ht="29" x14ac:dyDescent="0.35">
      <c r="A350" t="s">
        <v>2953</v>
      </c>
      <c r="B350" t="s">
        <v>2954</v>
      </c>
      <c r="C350" t="s">
        <v>2955</v>
      </c>
      <c r="D350" t="s">
        <v>2956</v>
      </c>
      <c r="E350" s="10" t="s">
        <v>28</v>
      </c>
      <c r="F350" s="11" t="s">
        <v>2957</v>
      </c>
      <c r="H350" s="17" t="str">
        <f>HYPERLINK("https://www.google.com/maps/?q=46.137988889,-67.777602778", "https://www.google.com/maps/?q=46.137988889,-67.777602778")</f>
        <v>https://www.google.com/maps/?q=46.137988889,-67.777602778</v>
      </c>
    </row>
    <row r="351" spans="1:8" ht="29" x14ac:dyDescent="0.35">
      <c r="A351" t="s">
        <v>2958</v>
      </c>
      <c r="B351" t="s">
        <v>2959</v>
      </c>
      <c r="C351" t="s">
        <v>2960</v>
      </c>
      <c r="D351" t="s">
        <v>2961</v>
      </c>
      <c r="E351" s="10" t="s">
        <v>28</v>
      </c>
      <c r="F351" s="11" t="s">
        <v>2962</v>
      </c>
      <c r="H351" s="17" t="str">
        <f>HYPERLINK("https://www.google.com/maps/?q=46.0119722220001,-67.225105556", "https://www.google.com/maps/?q=46.0119722220001,-67.225105556")</f>
        <v>https://www.google.com/maps/?q=46.0119722220001,-67.225105556</v>
      </c>
    </row>
    <row r="352" spans="1:8" ht="29" x14ac:dyDescent="0.35">
      <c r="A352" t="s">
        <v>2963</v>
      </c>
      <c r="B352" t="s">
        <v>2964</v>
      </c>
      <c r="C352" t="s">
        <v>2965</v>
      </c>
      <c r="D352" t="s">
        <v>2966</v>
      </c>
      <c r="E352" s="10" t="s">
        <v>28</v>
      </c>
      <c r="F352" s="11" t="s">
        <v>2967</v>
      </c>
      <c r="H352" s="17" t="str">
        <f>HYPERLINK("https://www.google.com/maps/?q=47.382391667,-64.967672222", "https://www.google.com/maps/?q=47.382391667,-64.967672222")</f>
        <v>https://www.google.com/maps/?q=47.382391667,-64.967672222</v>
      </c>
    </row>
    <row r="353" spans="1:8" ht="29" x14ac:dyDescent="0.35">
      <c r="A353" t="s">
        <v>2968</v>
      </c>
      <c r="B353" t="s">
        <v>2969</v>
      </c>
      <c r="C353" t="s">
        <v>2970</v>
      </c>
      <c r="D353" t="s">
        <v>2971</v>
      </c>
      <c r="E353" s="10" t="s">
        <v>28</v>
      </c>
      <c r="F353" s="11" t="s">
        <v>2972</v>
      </c>
      <c r="H353" s="17" t="str">
        <f>HYPERLINK("https://www.google.com/maps/?q=47.2628,-68.013597222", "https://www.google.com/maps/?q=47.2628,-68.013597222")</f>
        <v>https://www.google.com/maps/?q=47.2628,-68.013597222</v>
      </c>
    </row>
    <row r="354" spans="1:8" ht="29" x14ac:dyDescent="0.35">
      <c r="A354" t="s">
        <v>2973</v>
      </c>
      <c r="B354" t="s">
        <v>2974</v>
      </c>
      <c r="C354" t="s">
        <v>2975</v>
      </c>
      <c r="D354" t="s">
        <v>2976</v>
      </c>
      <c r="E354" s="10" t="s">
        <v>28</v>
      </c>
      <c r="F354" s="11" t="s">
        <v>2977</v>
      </c>
      <c r="H354" s="17" t="str">
        <f>HYPERLINK("https://www.google.com/maps/?q=47.8700555560001,-65.867027778", "https://www.google.com/maps/?q=47.8700555560001,-65.867027778")</f>
        <v>https://www.google.com/maps/?q=47.8700555560001,-65.867027778</v>
      </c>
    </row>
    <row r="355" spans="1:8" ht="29" x14ac:dyDescent="0.35">
      <c r="A355" t="s">
        <v>2978</v>
      </c>
      <c r="B355" t="s">
        <v>2979</v>
      </c>
      <c r="C355" t="s">
        <v>2980</v>
      </c>
      <c r="D355" t="s">
        <v>2981</v>
      </c>
      <c r="E355" s="10" t="s">
        <v>28</v>
      </c>
      <c r="F355" s="11" t="s">
        <v>2982</v>
      </c>
      <c r="H355" s="17" t="str">
        <f>HYPERLINK("https://www.google.com/maps/?q=47.511027778,-67.383038889", "https://www.google.com/maps/?q=47.511027778,-67.383038889")</f>
        <v>https://www.google.com/maps/?q=47.511027778,-67.383038889</v>
      </c>
    </row>
    <row r="356" spans="1:8" ht="29" x14ac:dyDescent="0.35">
      <c r="A356" t="s">
        <v>2983</v>
      </c>
      <c r="B356" t="s">
        <v>2984</v>
      </c>
      <c r="C356" t="s">
        <v>2985</v>
      </c>
      <c r="D356" t="s">
        <v>2986</v>
      </c>
      <c r="E356" s="10" t="s">
        <v>50</v>
      </c>
      <c r="F356" s="11" t="s">
        <v>2884</v>
      </c>
      <c r="H356" s="17" t="str">
        <f>HYPERLINK("https://www.google.com/maps/?q=46.1958361110001,-64.804741667", "https://www.google.com/maps/?q=46.1958361110001,-64.804741667")</f>
        <v>https://www.google.com/maps/?q=46.1958361110001,-64.804741667</v>
      </c>
    </row>
    <row r="357" spans="1:8" ht="29" x14ac:dyDescent="0.35">
      <c r="A357" t="s">
        <v>2987</v>
      </c>
      <c r="B357" t="s">
        <v>2988</v>
      </c>
      <c r="C357" t="s">
        <v>2989</v>
      </c>
      <c r="D357" t="s">
        <v>2990</v>
      </c>
      <c r="E357" s="10" t="s">
        <v>28</v>
      </c>
      <c r="F357" s="11" t="s">
        <v>2991</v>
      </c>
      <c r="H357" s="17" t="str">
        <f>HYPERLINK("https://www.google.com/maps/?q=45.920797222,-65.6446999999999", "https://www.google.com/maps/?q=45.920797222,-65.6446999999999")</f>
        <v>https://www.google.com/maps/?q=45.920797222,-65.6446999999999</v>
      </c>
    </row>
    <row r="358" spans="1:8" ht="29" x14ac:dyDescent="0.35">
      <c r="A358" t="s">
        <v>2992</v>
      </c>
      <c r="B358" t="s">
        <v>2993</v>
      </c>
      <c r="C358" t="s">
        <v>2994</v>
      </c>
      <c r="D358" t="s">
        <v>2995</v>
      </c>
      <c r="E358" s="10" t="s">
        <v>28</v>
      </c>
      <c r="F358" s="11" t="s">
        <v>2996</v>
      </c>
      <c r="H358" s="17" t="str">
        <f>HYPERLINK("https://www.google.com/maps/?q=45.9807166670001,-66.6593722219999", "https://www.google.com/maps/?q=45.9807166670001,-66.6593722219999")</f>
        <v>https://www.google.com/maps/?q=45.9807166670001,-66.6593722219999</v>
      </c>
    </row>
    <row r="359" spans="1:8" ht="29" x14ac:dyDescent="0.35">
      <c r="A359" t="s">
        <v>2997</v>
      </c>
      <c r="B359" t="s">
        <v>2998</v>
      </c>
      <c r="C359" t="s">
        <v>2999</v>
      </c>
      <c r="D359" t="s">
        <v>3000</v>
      </c>
      <c r="E359" s="10" t="s">
        <v>28</v>
      </c>
      <c r="F359" s="11" t="s">
        <v>3001</v>
      </c>
      <c r="H359" s="17" t="str">
        <f>HYPERLINK("https://www.google.com/maps/?q=46.1057805560001,-64.7503", "https://www.google.com/maps/?q=46.1057805560001,-64.7503")</f>
        <v>https://www.google.com/maps/?q=46.1057805560001,-64.7503</v>
      </c>
    </row>
    <row r="360" spans="1:8" ht="29" x14ac:dyDescent="0.35">
      <c r="A360" t="s">
        <v>3002</v>
      </c>
      <c r="B360" t="s">
        <v>3003</v>
      </c>
      <c r="C360" t="s">
        <v>3004</v>
      </c>
      <c r="D360" t="s">
        <v>3005</v>
      </c>
      <c r="E360" s="10" t="s">
        <v>28</v>
      </c>
      <c r="F360" s="11" t="s">
        <v>3006</v>
      </c>
      <c r="H360" s="17" t="str">
        <f>HYPERLINK("https://www.google.com/maps/?q=45.8699111110001,-64.279994444", "https://www.google.com/maps/?q=45.8699111110001,-64.279994444")</f>
        <v>https://www.google.com/maps/?q=45.8699111110001,-64.279994444</v>
      </c>
    </row>
    <row r="361" spans="1:8" ht="29" x14ac:dyDescent="0.35">
      <c r="A361" t="s">
        <v>3007</v>
      </c>
      <c r="B361" t="s">
        <v>3008</v>
      </c>
      <c r="C361" t="s">
        <v>3009</v>
      </c>
      <c r="D361" t="s">
        <v>3010</v>
      </c>
      <c r="E361" s="10" t="s">
        <v>28</v>
      </c>
      <c r="F361" s="11" t="s">
        <v>3011</v>
      </c>
      <c r="H361" s="17" t="str">
        <f>HYPERLINK("https://www.google.com/maps/?q=45.2715138890001,-66.061244444", "https://www.google.com/maps/?q=45.2715138890001,-66.061244444")</f>
        <v>https://www.google.com/maps/?q=45.2715138890001,-66.061244444</v>
      </c>
    </row>
    <row r="362" spans="1:8" ht="29" x14ac:dyDescent="0.35">
      <c r="A362" t="s">
        <v>3012</v>
      </c>
      <c r="B362" t="s">
        <v>3013</v>
      </c>
      <c r="C362" t="s">
        <v>3014</v>
      </c>
      <c r="D362" t="s">
        <v>3015</v>
      </c>
      <c r="E362" s="10" t="s">
        <v>28</v>
      </c>
      <c r="F362" s="11" t="s">
        <v>3016</v>
      </c>
      <c r="H362" s="17" t="str">
        <f>HYPERLINK("https://www.google.com/maps/?q=45.657941667,-64.879216667", "https://www.google.com/maps/?q=45.657941667,-64.879216667")</f>
        <v>https://www.google.com/maps/?q=45.657941667,-64.879216667</v>
      </c>
    </row>
    <row r="363" spans="1:8" ht="29" x14ac:dyDescent="0.35">
      <c r="A363" t="s">
        <v>3017</v>
      </c>
      <c r="B363" t="s">
        <v>3018</v>
      </c>
      <c r="C363" t="s">
        <v>3019</v>
      </c>
      <c r="D363" t="s">
        <v>3020</v>
      </c>
      <c r="E363" s="10" t="s">
        <v>28</v>
      </c>
      <c r="F363" s="11" t="s">
        <v>3021</v>
      </c>
      <c r="H363" s="17" t="str">
        <f>HYPERLINK("https://www.google.com/maps/?q=46.1197000000001,-67.1075", "https://www.google.com/maps/?q=46.1197000000001,-67.1075")</f>
        <v>https://www.google.com/maps/?q=46.1197000000001,-67.1075</v>
      </c>
    </row>
    <row r="364" spans="1:8" ht="29" x14ac:dyDescent="0.35">
      <c r="A364" t="s">
        <v>3022</v>
      </c>
      <c r="B364" t="s">
        <v>3023</v>
      </c>
      <c r="C364" t="s">
        <v>3024</v>
      </c>
      <c r="D364" t="s">
        <v>3025</v>
      </c>
      <c r="E364" s="10" t="s">
        <v>28</v>
      </c>
      <c r="F364" s="11" t="s">
        <v>1857</v>
      </c>
      <c r="H364" s="17" t="str">
        <f>HYPERLINK("https://www.google.com/maps/?q=47.186397222,-65.2222", "https://www.google.com/maps/?q=47.186397222,-65.2222")</f>
        <v>https://www.google.com/maps/?q=47.186397222,-65.2222</v>
      </c>
    </row>
    <row r="365" spans="1:8" ht="29" x14ac:dyDescent="0.35">
      <c r="A365" t="s">
        <v>3026</v>
      </c>
      <c r="B365" t="s">
        <v>3027</v>
      </c>
      <c r="C365" t="s">
        <v>3028</v>
      </c>
      <c r="D365" t="s">
        <v>3029</v>
      </c>
      <c r="E365" s="10" t="s">
        <v>28</v>
      </c>
      <c r="F365" s="11" t="s">
        <v>1852</v>
      </c>
      <c r="H365" s="17" t="str">
        <f>HYPERLINK("https://www.google.com/maps/?q=45.393052778,-65.965833333", "https://www.google.com/maps/?q=45.393052778,-65.965833333")</f>
        <v>https://www.google.com/maps/?q=45.393052778,-65.965833333</v>
      </c>
    </row>
    <row r="366" spans="1:8" ht="29" x14ac:dyDescent="0.35">
      <c r="A366" t="s">
        <v>3030</v>
      </c>
      <c r="B366" t="s">
        <v>3031</v>
      </c>
      <c r="C366" t="s">
        <v>3032</v>
      </c>
      <c r="D366" t="s">
        <v>3033</v>
      </c>
      <c r="E366" s="10" t="s">
        <v>28</v>
      </c>
      <c r="F366" s="11" t="s">
        <v>3034</v>
      </c>
      <c r="H366" s="17" t="str">
        <f>HYPERLINK("https://www.google.com/maps/?q=47.6658,-67.3622", "https://www.google.com/maps/?q=47.6658,-67.3622")</f>
        <v>https://www.google.com/maps/?q=47.6658,-67.3622</v>
      </c>
    </row>
    <row r="367" spans="1:8" ht="29" x14ac:dyDescent="0.35">
      <c r="A367" t="s">
        <v>3035</v>
      </c>
      <c r="B367" t="s">
        <v>3036</v>
      </c>
      <c r="C367" t="s">
        <v>3037</v>
      </c>
      <c r="D367" t="s">
        <v>3038</v>
      </c>
      <c r="E367" s="10" t="s">
        <v>28</v>
      </c>
      <c r="F367" s="11" t="s">
        <v>3039</v>
      </c>
      <c r="H367" s="17" t="str">
        <f>HYPERLINK("https://www.google.com/maps/?q=46.4429805560001,-67.643766667", "https://www.google.com/maps/?q=46.4429805560001,-67.643766667")</f>
        <v>https://www.google.com/maps/?q=46.4429805560001,-67.643766667</v>
      </c>
    </row>
    <row r="368" spans="1:8" ht="29" x14ac:dyDescent="0.35">
      <c r="A368" t="s">
        <v>3040</v>
      </c>
      <c r="B368" t="s">
        <v>3041</v>
      </c>
      <c r="C368" t="s">
        <v>3042</v>
      </c>
      <c r="D368" t="s">
        <v>3043</v>
      </c>
      <c r="E368" s="10" t="s">
        <v>28</v>
      </c>
      <c r="F368" s="11" t="s">
        <v>3044</v>
      </c>
      <c r="H368" s="17" t="str">
        <f>HYPERLINK("https://www.google.com/maps/?q=45.3176361110001,-65.8870249999999", "https://www.google.com/maps/?q=45.3176361110001,-65.8870249999999")</f>
        <v>https://www.google.com/maps/?q=45.3176361110001,-65.8870249999999</v>
      </c>
    </row>
    <row r="369" spans="1:8" ht="29" x14ac:dyDescent="0.35">
      <c r="A369" t="s">
        <v>3045</v>
      </c>
      <c r="B369" t="s">
        <v>3046</v>
      </c>
      <c r="C369" t="s">
        <v>3047</v>
      </c>
      <c r="D369" t="s">
        <v>3048</v>
      </c>
      <c r="E369" s="10" t="s">
        <v>28</v>
      </c>
      <c r="F369" s="11" t="s">
        <v>3049</v>
      </c>
      <c r="H369" s="17" t="str">
        <f>HYPERLINK("https://www.google.com/maps/?q=45.3588333330001,-65.526558333", "https://www.google.com/maps/?q=45.3588333330001,-65.526558333")</f>
        <v>https://www.google.com/maps/?q=45.3588333330001,-65.526558333</v>
      </c>
    </row>
    <row r="370" spans="1:8" ht="29" x14ac:dyDescent="0.35">
      <c r="A370" t="s">
        <v>3050</v>
      </c>
      <c r="B370" t="s">
        <v>3051</v>
      </c>
      <c r="C370" t="s">
        <v>3052</v>
      </c>
      <c r="D370" t="s">
        <v>3053</v>
      </c>
      <c r="E370" s="10" t="s">
        <v>28</v>
      </c>
      <c r="F370" s="11" t="s">
        <v>3054</v>
      </c>
      <c r="H370" s="17" t="str">
        <f>HYPERLINK("https://www.google.com/maps/?q=46.099369444,-64.742305556", "https://www.google.com/maps/?q=46.099369444,-64.742305556")</f>
        <v>https://www.google.com/maps/?q=46.099369444,-64.742305556</v>
      </c>
    </row>
    <row r="371" spans="1:8" ht="29" x14ac:dyDescent="0.35">
      <c r="A371" t="s">
        <v>3055</v>
      </c>
      <c r="B371" t="s">
        <v>3056</v>
      </c>
      <c r="C371" t="s">
        <v>3057</v>
      </c>
      <c r="D371" t="s">
        <v>3058</v>
      </c>
      <c r="E371" s="10" t="s">
        <v>28</v>
      </c>
      <c r="F371" s="11" t="s">
        <v>3059</v>
      </c>
      <c r="H371" s="17" t="str">
        <f>HYPERLINK("https://www.google.com/maps/?q=45.946913889,-66.634569444", "https://www.google.com/maps/?q=45.946913889,-66.634569444")</f>
        <v>https://www.google.com/maps/?q=45.946913889,-66.634569444</v>
      </c>
    </row>
    <row r="372" spans="1:8" ht="29" x14ac:dyDescent="0.35">
      <c r="A372" t="s">
        <v>3060</v>
      </c>
      <c r="B372" t="s">
        <v>3061</v>
      </c>
      <c r="C372" t="s">
        <v>3062</v>
      </c>
      <c r="D372" t="s">
        <v>3063</v>
      </c>
      <c r="E372" s="10" t="s">
        <v>28</v>
      </c>
      <c r="F372" s="11" t="s">
        <v>3064</v>
      </c>
      <c r="H372" s="17" t="str">
        <f>HYPERLINK("https://www.google.com/maps/?q=47.5642777780001,-66.290358333", "https://www.google.com/maps/?q=47.5642777780001,-66.290358333")</f>
        <v>https://www.google.com/maps/?q=47.5642777780001,-66.290358333</v>
      </c>
    </row>
    <row r="373" spans="1:8" ht="29" x14ac:dyDescent="0.35">
      <c r="A373" t="s">
        <v>3065</v>
      </c>
      <c r="B373" t="s">
        <v>3066</v>
      </c>
      <c r="C373" t="s">
        <v>3067</v>
      </c>
      <c r="D373" t="s">
        <v>3068</v>
      </c>
      <c r="E373" s="10" t="s">
        <v>28</v>
      </c>
      <c r="F373" s="11" t="s">
        <v>3069</v>
      </c>
      <c r="H373" s="17" t="str">
        <f>HYPERLINK("https://www.google.com/maps/?q=45.9231638890001,-66.607675", "https://www.google.com/maps/?q=45.9231638890001,-66.607675")</f>
        <v>https://www.google.com/maps/?q=45.9231638890001,-66.607675</v>
      </c>
    </row>
    <row r="374" spans="1:8" ht="29" x14ac:dyDescent="0.35">
      <c r="A374" t="s">
        <v>3070</v>
      </c>
      <c r="B374" t="s">
        <v>3071</v>
      </c>
      <c r="C374" t="s">
        <v>3072</v>
      </c>
      <c r="D374" t="s">
        <v>3073</v>
      </c>
      <c r="E374" s="10" t="s">
        <v>28</v>
      </c>
      <c r="F374" s="11" t="s">
        <v>3074</v>
      </c>
      <c r="H374" s="17" t="str">
        <f>HYPERLINK("https://www.google.com/maps/?q=46.0910805560001,-64.770419444", "https://www.google.com/maps/?q=46.0910805560001,-64.770419444")</f>
        <v>https://www.google.com/maps/?q=46.0910805560001,-64.770419444</v>
      </c>
    </row>
    <row r="375" spans="1:8" ht="29" x14ac:dyDescent="0.35">
      <c r="A375" t="s">
        <v>3075</v>
      </c>
      <c r="B375" t="s">
        <v>3076</v>
      </c>
      <c r="C375" t="s">
        <v>3077</v>
      </c>
      <c r="D375" t="s">
        <v>3078</v>
      </c>
      <c r="E375" s="10" t="s">
        <v>28</v>
      </c>
      <c r="F375" s="11" t="s">
        <v>3079</v>
      </c>
      <c r="H375" s="17" t="str">
        <f>HYPERLINK("https://www.google.com/maps/?q=45.8530916670001,-66.472958333", "https://www.google.com/maps/?q=45.8530916670001,-66.472958333")</f>
        <v>https://www.google.com/maps/?q=45.8530916670001,-66.472958333</v>
      </c>
    </row>
    <row r="376" spans="1:8" ht="29" x14ac:dyDescent="0.35">
      <c r="A376" t="s">
        <v>3080</v>
      </c>
      <c r="B376" t="s">
        <v>3081</v>
      </c>
      <c r="C376" t="s">
        <v>3082</v>
      </c>
      <c r="D376" t="s">
        <v>3083</v>
      </c>
      <c r="E376" s="10" t="s">
        <v>28</v>
      </c>
      <c r="F376" s="11" t="s">
        <v>3084</v>
      </c>
      <c r="H376" s="17" t="str">
        <f>HYPERLINK("https://www.google.com/maps/?q=45.9582,-66.6351583329999", "https://www.google.com/maps/?q=45.9582,-66.6351583329999")</f>
        <v>https://www.google.com/maps/?q=45.9582,-66.6351583329999</v>
      </c>
    </row>
    <row r="377" spans="1:8" ht="29" x14ac:dyDescent="0.35">
      <c r="A377" t="s">
        <v>3085</v>
      </c>
      <c r="B377" t="s">
        <v>3086</v>
      </c>
      <c r="C377" t="s">
        <v>3087</v>
      </c>
      <c r="D377" t="s">
        <v>3088</v>
      </c>
      <c r="E377" s="10" t="s">
        <v>28</v>
      </c>
      <c r="F377" s="11" t="s">
        <v>3089</v>
      </c>
      <c r="H377" s="17" t="str">
        <f>HYPERLINK("https://www.google.com/maps/?q=45.9234916670001,-64.578869444", "https://www.google.com/maps/?q=45.9234916670001,-64.578869444")</f>
        <v>https://www.google.com/maps/?q=45.9234916670001,-64.578869444</v>
      </c>
    </row>
    <row r="378" spans="1:8" ht="29" x14ac:dyDescent="0.35">
      <c r="A378" t="s">
        <v>3090</v>
      </c>
      <c r="B378" t="s">
        <v>3091</v>
      </c>
      <c r="C378" t="s">
        <v>3092</v>
      </c>
      <c r="D378" t="s">
        <v>3093</v>
      </c>
      <c r="E378" s="10" t="s">
        <v>28</v>
      </c>
      <c r="F378" s="11" t="s">
        <v>3094</v>
      </c>
      <c r="H378" s="17" t="str">
        <f>HYPERLINK("https://www.google.com/maps/?q=45.248869444,-66.126938889", "https://www.google.com/maps/?q=45.248869444,-66.126938889")</f>
        <v>https://www.google.com/maps/?q=45.248869444,-66.126938889</v>
      </c>
    </row>
    <row r="379" spans="1:8" ht="29" x14ac:dyDescent="0.35">
      <c r="A379" t="s">
        <v>3095</v>
      </c>
      <c r="B379" t="s">
        <v>3096</v>
      </c>
      <c r="C379" t="s">
        <v>3097</v>
      </c>
      <c r="D379" t="s">
        <v>3098</v>
      </c>
      <c r="E379" s="10" t="s">
        <v>28</v>
      </c>
      <c r="F379" s="11" t="s">
        <v>3099</v>
      </c>
      <c r="H379" s="17" t="str">
        <f>HYPERLINK("https://www.google.com/maps/?q=46.9784916670001,-67.5126749999999", "https://www.google.com/maps/?q=46.9784916670001,-67.5126749999999")</f>
        <v>https://www.google.com/maps/?q=46.9784916670001,-67.5126749999999</v>
      </c>
    </row>
    <row r="380" spans="1:8" ht="29" x14ac:dyDescent="0.35">
      <c r="A380" t="s">
        <v>3100</v>
      </c>
      <c r="B380" t="s">
        <v>3101</v>
      </c>
      <c r="C380" t="s">
        <v>3102</v>
      </c>
      <c r="D380" t="s">
        <v>3103</v>
      </c>
      <c r="E380" s="10" t="s">
        <v>28</v>
      </c>
      <c r="F380" s="11" t="s">
        <v>3104</v>
      </c>
      <c r="H380" s="17" t="str">
        <f>HYPERLINK("https://www.google.com/maps/?q=45.321319444,-66.077508333", "https://www.google.com/maps/?q=45.321319444,-66.077508333")</f>
        <v>https://www.google.com/maps/?q=45.321319444,-66.077508333</v>
      </c>
    </row>
    <row r="381" spans="1:8" ht="29" x14ac:dyDescent="0.35">
      <c r="A381" t="s">
        <v>3105</v>
      </c>
      <c r="B381" t="s">
        <v>3106</v>
      </c>
      <c r="C381" t="s">
        <v>3107</v>
      </c>
      <c r="D381" t="s">
        <v>3108</v>
      </c>
      <c r="E381" s="10" t="s">
        <v>28</v>
      </c>
      <c r="F381" s="11" t="s">
        <v>3109</v>
      </c>
      <c r="H381" s="17" t="str">
        <f>HYPERLINK("https://www.google.com/maps/?q=47.9581000000001,-66.2413972219999", "https://www.google.com/maps/?q=47.9581000000001,-66.2413972219999")</f>
        <v>https://www.google.com/maps/?q=47.9581000000001,-66.2413972219999</v>
      </c>
    </row>
    <row r="382" spans="1:8" ht="29" x14ac:dyDescent="0.35">
      <c r="A382" t="s">
        <v>3110</v>
      </c>
      <c r="B382" t="s">
        <v>3111</v>
      </c>
      <c r="C382" t="s">
        <v>3112</v>
      </c>
      <c r="D382" t="s">
        <v>3113</v>
      </c>
      <c r="E382" s="10" t="s">
        <v>28</v>
      </c>
      <c r="F382" s="11" t="s">
        <v>3114</v>
      </c>
      <c r="H382" s="17" t="str">
        <f>HYPERLINK("https://www.google.com/maps/?q=46.085516667,-64.7845444439999", "https://www.google.com/maps/?q=46.085516667,-64.7845444439999")</f>
        <v>https://www.google.com/maps/?q=46.085516667,-64.7845444439999</v>
      </c>
    </row>
    <row r="383" spans="1:8" ht="29" x14ac:dyDescent="0.35">
      <c r="A383" t="s">
        <v>3115</v>
      </c>
      <c r="B383" t="s">
        <v>3116</v>
      </c>
      <c r="C383" t="s">
        <v>3117</v>
      </c>
      <c r="D383" t="s">
        <v>3118</v>
      </c>
      <c r="E383" s="10" t="s">
        <v>28</v>
      </c>
      <c r="F383" s="11" t="s">
        <v>3119</v>
      </c>
      <c r="H383" s="17" t="str">
        <f>HYPERLINK("https://www.google.com/maps/?q=45.9923000000001,-66.629308333", "https://www.google.com/maps/?q=45.9923000000001,-66.629308333")</f>
        <v>https://www.google.com/maps/?q=45.9923000000001,-66.629308333</v>
      </c>
    </row>
    <row r="384" spans="1:8" ht="29" x14ac:dyDescent="0.35">
      <c r="A384" t="s">
        <v>3120</v>
      </c>
      <c r="B384" t="s">
        <v>3121</v>
      </c>
      <c r="C384" t="s">
        <v>3122</v>
      </c>
      <c r="D384" t="s">
        <v>3123</v>
      </c>
      <c r="E384" s="10" t="s">
        <v>28</v>
      </c>
      <c r="F384" s="11" t="s">
        <v>3124</v>
      </c>
      <c r="H384" s="17" t="str">
        <f>HYPERLINK("https://www.google.com/maps/?q=46.0682055560001,-65.250319444", "https://www.google.com/maps/?q=46.0682055560001,-65.250319444")</f>
        <v>https://www.google.com/maps/?q=46.0682055560001,-65.250319444</v>
      </c>
    </row>
    <row r="385" spans="1:8" ht="29" x14ac:dyDescent="0.35">
      <c r="A385" t="s">
        <v>3125</v>
      </c>
      <c r="B385" t="s">
        <v>3126</v>
      </c>
      <c r="C385" t="s">
        <v>3127</v>
      </c>
      <c r="D385" t="s">
        <v>3128</v>
      </c>
      <c r="E385" s="10" t="s">
        <v>28</v>
      </c>
      <c r="F385" s="11" t="s">
        <v>3129</v>
      </c>
      <c r="H385" s="17" t="str">
        <f>HYPERLINK("https://www.google.com/maps/?q=46.0861055560001,-64.7343999999999", "https://www.google.com/maps/?q=46.0861055560001,-64.7343999999999")</f>
        <v>https://www.google.com/maps/?q=46.0861055560001,-64.7343999999999</v>
      </c>
    </row>
    <row r="386" spans="1:8" ht="29" x14ac:dyDescent="0.35">
      <c r="A386" t="s">
        <v>3130</v>
      </c>
      <c r="B386" t="s">
        <v>3131</v>
      </c>
      <c r="C386" t="s">
        <v>3132</v>
      </c>
      <c r="D386" t="s">
        <v>3133</v>
      </c>
      <c r="E386" s="10" t="s">
        <v>28</v>
      </c>
      <c r="F386" s="11" t="s">
        <v>3134</v>
      </c>
      <c r="H386" s="17" t="str">
        <f>HYPERLINK("https://www.google.com/maps/?q=46.763330556,-65.026027778", "https://www.google.com/maps/?q=46.763330556,-65.026027778")</f>
        <v>https://www.google.com/maps/?q=46.763330556,-65.026027778</v>
      </c>
    </row>
    <row r="387" spans="1:8" ht="29" x14ac:dyDescent="0.35">
      <c r="A387" t="s">
        <v>3135</v>
      </c>
      <c r="B387" t="s">
        <v>3136</v>
      </c>
      <c r="C387" t="s">
        <v>3137</v>
      </c>
      <c r="D387" t="s">
        <v>3138</v>
      </c>
      <c r="E387" s="10" t="s">
        <v>28</v>
      </c>
      <c r="F387" s="11" t="s">
        <v>3139</v>
      </c>
      <c r="H387" s="17" t="str">
        <f>HYPERLINK("https://www.google.com/maps/?q=45.941319444,-66.653977778", "https://www.google.com/maps/?q=45.941319444,-66.653977778")</f>
        <v>https://www.google.com/maps/?q=45.941319444,-66.653977778</v>
      </c>
    </row>
    <row r="388" spans="1:8" ht="29" x14ac:dyDescent="0.35">
      <c r="A388" t="s">
        <v>3140</v>
      </c>
      <c r="B388" t="s">
        <v>3141</v>
      </c>
      <c r="C388" t="s">
        <v>3142</v>
      </c>
      <c r="D388" t="s">
        <v>3143</v>
      </c>
      <c r="E388" s="10" t="s">
        <v>28</v>
      </c>
      <c r="F388" s="11" t="s">
        <v>3144</v>
      </c>
      <c r="H388" s="17" t="str">
        <f>HYPERLINK("https://www.google.com/maps/?q=45.288616667,-66.047055556", "https://www.google.com/maps/?q=45.288616667,-66.047055556")</f>
        <v>https://www.google.com/maps/?q=45.288616667,-66.047055556</v>
      </c>
    </row>
    <row r="389" spans="1:8" ht="29" x14ac:dyDescent="0.35">
      <c r="A389" t="s">
        <v>3145</v>
      </c>
      <c r="B389" t="s">
        <v>3146</v>
      </c>
      <c r="C389" t="s">
        <v>3147</v>
      </c>
      <c r="D389" t="s">
        <v>3148</v>
      </c>
      <c r="E389" s="10" t="s">
        <v>28</v>
      </c>
      <c r="F389" s="11" t="s">
        <v>3149</v>
      </c>
      <c r="H389" s="17" t="str">
        <f>HYPERLINK("https://www.google.com/maps/?q=46.572777778,-64.7871916669999", "https://www.google.com/maps/?q=46.572777778,-64.7871916669999")</f>
        <v>https://www.google.com/maps/?q=46.572777778,-64.7871916669999</v>
      </c>
    </row>
    <row r="390" spans="1:8" ht="29" x14ac:dyDescent="0.35">
      <c r="A390" t="s">
        <v>3150</v>
      </c>
      <c r="B390" t="s">
        <v>3151</v>
      </c>
      <c r="C390" t="s">
        <v>3152</v>
      </c>
      <c r="D390" t="s">
        <v>3153</v>
      </c>
      <c r="E390" s="10" t="s">
        <v>28</v>
      </c>
      <c r="F390" s="11" t="s">
        <v>3154</v>
      </c>
      <c r="H390" s="17" t="str">
        <f>HYPERLINK("https://www.google.com/maps/?q=47.2642000000001,-68.6478", "https://www.google.com/maps/?q=47.2642000000001,-68.6478")</f>
        <v>https://www.google.com/maps/?q=47.2642000000001,-68.6478</v>
      </c>
    </row>
    <row r="391" spans="1:8" ht="29" x14ac:dyDescent="0.35">
      <c r="A391" t="s">
        <v>3155</v>
      </c>
      <c r="B391" t="s">
        <v>3156</v>
      </c>
      <c r="C391" t="s">
        <v>3157</v>
      </c>
      <c r="D391" t="s">
        <v>3158</v>
      </c>
      <c r="E391" s="10" t="s">
        <v>28</v>
      </c>
      <c r="F391" s="11" t="s">
        <v>3159</v>
      </c>
      <c r="H391" s="17" t="str">
        <f>HYPERLINK("https://www.google.com/maps/?q=45.1564000000001,-66.2057972219999", "https://www.google.com/maps/?q=45.1564000000001,-66.2057972219999")</f>
        <v>https://www.google.com/maps/?q=45.1564000000001,-66.2057972219999</v>
      </c>
    </row>
    <row r="392" spans="1:8" ht="29" x14ac:dyDescent="0.35">
      <c r="A392" t="s">
        <v>3160</v>
      </c>
      <c r="B392" t="s">
        <v>3161</v>
      </c>
      <c r="C392" t="s">
        <v>3162</v>
      </c>
      <c r="D392" t="s">
        <v>3163</v>
      </c>
      <c r="E392" s="10" t="s">
        <v>28</v>
      </c>
      <c r="F392" s="11" t="s">
        <v>3164</v>
      </c>
      <c r="H392" s="17" t="str">
        <f>HYPERLINK("https://www.google.com/maps/?q=45.9669666670001,-66.7159444439999", "https://www.google.com/maps/?q=45.9669666670001,-66.7159444439999")</f>
        <v>https://www.google.com/maps/?q=45.9669666670001,-66.7159444439999</v>
      </c>
    </row>
    <row r="393" spans="1:8" ht="29" x14ac:dyDescent="0.35">
      <c r="A393" t="s">
        <v>3165</v>
      </c>
      <c r="B393" t="s">
        <v>3166</v>
      </c>
      <c r="C393" t="s">
        <v>3167</v>
      </c>
      <c r="D393" t="s">
        <v>3168</v>
      </c>
      <c r="E393" s="10" t="s">
        <v>28</v>
      </c>
      <c r="F393" s="11" t="s">
        <v>2840</v>
      </c>
      <c r="H393" s="17" t="str">
        <f>HYPERLINK("https://www.google.com/maps/?q=45.8200194440001,-64.5996777779999", "https://www.google.com/maps/?q=45.8200194440001,-64.5996777779999")</f>
        <v>https://www.google.com/maps/?q=45.8200194440001,-64.5996777779999</v>
      </c>
    </row>
    <row r="394" spans="1:8" ht="29" x14ac:dyDescent="0.35">
      <c r="A394" t="s">
        <v>3169</v>
      </c>
      <c r="B394" t="s">
        <v>3170</v>
      </c>
      <c r="C394" t="s">
        <v>3171</v>
      </c>
      <c r="D394" t="s">
        <v>3172</v>
      </c>
      <c r="E394" s="10" t="s">
        <v>28</v>
      </c>
      <c r="F394" s="11" t="s">
        <v>3173</v>
      </c>
      <c r="H394" s="17" t="str">
        <f>HYPERLINK("https://www.google.com/maps/?q=46.0266861110001,-66.685216667", "https://www.google.com/maps/?q=46.0266861110001,-66.685216667")</f>
        <v>https://www.google.com/maps/?q=46.0266861110001,-66.685216667</v>
      </c>
    </row>
    <row r="395" spans="1:8" ht="29" x14ac:dyDescent="0.35">
      <c r="A395" t="s">
        <v>3174</v>
      </c>
      <c r="B395" t="s">
        <v>3175</v>
      </c>
      <c r="C395" t="s">
        <v>3176</v>
      </c>
      <c r="D395" t="s">
        <v>3177</v>
      </c>
      <c r="E395" s="10" t="s">
        <v>28</v>
      </c>
      <c r="F395" s="11" t="s">
        <v>3178</v>
      </c>
      <c r="H395" s="17" t="str">
        <f>HYPERLINK("https://www.google.com/maps/?q=47.7306,-65.7631", "https://www.google.com/maps/?q=47.7306,-65.7631")</f>
        <v>https://www.google.com/maps/?q=47.7306,-65.7631</v>
      </c>
    </row>
    <row r="396" spans="1:8" ht="29" x14ac:dyDescent="0.35">
      <c r="A396" t="s">
        <v>3179</v>
      </c>
      <c r="B396" t="s">
        <v>3180</v>
      </c>
      <c r="C396" t="s">
        <v>3181</v>
      </c>
      <c r="D396" t="s">
        <v>3182</v>
      </c>
      <c r="E396" s="10" t="s">
        <v>28</v>
      </c>
      <c r="F396" s="11" t="s">
        <v>1223</v>
      </c>
      <c r="H396" s="17" t="str">
        <f>HYPERLINK("https://www.google.com/maps/?q=45.714088889,-65.5128444439999", "https://www.google.com/maps/?q=45.714088889,-65.5128444439999")</f>
        <v>https://www.google.com/maps/?q=45.714088889,-65.5128444439999</v>
      </c>
    </row>
    <row r="397" spans="1:8" ht="29" x14ac:dyDescent="0.35">
      <c r="A397" t="s">
        <v>3183</v>
      </c>
      <c r="B397" t="s">
        <v>3184</v>
      </c>
      <c r="C397" t="s">
        <v>3185</v>
      </c>
      <c r="D397" t="s">
        <v>3186</v>
      </c>
      <c r="E397" s="10" t="s">
        <v>28</v>
      </c>
      <c r="F397" s="11" t="s">
        <v>3187</v>
      </c>
      <c r="H397" s="17" t="str">
        <f>HYPERLINK("https://www.google.com/maps/?q=45.5333305560001,-65.833055556", "https://www.google.com/maps/?q=45.5333305560001,-65.833055556")</f>
        <v>https://www.google.com/maps/?q=45.5333305560001,-65.833055556</v>
      </c>
    </row>
    <row r="398" spans="1:8" ht="29" x14ac:dyDescent="0.35">
      <c r="A398" t="s">
        <v>3188</v>
      </c>
      <c r="B398" t="s">
        <v>3189</v>
      </c>
      <c r="C398" t="s">
        <v>3190</v>
      </c>
      <c r="D398" t="s">
        <v>3191</v>
      </c>
      <c r="E398" s="10" t="s">
        <v>50</v>
      </c>
      <c r="F398" s="11" t="s">
        <v>1971</v>
      </c>
      <c r="H398" s="17" t="str">
        <f>HYPERLINK("https://www.google.com/maps/?q=47.389166667,-68.3163888889999", "https://www.google.com/maps/?q=47.389166667,-68.3163888889999")</f>
        <v>https://www.google.com/maps/?q=47.389166667,-68.3163888889999</v>
      </c>
    </row>
    <row r="399" spans="1:8" ht="29" x14ac:dyDescent="0.35">
      <c r="A399" t="s">
        <v>3192</v>
      </c>
      <c r="B399" t="s">
        <v>3193</v>
      </c>
      <c r="C399" t="s">
        <v>3194</v>
      </c>
      <c r="D399" t="s">
        <v>3195</v>
      </c>
      <c r="E399" s="10" t="s">
        <v>50</v>
      </c>
      <c r="F399" s="11" t="s">
        <v>2006</v>
      </c>
      <c r="H399" s="17" t="str">
        <f>HYPERLINK("https://www.google.com/maps/?q=45.4689416670001,-65.846772222", "https://www.google.com/maps/?q=45.4689416670001,-65.846772222")</f>
        <v>https://www.google.com/maps/?q=45.4689416670001,-65.846772222</v>
      </c>
    </row>
    <row r="400" spans="1:8" ht="29" x14ac:dyDescent="0.35">
      <c r="A400" t="s">
        <v>3196</v>
      </c>
      <c r="B400" t="s">
        <v>3197</v>
      </c>
      <c r="C400" t="s">
        <v>3198</v>
      </c>
      <c r="D400" t="s">
        <v>3199</v>
      </c>
      <c r="E400" s="10" t="s">
        <v>50</v>
      </c>
      <c r="F400" s="11" t="s">
        <v>1476</v>
      </c>
      <c r="H400" s="17" t="str">
        <f>HYPERLINK("https://www.google.com/maps/?q=46.104897222,-64.805808333", "https://www.google.com/maps/?q=46.104897222,-64.805808333")</f>
        <v>https://www.google.com/maps/?q=46.104897222,-64.805808333</v>
      </c>
    </row>
    <row r="401" spans="1:8" ht="29" x14ac:dyDescent="0.35">
      <c r="A401" t="s">
        <v>3200</v>
      </c>
      <c r="B401" t="s">
        <v>3201</v>
      </c>
      <c r="C401" t="s">
        <v>3202</v>
      </c>
      <c r="D401" t="s">
        <v>3203</v>
      </c>
      <c r="E401" s="10" t="s">
        <v>50</v>
      </c>
      <c r="F401" s="11" t="s">
        <v>2293</v>
      </c>
      <c r="H401" s="17" t="str">
        <f>HYPERLINK("https://www.google.com/maps/?q=46.0814833330001,-64.831533333", "https://www.google.com/maps/?q=46.0814833330001,-64.831533333")</f>
        <v>https://www.google.com/maps/?q=46.0814833330001,-64.831533333</v>
      </c>
    </row>
    <row r="402" spans="1:8" ht="29" x14ac:dyDescent="0.35">
      <c r="A402" t="s">
        <v>3204</v>
      </c>
      <c r="B402" t="s">
        <v>3205</v>
      </c>
      <c r="C402" t="s">
        <v>3206</v>
      </c>
      <c r="D402" t="s">
        <v>3207</v>
      </c>
      <c r="E402" s="10" t="s">
        <v>50</v>
      </c>
      <c r="F402" s="11" t="s">
        <v>3208</v>
      </c>
      <c r="H402" s="17" t="str">
        <f>HYPERLINK("https://www.google.com/maps/?q=46.0983583330001,-64.7053083329999", "https://www.google.com/maps/?q=46.0983583330001,-64.7053083329999")</f>
        <v>https://www.google.com/maps/?q=46.0983583330001,-64.7053083329999</v>
      </c>
    </row>
    <row r="403" spans="1:8" ht="29" x14ac:dyDescent="0.35">
      <c r="A403" t="s">
        <v>3209</v>
      </c>
      <c r="B403" t="s">
        <v>3210</v>
      </c>
      <c r="C403" t="s">
        <v>3211</v>
      </c>
      <c r="D403" t="s">
        <v>3212</v>
      </c>
      <c r="E403" s="10" t="s">
        <v>50</v>
      </c>
      <c r="F403" s="11" t="s">
        <v>1252</v>
      </c>
      <c r="H403" s="17" t="str">
        <f>HYPERLINK("https://www.google.com/maps/?q=45.908347222,-64.385572222", "https://www.google.com/maps/?q=45.908347222,-64.385572222")</f>
        <v>https://www.google.com/maps/?q=45.908347222,-64.385572222</v>
      </c>
    </row>
    <row r="404" spans="1:8" ht="29" x14ac:dyDescent="0.35">
      <c r="A404" t="s">
        <v>3213</v>
      </c>
      <c r="B404" t="s">
        <v>3214</v>
      </c>
      <c r="C404" t="s">
        <v>3215</v>
      </c>
      <c r="D404" t="s">
        <v>3216</v>
      </c>
      <c r="E404" s="10" t="s">
        <v>28</v>
      </c>
      <c r="F404" s="11" t="s">
        <v>3217</v>
      </c>
      <c r="H404" s="17" t="str">
        <f>HYPERLINK("https://www.google.com/maps/?q=46.6649972220001,-64.8427972219999", "https://www.google.com/maps/?q=46.6649972220001,-64.8427972219999")</f>
        <v>https://www.google.com/maps/?q=46.6649972220001,-64.8427972219999</v>
      </c>
    </row>
    <row r="405" spans="1:8" ht="29" x14ac:dyDescent="0.35">
      <c r="A405" t="s">
        <v>3218</v>
      </c>
      <c r="B405" t="s">
        <v>3219</v>
      </c>
      <c r="C405" t="s">
        <v>3220</v>
      </c>
      <c r="D405" t="s">
        <v>3221</v>
      </c>
      <c r="E405" s="10" t="s">
        <v>28</v>
      </c>
      <c r="F405" s="11" t="s">
        <v>3222</v>
      </c>
      <c r="H405" s="17" t="str">
        <f>HYPERLINK("https://www.google.com/maps/?q=46.162030556,-64.661988889", "https://www.google.com/maps/?q=46.162030556,-64.661988889")</f>
        <v>https://www.google.com/maps/?q=46.162030556,-64.661988889</v>
      </c>
    </row>
    <row r="406" spans="1:8" ht="29" x14ac:dyDescent="0.35">
      <c r="A406" t="s">
        <v>3223</v>
      </c>
      <c r="B406" t="s">
        <v>3224</v>
      </c>
      <c r="C406" t="s">
        <v>3225</v>
      </c>
      <c r="D406" t="s">
        <v>3226</v>
      </c>
      <c r="E406" s="10" t="s">
        <v>28</v>
      </c>
      <c r="F406" s="11" t="s">
        <v>3227</v>
      </c>
      <c r="H406" s="17" t="str">
        <f>HYPERLINK("https://www.google.com/maps/?q=45.269719444,-66.102155556", "https://www.google.com/maps/?q=45.269719444,-66.102155556")</f>
        <v>https://www.google.com/maps/?q=45.269719444,-66.102155556</v>
      </c>
    </row>
    <row r="407" spans="1:8" ht="29" x14ac:dyDescent="0.35">
      <c r="A407" t="s">
        <v>3228</v>
      </c>
      <c r="B407" t="s">
        <v>3229</v>
      </c>
      <c r="C407" t="s">
        <v>3230</v>
      </c>
      <c r="D407" t="s">
        <v>3231</v>
      </c>
      <c r="E407" s="10" t="s">
        <v>28</v>
      </c>
      <c r="F407" s="11" t="s">
        <v>3232</v>
      </c>
      <c r="H407" s="17" t="str">
        <f>HYPERLINK("https://www.google.com/maps/?q=47.795797222,-64.6453", "https://www.google.com/maps/?q=47.795797222,-64.6453")</f>
        <v>https://www.google.com/maps/?q=47.795797222,-64.6453</v>
      </c>
    </row>
    <row r="408" spans="1:8" ht="29" x14ac:dyDescent="0.35">
      <c r="A408" t="s">
        <v>3233</v>
      </c>
      <c r="B408" t="s">
        <v>3234</v>
      </c>
      <c r="C408" t="s">
        <v>3235</v>
      </c>
      <c r="D408" t="s">
        <v>3236</v>
      </c>
      <c r="E408" s="10" t="s">
        <v>28</v>
      </c>
      <c r="F408" s="11" t="s">
        <v>3237</v>
      </c>
      <c r="H408" s="17" t="str">
        <f>HYPERLINK("https://www.google.com/maps/?q=46.2071527780001,-64.499844444", "https://www.google.com/maps/?q=46.2071527780001,-64.499844444")</f>
        <v>https://www.google.com/maps/?q=46.2071527780001,-64.499844444</v>
      </c>
    </row>
    <row r="409" spans="1:8" ht="29" x14ac:dyDescent="0.35">
      <c r="A409" t="s">
        <v>3238</v>
      </c>
      <c r="B409" t="s">
        <v>3239</v>
      </c>
      <c r="C409" t="s">
        <v>3240</v>
      </c>
      <c r="D409" t="s">
        <v>3241</v>
      </c>
      <c r="E409" s="10" t="s">
        <v>28</v>
      </c>
      <c r="F409" s="11" t="s">
        <v>3242</v>
      </c>
      <c r="H409" s="17" t="str">
        <f>HYPERLINK("https://www.google.com/maps/?q=46.099036111,-64.7597499999999", "https://www.google.com/maps/?q=46.099036111,-64.7597499999999")</f>
        <v>https://www.google.com/maps/?q=46.099036111,-64.7597499999999</v>
      </c>
    </row>
    <row r="410" spans="1:8" ht="29" x14ac:dyDescent="0.35">
      <c r="A410" t="s">
        <v>3243</v>
      </c>
      <c r="B410" t="s">
        <v>3244</v>
      </c>
      <c r="C410" t="s">
        <v>3245</v>
      </c>
      <c r="D410" t="s">
        <v>3246</v>
      </c>
      <c r="E410" s="10" t="s">
        <v>28</v>
      </c>
      <c r="F410" s="11" t="s">
        <v>3247</v>
      </c>
      <c r="H410" s="17" t="str">
        <f>HYPERLINK("https://www.google.com/maps/?q=45.951758333,-67.355677778", "https://www.google.com/maps/?q=45.951758333,-67.355677778")</f>
        <v>https://www.google.com/maps/?q=45.951758333,-67.355677778</v>
      </c>
    </row>
    <row r="411" spans="1:8" ht="29" x14ac:dyDescent="0.35">
      <c r="A411" t="s">
        <v>3248</v>
      </c>
      <c r="B411" t="s">
        <v>3249</v>
      </c>
      <c r="C411" t="s">
        <v>3250</v>
      </c>
      <c r="D411" t="s">
        <v>3251</v>
      </c>
      <c r="E411" s="10" t="s">
        <v>28</v>
      </c>
      <c r="F411" s="11" t="s">
        <v>3252</v>
      </c>
      <c r="H411" s="17" t="str">
        <f>HYPERLINK("https://www.google.com/maps/?q=47.9334777780001,-64.570577778", "https://www.google.com/maps/?q=47.9334777780001,-64.570577778")</f>
        <v>https://www.google.com/maps/?q=47.9334777780001,-64.570577778</v>
      </c>
    </row>
    <row r="412" spans="1:8" ht="29" x14ac:dyDescent="0.35">
      <c r="A412" t="s">
        <v>3253</v>
      </c>
      <c r="B412" t="s">
        <v>3254</v>
      </c>
      <c r="C412" t="s">
        <v>3255</v>
      </c>
      <c r="D412" t="s">
        <v>3256</v>
      </c>
      <c r="E412" s="10" t="s">
        <v>28</v>
      </c>
      <c r="F412" s="11" t="s">
        <v>3257</v>
      </c>
      <c r="H412" s="17" t="str">
        <f>HYPERLINK("https://www.google.com/maps/?q=46.096830556,-64.8208083329999", "https://www.google.com/maps/?q=46.096830556,-64.8208083329999")</f>
        <v>https://www.google.com/maps/?q=46.096830556,-64.8208083329999</v>
      </c>
    </row>
    <row r="413" spans="1:8" ht="29" x14ac:dyDescent="0.35">
      <c r="A413" t="s">
        <v>3258</v>
      </c>
      <c r="B413" t="s">
        <v>3259</v>
      </c>
      <c r="C413" t="s">
        <v>3260</v>
      </c>
      <c r="D413" t="s">
        <v>3261</v>
      </c>
      <c r="E413" s="10" t="s">
        <v>28</v>
      </c>
      <c r="F413" s="11" t="s">
        <v>1618</v>
      </c>
      <c r="H413" s="17" t="str">
        <f>HYPERLINK("https://www.google.com/maps/?q=46.156033333,-66.580391667", "https://www.google.com/maps/?q=46.156033333,-66.580391667")</f>
        <v>https://www.google.com/maps/?q=46.156033333,-66.580391667</v>
      </c>
    </row>
    <row r="414" spans="1:8" ht="29" x14ac:dyDescent="0.35">
      <c r="A414" t="s">
        <v>1121</v>
      </c>
      <c r="B414" t="s">
        <v>3262</v>
      </c>
      <c r="C414" t="s">
        <v>1122</v>
      </c>
      <c r="D414" t="s">
        <v>3263</v>
      </c>
      <c r="E414" s="10" t="s">
        <v>50</v>
      </c>
      <c r="F414" s="11" t="s">
        <v>3264</v>
      </c>
      <c r="H414" s="17" t="str">
        <f>HYPERLINK("https://www.google.com/maps/?q=45.9375000000001,-65.4196111109999", "https://www.google.com/maps/?q=45.9375000000001,-65.4196111109999")</f>
        <v>https://www.google.com/maps/?q=45.9375000000001,-65.4196111109999</v>
      </c>
    </row>
    <row r="415" spans="1:8" ht="29" x14ac:dyDescent="0.35">
      <c r="A415" t="s">
        <v>3265</v>
      </c>
      <c r="B415" t="s">
        <v>3266</v>
      </c>
      <c r="C415" t="s">
        <v>3267</v>
      </c>
      <c r="D415" t="s">
        <v>3268</v>
      </c>
      <c r="E415" s="10" t="s">
        <v>461</v>
      </c>
      <c r="F415" s="11" t="s">
        <v>3269</v>
      </c>
      <c r="H415" s="17" t="str">
        <f>HYPERLINK("https://www.google.com/maps/?q=45.4283888890001,-66.3239444439999", "https://www.google.com/maps/?q=45.4283888890001,-66.3239444439999")</f>
        <v>https://www.google.com/maps/?q=45.4283888890001,-66.3239444439999</v>
      </c>
    </row>
    <row r="416" spans="1:8" ht="29" x14ac:dyDescent="0.35">
      <c r="A416" t="s">
        <v>3270</v>
      </c>
      <c r="B416" t="s">
        <v>3271</v>
      </c>
      <c r="C416" t="s">
        <v>3272</v>
      </c>
      <c r="D416" t="s">
        <v>3273</v>
      </c>
      <c r="E416" s="10" t="s">
        <v>50</v>
      </c>
      <c r="F416" s="11" t="s">
        <v>2358</v>
      </c>
      <c r="H416" s="17" t="str">
        <f>HYPERLINK("https://www.google.com/maps/?q=45.316136111,-66.213966667", "https://www.google.com/maps/?q=45.316136111,-66.213966667")</f>
        <v>https://www.google.com/maps/?q=45.316136111,-66.213966667</v>
      </c>
    </row>
    <row r="417" spans="1:8" ht="29" x14ac:dyDescent="0.35">
      <c r="A417" t="s">
        <v>3274</v>
      </c>
      <c r="B417" t="s">
        <v>3275</v>
      </c>
      <c r="C417" t="s">
        <v>3276</v>
      </c>
      <c r="D417" t="s">
        <v>3277</v>
      </c>
      <c r="E417" s="10" t="s">
        <v>50</v>
      </c>
      <c r="F417" s="11" t="s">
        <v>3278</v>
      </c>
      <c r="H417" s="17" t="str">
        <f>HYPERLINK("https://www.google.com/maps/?q=45.1972416670001,-67.010555556", "https://www.google.com/maps/?q=45.1972416670001,-67.010555556")</f>
        <v>https://www.google.com/maps/?q=45.1972416670001,-67.010555556</v>
      </c>
    </row>
    <row r="418" spans="1:8" ht="29" x14ac:dyDescent="0.35">
      <c r="A418" t="s">
        <v>3279</v>
      </c>
      <c r="B418" t="s">
        <v>3280</v>
      </c>
      <c r="C418" t="s">
        <v>3281</v>
      </c>
      <c r="D418" t="s">
        <v>3282</v>
      </c>
      <c r="E418" s="10" t="s">
        <v>66</v>
      </c>
      <c r="F418" s="11" t="s">
        <v>3283</v>
      </c>
      <c r="H418" s="17" t="str">
        <f>HYPERLINK("https://www.google.com/maps/?q=45.9466694440001,-66.595280556", "https://www.google.com/maps/?q=45.9466694440001,-66.595280556")</f>
        <v>https://www.google.com/maps/?q=45.9466694440001,-66.595280556</v>
      </c>
    </row>
    <row r="419" spans="1:8" ht="29" x14ac:dyDescent="0.35">
      <c r="A419" t="s">
        <v>3284</v>
      </c>
      <c r="B419" t="s">
        <v>3285</v>
      </c>
      <c r="C419" t="s">
        <v>3286</v>
      </c>
      <c r="D419" t="s">
        <v>3287</v>
      </c>
      <c r="E419" s="10" t="s">
        <v>66</v>
      </c>
      <c r="F419" s="11" t="s">
        <v>3288</v>
      </c>
      <c r="G419" s="17"/>
      <c r="H419" s="17" t="str">
        <f>HYPERLINK("https://www.google.com/maps/?q=45.981130556,-66.706738889", "https://www.google.com/maps/?q=45.981130556,-66.706738889")</f>
        <v>https://www.google.com/maps/?q=45.981130556,-66.706738889</v>
      </c>
    </row>
    <row r="420" spans="1:8" ht="29" x14ac:dyDescent="0.35">
      <c r="A420" t="s">
        <v>3289</v>
      </c>
      <c r="B420" t="s">
        <v>3290</v>
      </c>
      <c r="C420" t="s">
        <v>3291</v>
      </c>
      <c r="D420" t="s">
        <v>3292</v>
      </c>
      <c r="E420" s="10" t="s">
        <v>66</v>
      </c>
      <c r="F420" s="11" t="s">
        <v>3293</v>
      </c>
      <c r="H420" s="17" t="str">
        <f>HYPERLINK("https://www.google.com/maps/?q=46.1399916670001,-64.665863889", "https://www.google.com/maps/?q=46.1399916670001,-64.665863889")</f>
        <v>https://www.google.com/maps/?q=46.1399916670001,-64.665863889</v>
      </c>
    </row>
    <row r="421" spans="1:8" ht="29" x14ac:dyDescent="0.35">
      <c r="A421" t="s">
        <v>3294</v>
      </c>
      <c r="B421" t="s">
        <v>3295</v>
      </c>
      <c r="C421" t="s">
        <v>3296</v>
      </c>
      <c r="D421" t="s">
        <v>3297</v>
      </c>
      <c r="E421" s="10" t="s">
        <v>66</v>
      </c>
      <c r="F421" s="11" t="s">
        <v>3298</v>
      </c>
      <c r="H421" s="17" t="str">
        <f>HYPERLINK("https://www.google.com/maps/?q=45.6733222220001,-65.609425", "https://www.google.com/maps/?q=45.6733222220001,-65.609425")</f>
        <v>https://www.google.com/maps/?q=45.6733222220001,-65.609425</v>
      </c>
    </row>
    <row r="422" spans="1:8" ht="29" x14ac:dyDescent="0.35">
      <c r="A422" t="s">
        <v>3299</v>
      </c>
      <c r="B422" t="s">
        <v>3300</v>
      </c>
      <c r="C422" t="s">
        <v>3301</v>
      </c>
      <c r="D422" t="s">
        <v>3302</v>
      </c>
      <c r="E422" s="10" t="s">
        <v>66</v>
      </c>
      <c r="F422" s="11" t="s">
        <v>3303</v>
      </c>
      <c r="H422" s="17" t="str">
        <f>HYPERLINK("https://www.google.com/maps/?q=46.0318222220001,-64.7436749999999", "https://www.google.com/maps/?q=46.0318222220001,-64.7436749999999")</f>
        <v>https://www.google.com/maps/?q=46.0318222220001,-64.7436749999999</v>
      </c>
    </row>
    <row r="423" spans="1:8" ht="29" x14ac:dyDescent="0.35">
      <c r="A423" t="s">
        <v>3304</v>
      </c>
      <c r="B423" t="s">
        <v>3305</v>
      </c>
      <c r="C423" t="s">
        <v>3306</v>
      </c>
      <c r="D423" t="s">
        <v>3307</v>
      </c>
      <c r="E423" s="10" t="s">
        <v>28</v>
      </c>
      <c r="F423" s="11" t="s">
        <v>2786</v>
      </c>
      <c r="H423" s="17" t="str">
        <f>HYPERLINK("https://www.google.com/maps/?q=45.8422194440001,-66.051388889", "https://www.google.com/maps/?q=45.8422194440001,-66.051388889")</f>
        <v>https://www.google.com/maps/?q=45.8422194440001,-66.051388889</v>
      </c>
    </row>
    <row r="424" spans="1:8" ht="29" x14ac:dyDescent="0.35">
      <c r="A424" t="s">
        <v>3308</v>
      </c>
      <c r="B424" t="s">
        <v>3309</v>
      </c>
      <c r="C424" t="s">
        <v>3310</v>
      </c>
      <c r="D424" t="s">
        <v>3311</v>
      </c>
      <c r="E424" s="10" t="s">
        <v>17</v>
      </c>
      <c r="F424" s="11" t="s">
        <v>2922</v>
      </c>
      <c r="H424" s="17" t="str">
        <f>HYPERLINK("https://www.google.com/maps/?q=46.6016638890001,-65.941663889", "https://www.google.com/maps/?q=46.6016638890001,-65.941663889")</f>
        <v>https://www.google.com/maps/?q=46.6016638890001,-65.941663889</v>
      </c>
    </row>
    <row r="425" spans="1:8" ht="29" x14ac:dyDescent="0.35">
      <c r="A425" t="s">
        <v>3312</v>
      </c>
      <c r="B425" t="s">
        <v>2510</v>
      </c>
      <c r="C425" t="s">
        <v>3313</v>
      </c>
      <c r="D425" t="s">
        <v>2512</v>
      </c>
      <c r="E425" s="10" t="s">
        <v>17</v>
      </c>
      <c r="F425" s="11" t="s">
        <v>2513</v>
      </c>
      <c r="H425" s="17" t="str">
        <f>HYPERLINK("https://www.google.com/maps/?q=46.294222222,-64.61875", "https://www.google.com/maps/?q=46.294222222,-64.61875")</f>
        <v>https://www.google.com/maps/?q=46.294222222,-64.61875</v>
      </c>
    </row>
    <row r="426" spans="1:8" ht="29" x14ac:dyDescent="0.35">
      <c r="A426" t="s">
        <v>3314</v>
      </c>
      <c r="B426" t="s">
        <v>3315</v>
      </c>
      <c r="C426" t="s">
        <v>3316</v>
      </c>
      <c r="D426" t="s">
        <v>3317</v>
      </c>
      <c r="E426" s="10" t="s">
        <v>17</v>
      </c>
      <c r="F426" s="11" t="s">
        <v>2395</v>
      </c>
      <c r="H426" s="17" t="str">
        <f>HYPERLINK("https://www.google.com/maps/?q=47.51,-64.925", "https://www.google.com/maps/?q=47.51,-64.925")</f>
        <v>https://www.google.com/maps/?q=47.51,-64.925</v>
      </c>
    </row>
    <row r="427" spans="1:8" ht="29" x14ac:dyDescent="0.35">
      <c r="A427" t="s">
        <v>3318</v>
      </c>
      <c r="B427" t="s">
        <v>3319</v>
      </c>
      <c r="C427" t="s">
        <v>3320</v>
      </c>
      <c r="D427" t="s">
        <v>3321</v>
      </c>
      <c r="E427" s="10" t="s">
        <v>50</v>
      </c>
      <c r="F427" s="11" t="s">
        <v>3322</v>
      </c>
      <c r="H427" s="17" t="str">
        <f>HYPERLINK("https://www.google.com/maps/?q=45.8438,-66.873072222", "https://www.google.com/maps/?q=45.8438,-66.873072222")</f>
        <v>https://www.google.com/maps/?q=45.8438,-66.873072222</v>
      </c>
    </row>
    <row r="428" spans="1:8" ht="29" x14ac:dyDescent="0.35">
      <c r="A428" t="s">
        <v>3323</v>
      </c>
      <c r="B428" t="s">
        <v>3324</v>
      </c>
      <c r="C428" t="s">
        <v>3325</v>
      </c>
      <c r="D428" t="s">
        <v>3326</v>
      </c>
      <c r="E428" s="10" t="s">
        <v>50</v>
      </c>
      <c r="F428" s="11" t="s">
        <v>3327</v>
      </c>
      <c r="H428" s="17" t="str">
        <f>HYPERLINK("https://www.google.com/maps/?q=46.1465388890001,-67.638591667", "https://www.google.com/maps/?q=46.1465388890001,-67.638591667")</f>
        <v>https://www.google.com/maps/?q=46.1465388890001,-67.638591667</v>
      </c>
    </row>
    <row r="429" spans="1:8" ht="29" x14ac:dyDescent="0.35">
      <c r="A429" t="s">
        <v>3328</v>
      </c>
      <c r="B429" t="s">
        <v>3329</v>
      </c>
      <c r="C429" t="s">
        <v>3330</v>
      </c>
      <c r="D429" t="s">
        <v>3331</v>
      </c>
      <c r="E429" s="10" t="s">
        <v>50</v>
      </c>
      <c r="F429" s="11" t="s">
        <v>3217</v>
      </c>
      <c r="H429" s="17" t="str">
        <f>HYPERLINK("https://www.google.com/maps/?q=46.665152778,-64.840208333", "https://www.google.com/maps/?q=46.665152778,-64.840208333")</f>
        <v>https://www.google.com/maps/?q=46.665152778,-64.840208333</v>
      </c>
    </row>
    <row r="430" spans="1:8" ht="29" x14ac:dyDescent="0.35">
      <c r="A430" t="s">
        <v>3332</v>
      </c>
      <c r="B430" t="s">
        <v>3333</v>
      </c>
      <c r="C430" t="s">
        <v>3334</v>
      </c>
      <c r="D430" t="s">
        <v>3335</v>
      </c>
      <c r="E430" s="10" t="s">
        <v>50</v>
      </c>
      <c r="F430" s="11" t="s">
        <v>3336</v>
      </c>
      <c r="H430" s="17" t="str">
        <f>HYPERLINK("https://www.google.com/maps/?q=47.3636333330001,-68.327797222", "https://www.google.com/maps/?q=47.3636333330001,-68.327797222")</f>
        <v>https://www.google.com/maps/?q=47.3636333330001,-68.327797222</v>
      </c>
    </row>
    <row r="431" spans="1:8" ht="29" x14ac:dyDescent="0.35">
      <c r="A431" t="s">
        <v>3337</v>
      </c>
      <c r="B431" t="s">
        <v>3338</v>
      </c>
      <c r="C431" t="s">
        <v>3339</v>
      </c>
      <c r="D431" t="s">
        <v>3340</v>
      </c>
      <c r="E431" s="10" t="s">
        <v>50</v>
      </c>
      <c r="F431" s="11" t="s">
        <v>3341</v>
      </c>
      <c r="H431" s="17" t="str">
        <f>HYPERLINK("https://www.google.com/maps/?q=45.251227778,-66.0716166669999", "https://www.google.com/maps/?q=45.251227778,-66.0716166669999")</f>
        <v>https://www.google.com/maps/?q=45.251227778,-66.0716166669999</v>
      </c>
    </row>
    <row r="432" spans="1:8" ht="29" x14ac:dyDescent="0.35">
      <c r="A432" t="s">
        <v>3342</v>
      </c>
      <c r="B432" t="s">
        <v>3343</v>
      </c>
      <c r="C432" t="s">
        <v>3344</v>
      </c>
      <c r="D432" t="s">
        <v>3345</v>
      </c>
      <c r="E432" s="10" t="s">
        <v>50</v>
      </c>
      <c r="F432" s="11" t="s">
        <v>3346</v>
      </c>
      <c r="H432" s="17" t="str">
        <f>HYPERLINK("https://www.google.com/maps/?q=45.673341667,-65.6644638889999", "https://www.google.com/maps/?q=45.673341667,-65.6644638889999")</f>
        <v>https://www.google.com/maps/?q=45.673341667,-65.6644638889999</v>
      </c>
    </row>
    <row r="433" spans="1:8" ht="29" x14ac:dyDescent="0.35">
      <c r="A433" t="s">
        <v>3347</v>
      </c>
      <c r="B433" t="s">
        <v>3348</v>
      </c>
      <c r="C433" t="s">
        <v>3349</v>
      </c>
      <c r="D433" t="s">
        <v>3350</v>
      </c>
      <c r="E433" s="10" t="s">
        <v>50</v>
      </c>
      <c r="F433" s="11" t="s">
        <v>3351</v>
      </c>
      <c r="H433" s="17" t="str">
        <f>HYPERLINK("https://www.google.com/maps/?q=45.8996916670001,-64.644933333", "https://www.google.com/maps/?q=45.8996916670001,-64.644933333")</f>
        <v>https://www.google.com/maps/?q=45.8996916670001,-64.644933333</v>
      </c>
    </row>
    <row r="434" spans="1:8" ht="29" x14ac:dyDescent="0.35">
      <c r="A434" t="s">
        <v>3352</v>
      </c>
      <c r="B434" t="s">
        <v>3353</v>
      </c>
      <c r="C434" t="s">
        <v>3354</v>
      </c>
      <c r="D434" t="s">
        <v>3355</v>
      </c>
      <c r="E434" s="10" t="s">
        <v>50</v>
      </c>
      <c r="F434" s="11" t="s">
        <v>3356</v>
      </c>
      <c r="H434" s="17" t="str">
        <f>HYPERLINK("https://www.google.com/maps/?q=45.928908333,-64.460288889", "https://www.google.com/maps/?q=45.928908333,-64.460288889")</f>
        <v>https://www.google.com/maps/?q=45.928908333,-64.460288889</v>
      </c>
    </row>
    <row r="435" spans="1:8" ht="29" x14ac:dyDescent="0.35">
      <c r="A435" t="s">
        <v>3357</v>
      </c>
      <c r="B435" t="s">
        <v>3358</v>
      </c>
      <c r="C435" t="s">
        <v>3359</v>
      </c>
      <c r="D435" t="s">
        <v>3360</v>
      </c>
      <c r="E435" s="10" t="s">
        <v>50</v>
      </c>
      <c r="F435" s="11" t="s">
        <v>2088</v>
      </c>
      <c r="H435" s="17" t="str">
        <f>HYPERLINK("https://www.google.com/maps/?q=46.0482361110001,-64.7881166669999", "https://www.google.com/maps/?q=46.0482361110001,-64.7881166669999")</f>
        <v>https://www.google.com/maps/?q=46.0482361110001,-64.7881166669999</v>
      </c>
    </row>
    <row r="436" spans="1:8" ht="29" x14ac:dyDescent="0.35">
      <c r="A436" t="s">
        <v>3361</v>
      </c>
      <c r="B436" t="s">
        <v>3362</v>
      </c>
      <c r="C436" t="s">
        <v>3363</v>
      </c>
      <c r="D436" t="s">
        <v>3364</v>
      </c>
      <c r="E436" s="10" t="s">
        <v>50</v>
      </c>
      <c r="F436" s="11" t="s">
        <v>2108</v>
      </c>
      <c r="H436" s="17" t="str">
        <f>HYPERLINK("https://www.google.com/maps/?q=47.268197222,-65.106419444", "https://www.google.com/maps/?q=47.268197222,-65.106419444")</f>
        <v>https://www.google.com/maps/?q=47.268197222,-65.106419444</v>
      </c>
    </row>
    <row r="437" spans="1:8" ht="29" x14ac:dyDescent="0.35">
      <c r="A437" t="s">
        <v>3365</v>
      </c>
      <c r="B437" t="s">
        <v>3366</v>
      </c>
      <c r="C437" t="s">
        <v>3367</v>
      </c>
      <c r="D437" t="s">
        <v>3368</v>
      </c>
      <c r="E437" s="10" t="s">
        <v>50</v>
      </c>
      <c r="F437" s="11" t="s">
        <v>3369</v>
      </c>
      <c r="H437" s="17" t="str">
        <f>HYPERLINK("https://www.google.com/maps/?q=47.7663250000001,-64.978927778", "https://www.google.com/maps/?q=47.7663250000001,-64.978927778")</f>
        <v>https://www.google.com/maps/?q=47.7663250000001,-64.978927778</v>
      </c>
    </row>
    <row r="438" spans="1:8" ht="29" x14ac:dyDescent="0.35">
      <c r="A438" t="s">
        <v>3370</v>
      </c>
      <c r="B438" t="s">
        <v>3371</v>
      </c>
      <c r="C438" t="s">
        <v>3372</v>
      </c>
      <c r="D438" t="s">
        <v>3373</v>
      </c>
      <c r="E438" s="10" t="s">
        <v>50</v>
      </c>
      <c r="F438" s="11" t="s">
        <v>1904</v>
      </c>
      <c r="H438" s="17" t="str">
        <f>HYPERLINK("https://www.google.com/maps/?q=45.5661111110001,-66.3847222219999", "https://www.google.com/maps/?q=45.5661111110001,-66.3847222219999")</f>
        <v>https://www.google.com/maps/?q=45.5661111110001,-66.3847222219999</v>
      </c>
    </row>
    <row r="439" spans="1:8" ht="29" x14ac:dyDescent="0.35">
      <c r="A439" t="s">
        <v>3374</v>
      </c>
      <c r="B439" t="s">
        <v>3375</v>
      </c>
      <c r="C439" t="s">
        <v>3376</v>
      </c>
      <c r="D439" t="s">
        <v>3377</v>
      </c>
      <c r="E439" s="10" t="s">
        <v>50</v>
      </c>
      <c r="F439" s="11" t="s">
        <v>3378</v>
      </c>
      <c r="H439" s="17" t="str">
        <f>HYPERLINK("https://www.google.com/maps/?q=45.9597277780001,-67.4634972219999", "https://www.google.com/maps/?q=45.9597277780001,-67.4634972219999")</f>
        <v>https://www.google.com/maps/?q=45.9597277780001,-67.4634972219999</v>
      </c>
    </row>
    <row r="440" spans="1:8" ht="29" x14ac:dyDescent="0.35">
      <c r="A440" t="s">
        <v>3379</v>
      </c>
      <c r="B440" t="s">
        <v>3380</v>
      </c>
      <c r="C440" t="s">
        <v>3381</v>
      </c>
      <c r="D440" t="s">
        <v>3382</v>
      </c>
      <c r="E440" s="10" t="s">
        <v>28</v>
      </c>
      <c r="F440" s="11" t="s">
        <v>3383</v>
      </c>
      <c r="H440" s="17" t="str">
        <f>HYPERLINK("https://www.google.com/maps/?q=47.0878000000001,-67.7585999999999", "https://www.google.com/maps/?q=47.0878000000001,-67.7585999999999")</f>
        <v>https://www.google.com/maps/?q=47.0878000000001,-67.7585999999999</v>
      </c>
    </row>
    <row r="441" spans="1:8" ht="29" x14ac:dyDescent="0.35">
      <c r="A441" t="s">
        <v>3384</v>
      </c>
      <c r="B441" t="s">
        <v>3385</v>
      </c>
      <c r="C441" t="s">
        <v>3386</v>
      </c>
      <c r="D441" t="s">
        <v>3387</v>
      </c>
      <c r="E441" s="10" t="s">
        <v>28</v>
      </c>
      <c r="F441" s="11" t="s">
        <v>3283</v>
      </c>
      <c r="H441" s="17" t="str">
        <f>HYPERLINK("https://www.google.com/maps/?q=45.9466972220001,-66.5953", "https://www.google.com/maps/?q=45.9466972220001,-66.5953")</f>
        <v>https://www.google.com/maps/?q=45.9466972220001,-66.5953</v>
      </c>
    </row>
    <row r="442" spans="1:8" ht="29" x14ac:dyDescent="0.35">
      <c r="A442" t="s">
        <v>3388</v>
      </c>
      <c r="B442" t="s">
        <v>3389</v>
      </c>
      <c r="C442" t="s">
        <v>3390</v>
      </c>
      <c r="D442" t="s">
        <v>3391</v>
      </c>
      <c r="E442" s="10" t="s">
        <v>66</v>
      </c>
      <c r="F442" s="11" t="s">
        <v>3392</v>
      </c>
      <c r="H442" s="17" t="str">
        <f>HYPERLINK("https://www.google.com/maps/?q=45.27,-66.102", "https://www.google.com/maps/?q=45.27,-66.102")</f>
        <v>https://www.google.com/maps/?q=45.27,-66.102</v>
      </c>
    </row>
    <row r="443" spans="1:8" ht="29" x14ac:dyDescent="0.35">
      <c r="A443" t="s">
        <v>3393</v>
      </c>
      <c r="B443" t="s">
        <v>3394</v>
      </c>
      <c r="C443" t="s">
        <v>3395</v>
      </c>
      <c r="D443" t="s">
        <v>3396</v>
      </c>
      <c r="E443" s="10" t="s">
        <v>66</v>
      </c>
      <c r="F443" s="11" t="s">
        <v>2449</v>
      </c>
      <c r="H443" s="17" t="str">
        <f>HYPERLINK("https://www.google.com/maps/?q=45.95,-66.6949999999999", "https://www.google.com/maps/?q=45.95,-66.6949999999999")</f>
        <v>https://www.google.com/maps/?q=45.95,-66.6949999999999</v>
      </c>
    </row>
    <row r="444" spans="1:8" ht="29" x14ac:dyDescent="0.35">
      <c r="A444" t="s">
        <v>3397</v>
      </c>
      <c r="B444" t="s">
        <v>3398</v>
      </c>
      <c r="C444" t="s">
        <v>3399</v>
      </c>
      <c r="D444" t="s">
        <v>3400</v>
      </c>
      <c r="E444" s="10" t="s">
        <v>28</v>
      </c>
      <c r="F444" s="11" t="s">
        <v>3298</v>
      </c>
      <c r="H444" s="17" t="str">
        <f>HYPERLINK("https://www.google.com/maps/?q=45.6724972220001,-65.610277778", "https://www.google.com/maps/?q=45.6724972220001,-65.610277778")</f>
        <v>https://www.google.com/maps/?q=45.6724972220001,-65.610277778</v>
      </c>
    </row>
    <row r="445" spans="1:8" ht="29" x14ac:dyDescent="0.35">
      <c r="A445" t="s">
        <v>3401</v>
      </c>
      <c r="B445" t="s">
        <v>3402</v>
      </c>
      <c r="C445" t="s">
        <v>3403</v>
      </c>
      <c r="D445" t="s">
        <v>3404</v>
      </c>
      <c r="E445" s="10" t="s">
        <v>1109</v>
      </c>
      <c r="F445" s="11" t="s">
        <v>3405</v>
      </c>
      <c r="H445" s="17" t="str">
        <f>HYPERLINK("https://www.google.com/maps/?q=46.151944444,-66.036666667", "https://www.google.com/maps/?q=46.151944444,-66.036666667")</f>
        <v>https://www.google.com/maps/?q=46.151944444,-66.036666667</v>
      </c>
    </row>
    <row r="446" spans="1:8" ht="29" x14ac:dyDescent="0.35">
      <c r="A446" t="s">
        <v>3406</v>
      </c>
      <c r="B446" t="s">
        <v>3407</v>
      </c>
      <c r="C446" t="s">
        <v>3408</v>
      </c>
      <c r="D446" t="s">
        <v>3409</v>
      </c>
      <c r="E446" s="10" t="s">
        <v>28</v>
      </c>
      <c r="F446" s="11" t="s">
        <v>3410</v>
      </c>
      <c r="H446" s="17" t="str">
        <f>HYPERLINK("https://www.google.com/maps/?q=45.9818194440001,-66.639127778", "https://www.google.com/maps/?q=45.9818194440001,-66.639127778")</f>
        <v>https://www.google.com/maps/?q=45.9818194440001,-66.639127778</v>
      </c>
    </row>
    <row r="447" spans="1:8" ht="29" x14ac:dyDescent="0.35">
      <c r="A447" t="s">
        <v>3411</v>
      </c>
      <c r="B447" t="s">
        <v>3412</v>
      </c>
      <c r="C447" t="s">
        <v>3413</v>
      </c>
      <c r="D447" t="s">
        <v>3414</v>
      </c>
      <c r="E447" s="10" t="s">
        <v>28</v>
      </c>
      <c r="F447" s="11" t="s">
        <v>3415</v>
      </c>
      <c r="H447" s="17" t="str">
        <f>HYPERLINK("https://www.google.com/maps/?q=46.2075,-64.5336", "https://www.google.com/maps/?q=46.2075,-64.5336")</f>
        <v>https://www.google.com/maps/?q=46.2075,-64.5336</v>
      </c>
    </row>
    <row r="448" spans="1:8" ht="29" x14ac:dyDescent="0.35">
      <c r="A448" t="s">
        <v>3416</v>
      </c>
      <c r="B448" t="s">
        <v>3417</v>
      </c>
      <c r="C448" t="s">
        <v>3418</v>
      </c>
      <c r="D448" t="s">
        <v>3419</v>
      </c>
      <c r="E448" s="10" t="s">
        <v>28</v>
      </c>
      <c r="F448" s="11" t="s">
        <v>1717</v>
      </c>
      <c r="H448" s="17" t="str">
        <f>HYPERLINK("https://www.google.com/maps/?q=46.1018583330001,-63.915330556", "https://www.google.com/maps/?q=46.1018583330001,-63.915330556")</f>
        <v>https://www.google.com/maps/?q=46.1018583330001,-63.915330556</v>
      </c>
    </row>
    <row r="449" spans="1:10" ht="29" x14ac:dyDescent="0.35">
      <c r="A449" t="s">
        <v>3420</v>
      </c>
      <c r="B449" t="s">
        <v>3421</v>
      </c>
      <c r="C449" t="s">
        <v>3422</v>
      </c>
      <c r="D449" t="s">
        <v>3423</v>
      </c>
      <c r="E449" s="10" t="s">
        <v>28</v>
      </c>
      <c r="F449" s="11" t="s">
        <v>1355</v>
      </c>
      <c r="H449" s="17" t="str">
        <f>HYPERLINK("https://www.google.com/maps/?q=45.369108333,-65.996469444", "https://www.google.com/maps/?q=45.369108333,-65.996469444")</f>
        <v>https://www.google.com/maps/?q=45.369108333,-65.996469444</v>
      </c>
    </row>
    <row r="450" spans="1:10" ht="29" x14ac:dyDescent="0.35">
      <c r="A450" t="s">
        <v>3424</v>
      </c>
      <c r="B450" t="s">
        <v>3425</v>
      </c>
      <c r="C450" t="s">
        <v>3426</v>
      </c>
      <c r="D450" t="s">
        <v>3427</v>
      </c>
      <c r="E450" s="10" t="s">
        <v>28</v>
      </c>
      <c r="F450" s="11" t="s">
        <v>3428</v>
      </c>
      <c r="H450" s="17" t="str">
        <f>HYPERLINK("https://www.google.com/maps/?q=47.6286916670001,-65.681038889", "https://www.google.com/maps/?q=47.6286916670001,-65.681038889")</f>
        <v>https://www.google.com/maps/?q=47.6286916670001,-65.681038889</v>
      </c>
    </row>
    <row r="451" spans="1:10" ht="29" x14ac:dyDescent="0.35">
      <c r="A451" t="s">
        <v>3429</v>
      </c>
      <c r="B451" t="s">
        <v>3430</v>
      </c>
      <c r="C451" t="s">
        <v>3431</v>
      </c>
      <c r="D451" t="s">
        <v>3432</v>
      </c>
      <c r="E451" s="10" t="s">
        <v>28</v>
      </c>
      <c r="F451" s="11" t="s">
        <v>3433</v>
      </c>
      <c r="H451" s="17" t="str">
        <f>HYPERLINK("https://www.google.com/maps/?q=46.0981833330001,-64.8172111109999", "https://www.google.com/maps/?q=46.0981833330001,-64.8172111109999")</f>
        <v>https://www.google.com/maps/?q=46.0981833330001,-64.8172111109999</v>
      </c>
      <c r="I451" s="29"/>
      <c r="J451" s="20"/>
    </row>
    <row r="452" spans="1:10" ht="29" x14ac:dyDescent="0.35">
      <c r="A452" t="s">
        <v>3434</v>
      </c>
      <c r="B452" t="s">
        <v>3435</v>
      </c>
      <c r="C452" t="s">
        <v>3436</v>
      </c>
      <c r="D452" t="s">
        <v>3437</v>
      </c>
      <c r="E452" s="10" t="s">
        <v>28</v>
      </c>
      <c r="F452" s="11" t="s">
        <v>3438</v>
      </c>
      <c r="H452" s="17" t="str">
        <f>HYPERLINK("https://www.google.com/maps/?q=45.9776277780001,-66.686475", "https://www.google.com/maps/?q=45.9776277780001,-66.686475")</f>
        <v>https://www.google.com/maps/?q=45.9776277780001,-66.686475</v>
      </c>
      <c r="I452" s="29"/>
      <c r="J452" s="20"/>
    </row>
    <row r="453" spans="1:10" ht="29" x14ac:dyDescent="0.35">
      <c r="A453" t="s">
        <v>3439</v>
      </c>
      <c r="B453" t="s">
        <v>3440</v>
      </c>
      <c r="C453" t="s">
        <v>3441</v>
      </c>
      <c r="D453" t="s">
        <v>3442</v>
      </c>
      <c r="E453" s="10" t="s">
        <v>28</v>
      </c>
      <c r="F453" s="11" t="s">
        <v>3443</v>
      </c>
      <c r="H453" s="17" t="str">
        <f>HYPERLINK("https://www.google.com/maps/?q=46.098775,-64.802558333", "https://www.google.com/maps/?q=46.098775,-64.802558333")</f>
        <v>https://www.google.com/maps/?q=46.098775,-64.802558333</v>
      </c>
      <c r="I453" s="29"/>
      <c r="J453" s="20"/>
    </row>
    <row r="454" spans="1:10" ht="29" x14ac:dyDescent="0.35">
      <c r="A454" t="s">
        <v>3444</v>
      </c>
      <c r="B454" t="s">
        <v>3445</v>
      </c>
      <c r="C454" t="s">
        <v>3446</v>
      </c>
      <c r="D454" t="s">
        <v>3447</v>
      </c>
      <c r="E454" s="10" t="s">
        <v>28</v>
      </c>
      <c r="F454" s="11" t="s">
        <v>3448</v>
      </c>
      <c r="H454" s="17" t="str">
        <f>HYPERLINK("https://www.google.com/maps/?q=46.632497222,-65.362777778", "https://www.google.com/maps/?q=46.632497222,-65.362777778")</f>
        <v>https://www.google.com/maps/?q=46.632497222,-65.362777778</v>
      </c>
      <c r="I454" s="29"/>
      <c r="J454" s="20"/>
    </row>
    <row r="455" spans="1:10" ht="29" x14ac:dyDescent="0.35">
      <c r="A455" t="s">
        <v>3449</v>
      </c>
      <c r="B455" t="s">
        <v>3450</v>
      </c>
      <c r="C455" t="s">
        <v>3451</v>
      </c>
      <c r="D455" t="s">
        <v>3452</v>
      </c>
      <c r="E455" s="10" t="s">
        <v>44</v>
      </c>
      <c r="F455" s="11" t="s">
        <v>3453</v>
      </c>
      <c r="H455" s="17" t="str">
        <f>HYPERLINK("https://www.google.com/maps/?q=45.1766166670001,-67.1942749999999", "https://www.google.com/maps/?q=45.1766166670001,-67.1942749999999")</f>
        <v>https://www.google.com/maps/?q=45.1766166670001,-67.1942749999999</v>
      </c>
      <c r="I455" s="29"/>
      <c r="J455" s="20"/>
    </row>
    <row r="456" spans="1:10" ht="29" x14ac:dyDescent="0.35">
      <c r="A456" t="s">
        <v>3454</v>
      </c>
      <c r="B456" t="s">
        <v>3455</v>
      </c>
      <c r="C456" t="s">
        <v>3456</v>
      </c>
      <c r="D456" t="s">
        <v>3457</v>
      </c>
      <c r="E456" s="10" t="s">
        <v>28</v>
      </c>
      <c r="F456" s="11" t="s">
        <v>3458</v>
      </c>
      <c r="H456" s="17" t="str">
        <f>HYPERLINK("https://www.google.com/maps/?q=46.8421388890001,-65.7846638889999", "https://www.google.com/maps/?q=46.8421388890001,-65.7846638889999")</f>
        <v>https://www.google.com/maps/?q=46.8421388890001,-65.7846638889999</v>
      </c>
    </row>
    <row r="457" spans="1:10" ht="29" x14ac:dyDescent="0.35">
      <c r="A457" t="s">
        <v>1121</v>
      </c>
      <c r="B457" t="s">
        <v>3459</v>
      </c>
      <c r="C457" t="s">
        <v>1122</v>
      </c>
      <c r="D457" t="s">
        <v>3460</v>
      </c>
      <c r="E457" s="10" t="s">
        <v>44</v>
      </c>
      <c r="F457" s="11" t="s">
        <v>3264</v>
      </c>
      <c r="H457" s="17" t="str">
        <f>HYPERLINK("https://www.google.com/maps/?q=45.9375000000001,-65.4193999999999", "https://www.google.com/maps/?q=45.9375000000001,-65.4193999999999")</f>
        <v>https://www.google.com/maps/?q=45.9375000000001,-65.4193999999999</v>
      </c>
    </row>
    <row r="458" spans="1:10" ht="29" x14ac:dyDescent="0.35">
      <c r="A458" t="s">
        <v>3461</v>
      </c>
      <c r="B458" t="s">
        <v>3462</v>
      </c>
      <c r="C458" t="s">
        <v>3463</v>
      </c>
      <c r="D458" t="s">
        <v>3464</v>
      </c>
      <c r="E458" s="10" t="s">
        <v>44</v>
      </c>
      <c r="F458" s="11" t="s">
        <v>3465</v>
      </c>
      <c r="H458" s="17" t="str">
        <f>HYPERLINK("https://www.google.com/maps/?q=46.2728472220001,-66.6028638889999", "https://www.google.com/maps/?q=46.2728472220001,-66.6028638889999")</f>
        <v>https://www.google.com/maps/?q=46.2728472220001,-66.6028638889999</v>
      </c>
    </row>
    <row r="459" spans="1:10" ht="29" x14ac:dyDescent="0.35">
      <c r="A459" t="s">
        <v>3466</v>
      </c>
      <c r="B459" t="s">
        <v>3467</v>
      </c>
      <c r="C459" t="s">
        <v>3468</v>
      </c>
      <c r="D459" t="s">
        <v>3469</v>
      </c>
      <c r="E459" s="10" t="s">
        <v>44</v>
      </c>
      <c r="F459" s="11" t="s">
        <v>3470</v>
      </c>
      <c r="H459" s="17" t="str">
        <f>HYPERLINK("https://www.google.com/maps/?q=45.761755556,-65.7916861109999", "https://www.google.com/maps/?q=45.761755556,-65.7916861109999")</f>
        <v>https://www.google.com/maps/?q=45.761755556,-65.7916861109999</v>
      </c>
    </row>
    <row r="460" spans="1:10" ht="29" x14ac:dyDescent="0.35">
      <c r="A460" t="s">
        <v>3471</v>
      </c>
      <c r="B460" t="s">
        <v>3472</v>
      </c>
      <c r="C460" t="s">
        <v>3473</v>
      </c>
      <c r="D460" t="s">
        <v>3474</v>
      </c>
      <c r="E460" s="10" t="s">
        <v>44</v>
      </c>
      <c r="F460" s="11" t="s">
        <v>3475</v>
      </c>
      <c r="H460" s="17" t="str">
        <f>HYPERLINK("https://www.google.com/maps/?q=47.513330556,-67.2836", "https://www.google.com/maps/?q=47.513330556,-67.2836")</f>
        <v>https://www.google.com/maps/?q=47.513330556,-67.2836</v>
      </c>
    </row>
    <row r="461" spans="1:10" ht="29" x14ac:dyDescent="0.35">
      <c r="A461" t="s">
        <v>3476</v>
      </c>
      <c r="B461" t="s">
        <v>3477</v>
      </c>
      <c r="C461" t="s">
        <v>3478</v>
      </c>
      <c r="D461" t="s">
        <v>3479</v>
      </c>
      <c r="E461" s="10" t="s">
        <v>44</v>
      </c>
      <c r="F461" s="11" t="s">
        <v>3480</v>
      </c>
      <c r="H461" s="17" t="str">
        <f>HYPERLINK("https://www.google.com/maps/?q=46.3163111110001,-65.029269444", "https://www.google.com/maps/?q=46.3163111110001,-65.029269444")</f>
        <v>https://www.google.com/maps/?q=46.3163111110001,-65.029269444</v>
      </c>
    </row>
    <row r="462" spans="1:10" ht="29" x14ac:dyDescent="0.35">
      <c r="A462" t="s">
        <v>3481</v>
      </c>
      <c r="B462" t="s">
        <v>3482</v>
      </c>
      <c r="C462" t="s">
        <v>3483</v>
      </c>
      <c r="D462" t="s">
        <v>3484</v>
      </c>
      <c r="E462" s="10" t="s">
        <v>44</v>
      </c>
      <c r="F462" s="11" t="s">
        <v>3485</v>
      </c>
      <c r="H462" s="17" t="str">
        <f>HYPERLINK("https://www.google.com/maps/?q=46.336086111,-64.821963889", "https://www.google.com/maps/?q=46.336086111,-64.821963889")</f>
        <v>https://www.google.com/maps/?q=46.336086111,-64.821963889</v>
      </c>
    </row>
    <row r="463" spans="1:10" ht="29" x14ac:dyDescent="0.35">
      <c r="A463" t="s">
        <v>3486</v>
      </c>
      <c r="B463" t="s">
        <v>3487</v>
      </c>
      <c r="C463" t="s">
        <v>3488</v>
      </c>
      <c r="D463" t="s">
        <v>3489</v>
      </c>
      <c r="E463" s="10" t="s">
        <v>28</v>
      </c>
      <c r="F463" s="11" t="s">
        <v>3490</v>
      </c>
      <c r="H463" s="17" t="str">
        <f>HYPERLINK("https://www.google.com/maps/?q=45.9641888890001,-66.6229999999999", "https://www.google.com/maps/?q=45.9641888890001,-66.6229999999999")</f>
        <v>https://www.google.com/maps/?q=45.9641888890001,-66.6229999999999</v>
      </c>
    </row>
    <row r="464" spans="1:10" ht="29" x14ac:dyDescent="0.35">
      <c r="A464" t="s">
        <v>3491</v>
      </c>
      <c r="B464" t="s">
        <v>3492</v>
      </c>
      <c r="C464" t="s">
        <v>3493</v>
      </c>
      <c r="D464" t="s">
        <v>3494</v>
      </c>
      <c r="E464" s="10" t="s">
        <v>44</v>
      </c>
      <c r="F464" s="11" t="s">
        <v>2263</v>
      </c>
      <c r="H464" s="17" t="str">
        <f>HYPERLINK("https://www.google.com/maps/?q=46.1812583330001,-64.229802778", "https://www.google.com/maps/?q=46.1812583330001,-64.229802778")</f>
        <v>https://www.google.com/maps/?q=46.1812583330001,-64.229802778</v>
      </c>
    </row>
    <row r="465" spans="1:8" ht="29" x14ac:dyDescent="0.35">
      <c r="A465" t="s">
        <v>3495</v>
      </c>
      <c r="B465" t="s">
        <v>3496</v>
      </c>
      <c r="C465" t="s">
        <v>3497</v>
      </c>
      <c r="D465" t="s">
        <v>3498</v>
      </c>
      <c r="E465" s="10" t="s">
        <v>44</v>
      </c>
      <c r="F465" s="11" t="s">
        <v>2219</v>
      </c>
      <c r="H465" s="17" t="str">
        <f>HYPERLINK("https://www.google.com/maps/?q=46.009602778,-67.544316667", "https://www.google.com/maps/?q=46.009602778,-67.544316667")</f>
        <v>https://www.google.com/maps/?q=46.009602778,-67.544316667</v>
      </c>
    </row>
    <row r="466" spans="1:8" ht="29" x14ac:dyDescent="0.35">
      <c r="A466" t="s">
        <v>3499</v>
      </c>
      <c r="B466" t="s">
        <v>3500</v>
      </c>
      <c r="C466" t="s">
        <v>3501</v>
      </c>
      <c r="D466" t="s">
        <v>3502</v>
      </c>
      <c r="E466" s="10" t="s">
        <v>44</v>
      </c>
      <c r="F466" s="11" t="s">
        <v>3503</v>
      </c>
      <c r="H466" s="17" t="str">
        <f>HYPERLINK("https://www.google.com/maps/?q=46.196558333,-65.994094444", "https://www.google.com/maps/?q=46.196558333,-65.994094444")</f>
        <v>https://www.google.com/maps/?q=46.196558333,-65.994094444</v>
      </c>
    </row>
    <row r="467" spans="1:8" ht="29" x14ac:dyDescent="0.35">
      <c r="A467" t="s">
        <v>3504</v>
      </c>
      <c r="B467" t="s">
        <v>3505</v>
      </c>
      <c r="C467" t="s">
        <v>3506</v>
      </c>
      <c r="D467" t="s">
        <v>3507</v>
      </c>
      <c r="E467" s="10" t="s">
        <v>44</v>
      </c>
      <c r="F467" s="11" t="s">
        <v>2170</v>
      </c>
      <c r="H467" s="17" t="str">
        <f>HYPERLINK("https://www.google.com/maps/?q=45.8717611110001,-67.010719444", "https://www.google.com/maps/?q=45.8717611110001,-67.010719444")</f>
        <v>https://www.google.com/maps/?q=45.8717611110001,-67.010719444</v>
      </c>
    </row>
    <row r="468" spans="1:8" ht="29" x14ac:dyDescent="0.35">
      <c r="A468" t="s">
        <v>3508</v>
      </c>
      <c r="B468" t="s">
        <v>3509</v>
      </c>
      <c r="C468" t="s">
        <v>3510</v>
      </c>
      <c r="D468" t="s">
        <v>3511</v>
      </c>
      <c r="E468" s="10" t="s">
        <v>1109</v>
      </c>
      <c r="F468" s="11" t="s">
        <v>3512</v>
      </c>
      <c r="H468" s="17" t="str">
        <f>HYPERLINK("https://www.google.com/maps/?q=46.5475000000001,-67.1777777779999", "https://www.google.com/maps/?q=46.5475000000001,-67.1777777779999")</f>
        <v>https://www.google.com/maps/?q=46.5475000000001,-67.1777777779999</v>
      </c>
    </row>
    <row r="469" spans="1:8" ht="29" x14ac:dyDescent="0.35">
      <c r="A469" t="s">
        <v>3513</v>
      </c>
      <c r="B469" t="s">
        <v>3514</v>
      </c>
      <c r="C469" t="s">
        <v>3515</v>
      </c>
      <c r="D469" t="s">
        <v>3516</v>
      </c>
      <c r="E469" s="10" t="s">
        <v>1109</v>
      </c>
      <c r="F469" s="11" t="s">
        <v>3517</v>
      </c>
      <c r="H469" s="17" t="str">
        <f>HYPERLINK("https://www.google.com/maps/?q=46.083055556,-64.785555556", "https://www.google.com/maps/?q=46.083055556,-64.785555556")</f>
        <v>https://www.google.com/maps/?q=46.083055556,-64.785555556</v>
      </c>
    </row>
    <row r="470" spans="1:8" ht="29" x14ac:dyDescent="0.35">
      <c r="A470" t="s">
        <v>3518</v>
      </c>
      <c r="B470" t="s">
        <v>3519</v>
      </c>
      <c r="C470" t="s">
        <v>3520</v>
      </c>
      <c r="D470" t="s">
        <v>3521</v>
      </c>
      <c r="E470" s="10" t="s">
        <v>44</v>
      </c>
      <c r="F470" s="11" t="s">
        <v>2268</v>
      </c>
      <c r="H470" s="17" t="str">
        <f>HYPERLINK("https://www.google.com/maps/?q=45.0748972220001,-66.754938889", "https://www.google.com/maps/?q=45.0748972220001,-66.754938889")</f>
        <v>https://www.google.com/maps/?q=45.0748972220001,-66.754938889</v>
      </c>
    </row>
    <row r="471" spans="1:8" ht="29" x14ac:dyDescent="0.35">
      <c r="A471" t="s">
        <v>3522</v>
      </c>
      <c r="B471" t="s">
        <v>3523</v>
      </c>
      <c r="C471" t="s">
        <v>3524</v>
      </c>
      <c r="D471" t="s">
        <v>3525</v>
      </c>
      <c r="E471" s="10" t="s">
        <v>44</v>
      </c>
      <c r="F471" s="11" t="s">
        <v>3526</v>
      </c>
      <c r="H471" s="17" t="str">
        <f>HYPERLINK("https://www.google.com/maps/?q=45.2590222220001,-65.744161111", "https://www.google.com/maps/?q=45.2590222220001,-65.744161111")</f>
        <v>https://www.google.com/maps/?q=45.2590222220001,-65.744161111</v>
      </c>
    </row>
    <row r="472" spans="1:8" ht="29" x14ac:dyDescent="0.35">
      <c r="A472" t="s">
        <v>3527</v>
      </c>
      <c r="B472" t="s">
        <v>3528</v>
      </c>
      <c r="C472" t="s">
        <v>3529</v>
      </c>
      <c r="D472" t="s">
        <v>3530</v>
      </c>
      <c r="E472" s="10" t="s">
        <v>1109</v>
      </c>
      <c r="F472" s="11" t="s">
        <v>3531</v>
      </c>
      <c r="H472" s="17" t="str">
        <f>HYPERLINK("https://www.google.com/maps/?q=45.893,-64.353083333", "https://www.google.com/maps/?q=45.893,-64.353083333")</f>
        <v>https://www.google.com/maps/?q=45.893,-64.353083333</v>
      </c>
    </row>
    <row r="473" spans="1:8" ht="29" x14ac:dyDescent="0.35">
      <c r="A473" t="s">
        <v>3532</v>
      </c>
      <c r="B473" t="s">
        <v>3533</v>
      </c>
      <c r="C473" t="s">
        <v>3534</v>
      </c>
      <c r="D473" t="s">
        <v>3535</v>
      </c>
      <c r="E473" s="10" t="s">
        <v>28</v>
      </c>
      <c r="F473" s="11" t="s">
        <v>2634</v>
      </c>
      <c r="H473" s="17" t="str">
        <f>HYPERLINK("https://www.google.com/maps/?q=47.0480527780001,-65.324441667", "https://www.google.com/maps/?q=47.0480527780001,-65.324441667")</f>
        <v>https://www.google.com/maps/?q=47.0480527780001,-65.324441667</v>
      </c>
    </row>
    <row r="474" spans="1:8" ht="29" x14ac:dyDescent="0.35">
      <c r="A474" t="s">
        <v>3536</v>
      </c>
      <c r="B474" t="s">
        <v>3537</v>
      </c>
      <c r="C474" t="s">
        <v>3538</v>
      </c>
      <c r="D474" t="s">
        <v>3539</v>
      </c>
      <c r="E474" s="10" t="s">
        <v>28</v>
      </c>
      <c r="F474" s="11" t="s">
        <v>3208</v>
      </c>
      <c r="H474" s="17" t="str">
        <f>HYPERLINK("https://www.google.com/maps/?q=46.0986194440001,-64.704772222", "https://www.google.com/maps/?q=46.0986194440001,-64.704772222")</f>
        <v>https://www.google.com/maps/?q=46.0986194440001,-64.704772222</v>
      </c>
    </row>
    <row r="475" spans="1:8" ht="29" x14ac:dyDescent="0.35">
      <c r="A475" t="s">
        <v>3540</v>
      </c>
      <c r="B475" t="s">
        <v>3541</v>
      </c>
      <c r="C475" t="s">
        <v>3542</v>
      </c>
      <c r="D475" t="s">
        <v>3543</v>
      </c>
      <c r="E475" s="10" t="s">
        <v>28</v>
      </c>
      <c r="F475" s="11" t="s">
        <v>3544</v>
      </c>
      <c r="H475" s="17" t="str">
        <f>HYPERLINK("https://www.google.com/maps/?q=47.0563500000001,-64.908480556", "https://www.google.com/maps/?q=47.0563500000001,-64.908480556")</f>
        <v>https://www.google.com/maps/?q=47.0563500000001,-64.908480556</v>
      </c>
    </row>
    <row r="476" spans="1:8" ht="29" x14ac:dyDescent="0.35">
      <c r="A476" t="s">
        <v>3545</v>
      </c>
      <c r="B476" t="s">
        <v>3546</v>
      </c>
      <c r="C476" t="s">
        <v>3547</v>
      </c>
      <c r="D476" t="s">
        <v>3548</v>
      </c>
      <c r="E476" s="10" t="s">
        <v>28</v>
      </c>
      <c r="F476" s="11" t="s">
        <v>3549</v>
      </c>
      <c r="H476" s="17" t="str">
        <f>HYPERLINK("https://www.google.com/maps/?q=45.213944444,-66.170783333", "https://www.google.com/maps/?q=45.213944444,-66.170783333")</f>
        <v>https://www.google.com/maps/?q=45.213944444,-66.170783333</v>
      </c>
    </row>
    <row r="477" spans="1:8" ht="29" x14ac:dyDescent="0.35">
      <c r="A477" t="s">
        <v>3550</v>
      </c>
      <c r="B477" t="s">
        <v>3551</v>
      </c>
      <c r="C477" t="s">
        <v>3552</v>
      </c>
      <c r="D477" t="s">
        <v>3553</v>
      </c>
      <c r="E477" s="10" t="s">
        <v>50</v>
      </c>
      <c r="F477" s="11" t="s">
        <v>3554</v>
      </c>
      <c r="H477" s="17" t="str">
        <f>HYPERLINK("https://www.google.com/maps/?q=46.0872000000001,-64.783858333", "https://www.google.com/maps/?q=46.0872000000001,-64.783858333")</f>
        <v>https://www.google.com/maps/?q=46.0872000000001,-64.783858333</v>
      </c>
    </row>
    <row r="478" spans="1:8" ht="29" x14ac:dyDescent="0.35">
      <c r="A478" t="s">
        <v>3555</v>
      </c>
      <c r="B478" t="s">
        <v>3556</v>
      </c>
      <c r="C478" t="s">
        <v>3557</v>
      </c>
      <c r="D478" t="s">
        <v>3558</v>
      </c>
      <c r="E478" s="10" t="s">
        <v>50</v>
      </c>
      <c r="F478" s="11" t="s">
        <v>2493</v>
      </c>
      <c r="H478" s="17" t="str">
        <f>HYPERLINK("https://www.google.com/maps/?q=45.9309361110001,-66.650619444", "https://www.google.com/maps/?q=45.9309361110001,-66.650619444")</f>
        <v>https://www.google.com/maps/?q=45.9309361110001,-66.650619444</v>
      </c>
    </row>
    <row r="479" spans="1:8" ht="29" x14ac:dyDescent="0.35">
      <c r="A479" t="s">
        <v>3559</v>
      </c>
      <c r="B479" t="s">
        <v>3560</v>
      </c>
      <c r="C479" t="s">
        <v>3561</v>
      </c>
      <c r="D479" t="s">
        <v>3562</v>
      </c>
      <c r="E479" s="10" t="s">
        <v>50</v>
      </c>
      <c r="F479" s="11" t="s">
        <v>1890</v>
      </c>
      <c r="H479" s="17" t="str">
        <f>HYPERLINK("https://www.google.com/maps/?q=46.070277778,-64.7644444439999", "https://www.google.com/maps/?q=46.070277778,-64.7644444439999")</f>
        <v>https://www.google.com/maps/?q=46.070277778,-64.7644444439999</v>
      </c>
    </row>
    <row r="480" spans="1:8" ht="29" x14ac:dyDescent="0.35">
      <c r="A480" t="s">
        <v>3563</v>
      </c>
      <c r="B480" t="s">
        <v>3564</v>
      </c>
      <c r="C480" t="s">
        <v>3565</v>
      </c>
      <c r="D480" t="s">
        <v>3566</v>
      </c>
      <c r="E480" s="10" t="s">
        <v>28</v>
      </c>
      <c r="F480" s="11" t="s">
        <v>3567</v>
      </c>
      <c r="H480" s="17" t="str">
        <f>HYPERLINK("https://www.google.com/maps/?q=45.5683000000001,-67.4277", "https://www.google.com/maps/?q=45.5683000000001,-67.4277")</f>
        <v>https://www.google.com/maps/?q=45.5683000000001,-67.4277</v>
      </c>
    </row>
    <row r="481" spans="1:8" ht="29" x14ac:dyDescent="0.35">
      <c r="A481" t="s">
        <v>3568</v>
      </c>
      <c r="B481" t="s">
        <v>3569</v>
      </c>
      <c r="C481" t="s">
        <v>3570</v>
      </c>
      <c r="D481" t="s">
        <v>3571</v>
      </c>
      <c r="E481" s="10" t="s">
        <v>28</v>
      </c>
      <c r="F481" s="11" t="s">
        <v>3572</v>
      </c>
      <c r="H481" s="17" t="str">
        <f>HYPERLINK("https://www.google.com/maps/?q=45.2041611110001,-67.2751777779999", "https://www.google.com/maps/?q=45.2041611110001,-67.2751777779999")</f>
        <v>https://www.google.com/maps/?q=45.2041611110001,-67.2751777779999</v>
      </c>
    </row>
    <row r="482" spans="1:8" ht="29" x14ac:dyDescent="0.35">
      <c r="A482" t="s">
        <v>3573</v>
      </c>
      <c r="B482" t="s">
        <v>3574</v>
      </c>
      <c r="C482" t="s">
        <v>3575</v>
      </c>
      <c r="D482" t="s">
        <v>3576</v>
      </c>
      <c r="E482" s="10" t="s">
        <v>28</v>
      </c>
      <c r="F482" s="11" t="s">
        <v>3577</v>
      </c>
      <c r="H482" s="17" t="str">
        <f>HYPERLINK("https://www.google.com/maps/?q=47.3566000000001,-68.228497222", "https://www.google.com/maps/?q=47.3566000000001,-68.228497222")</f>
        <v>https://www.google.com/maps/?q=47.3566000000001,-68.228497222</v>
      </c>
    </row>
    <row r="483" spans="1:8" ht="29" x14ac:dyDescent="0.35">
      <c r="A483" t="s">
        <v>1479</v>
      </c>
      <c r="B483" t="s">
        <v>3578</v>
      </c>
      <c r="C483" t="s">
        <v>1481</v>
      </c>
      <c r="D483" t="s">
        <v>3579</v>
      </c>
      <c r="E483" s="10" t="s">
        <v>28</v>
      </c>
      <c r="F483" s="11" t="s">
        <v>1483</v>
      </c>
      <c r="H483" s="17" t="str">
        <f>HYPERLINK("https://www.google.com/maps/?q=45.9924972220001,-64.4994", "https://www.google.com/maps/?q=45.9924972220001,-64.4994")</f>
        <v>https://www.google.com/maps/?q=45.9924972220001,-64.4994</v>
      </c>
    </row>
    <row r="484" spans="1:8" ht="29" x14ac:dyDescent="0.35">
      <c r="A484" t="s">
        <v>3580</v>
      </c>
      <c r="B484" t="s">
        <v>3581</v>
      </c>
      <c r="C484" t="s">
        <v>3582</v>
      </c>
      <c r="D484" t="s">
        <v>3583</v>
      </c>
      <c r="E484" s="10" t="s">
        <v>28</v>
      </c>
      <c r="F484" s="11" t="s">
        <v>3584</v>
      </c>
      <c r="H484" s="17" t="str">
        <f>HYPERLINK("https://www.google.com/maps/?q=46.111219444,-64.825986111", "https://www.google.com/maps/?q=46.111219444,-64.825986111")</f>
        <v>https://www.google.com/maps/?q=46.111219444,-64.825986111</v>
      </c>
    </row>
    <row r="485" spans="1:8" ht="29" x14ac:dyDescent="0.35">
      <c r="A485" t="s">
        <v>3585</v>
      </c>
      <c r="B485" t="s">
        <v>3586</v>
      </c>
      <c r="C485" t="s">
        <v>3587</v>
      </c>
      <c r="D485" t="s">
        <v>3588</v>
      </c>
      <c r="E485" s="10" t="s">
        <v>28</v>
      </c>
      <c r="F485" s="11" t="s">
        <v>3589</v>
      </c>
      <c r="H485" s="17" t="str">
        <f>HYPERLINK("https://www.google.com/maps/?q=45.3059666670001,-66.0159694439999", "https://www.google.com/maps/?q=45.3059666670001,-66.0159694439999")</f>
        <v>https://www.google.com/maps/?q=45.3059666670001,-66.0159694439999</v>
      </c>
    </row>
    <row r="486" spans="1:8" ht="29" x14ac:dyDescent="0.35">
      <c r="A486" t="s">
        <v>3590</v>
      </c>
      <c r="B486" t="s">
        <v>3591</v>
      </c>
      <c r="C486" t="s">
        <v>3592</v>
      </c>
      <c r="D486" t="s">
        <v>3593</v>
      </c>
      <c r="E486" s="10" t="s">
        <v>28</v>
      </c>
      <c r="F486" s="11" t="s">
        <v>3594</v>
      </c>
      <c r="H486" s="17" t="str">
        <f>HYPERLINK("https://www.google.com/maps/?q=45.3755055560001,-65.980575", "https://www.google.com/maps/?q=45.3755055560001,-65.980575")</f>
        <v>https://www.google.com/maps/?q=45.3755055560001,-65.980575</v>
      </c>
    </row>
    <row r="487" spans="1:8" ht="29" x14ac:dyDescent="0.35">
      <c r="A487" t="s">
        <v>3595</v>
      </c>
      <c r="B487" t="s">
        <v>3596</v>
      </c>
      <c r="C487" t="s">
        <v>3597</v>
      </c>
      <c r="D487" t="s">
        <v>3598</v>
      </c>
      <c r="E487" s="10" t="s">
        <v>28</v>
      </c>
      <c r="F487" s="11" t="s">
        <v>3599</v>
      </c>
      <c r="H487" s="17" t="str">
        <f>HYPERLINK("https://www.google.com/maps/?q=46.2296250000001,-64.310822222", "https://www.google.com/maps/?q=46.2296250000001,-64.310822222")</f>
        <v>https://www.google.com/maps/?q=46.2296250000001,-64.310822222</v>
      </c>
    </row>
    <row r="488" spans="1:8" ht="29" x14ac:dyDescent="0.35">
      <c r="A488" t="s">
        <v>3600</v>
      </c>
      <c r="B488" t="s">
        <v>3601</v>
      </c>
      <c r="C488" t="s">
        <v>3602</v>
      </c>
      <c r="D488" t="s">
        <v>3603</v>
      </c>
      <c r="E488" s="10" t="s">
        <v>28</v>
      </c>
      <c r="F488" s="11" t="s">
        <v>3604</v>
      </c>
      <c r="H488" s="17" t="str">
        <f>HYPERLINK("https://www.google.com/maps/?q=45.9859666670001,-66.637605556", "https://www.google.com/maps/?q=45.9859666670001,-66.637605556")</f>
        <v>https://www.google.com/maps/?q=45.9859666670001,-66.637605556</v>
      </c>
    </row>
    <row r="489" spans="1:8" ht="29" x14ac:dyDescent="0.35">
      <c r="A489" t="s">
        <v>3605</v>
      </c>
      <c r="B489" t="s">
        <v>3606</v>
      </c>
      <c r="C489" t="s">
        <v>3607</v>
      </c>
      <c r="D489" t="s">
        <v>3608</v>
      </c>
      <c r="E489" s="10" t="s">
        <v>28</v>
      </c>
      <c r="F489" s="11" t="s">
        <v>3609</v>
      </c>
      <c r="H489" s="17" t="str">
        <f>HYPERLINK("https://www.google.com/maps/?q=45.876622222,-66.583766667", "https://www.google.com/maps/?q=45.876622222,-66.583766667")</f>
        <v>https://www.google.com/maps/?q=45.876622222,-66.583766667</v>
      </c>
    </row>
    <row r="490" spans="1:8" ht="29" x14ac:dyDescent="0.35">
      <c r="A490" t="s">
        <v>3610</v>
      </c>
      <c r="B490" t="s">
        <v>3611</v>
      </c>
      <c r="C490" t="s">
        <v>3612</v>
      </c>
      <c r="D490" t="s">
        <v>3613</v>
      </c>
      <c r="E490" s="10" t="s">
        <v>28</v>
      </c>
      <c r="F490" s="11" t="s">
        <v>3614</v>
      </c>
      <c r="H490" s="17" t="str">
        <f>HYPERLINK("https://www.google.com/maps/?q=45.952019444,-66.661877778", "https://www.google.com/maps/?q=45.952019444,-66.661877778")</f>
        <v>https://www.google.com/maps/?q=45.952019444,-66.661877778</v>
      </c>
    </row>
    <row r="491" spans="1:8" ht="29" x14ac:dyDescent="0.35">
      <c r="A491" t="s">
        <v>3615</v>
      </c>
      <c r="B491" t="s">
        <v>3616</v>
      </c>
      <c r="C491" t="s">
        <v>3617</v>
      </c>
      <c r="D491" t="s">
        <v>3618</v>
      </c>
      <c r="E491" s="10" t="s">
        <v>28</v>
      </c>
      <c r="F491" s="11" t="s">
        <v>3619</v>
      </c>
      <c r="H491" s="17" t="str">
        <f>HYPERLINK("https://www.google.com/maps/?q=46.4150638890001,-64.8278972219999", "https://www.google.com/maps/?q=46.4150638890001,-64.8278972219999")</f>
        <v>https://www.google.com/maps/?q=46.4150638890001,-64.8278972219999</v>
      </c>
    </row>
    <row r="492" spans="1:8" ht="29" x14ac:dyDescent="0.35">
      <c r="A492" t="s">
        <v>3620</v>
      </c>
      <c r="B492" t="s">
        <v>3621</v>
      </c>
      <c r="C492" t="s">
        <v>3622</v>
      </c>
      <c r="D492" t="s">
        <v>3623</v>
      </c>
      <c r="E492" s="10" t="s">
        <v>28</v>
      </c>
      <c r="F492" s="11" t="s">
        <v>3624</v>
      </c>
      <c r="H492" s="17" t="str">
        <f>HYPERLINK("https://www.google.com/maps/?q=46.0929583330001,-64.7616", "https://www.google.com/maps/?q=46.0929583330001,-64.7616")</f>
        <v>https://www.google.com/maps/?q=46.0929583330001,-64.7616</v>
      </c>
    </row>
    <row r="493" spans="1:8" ht="29" x14ac:dyDescent="0.35">
      <c r="A493" t="s">
        <v>3625</v>
      </c>
      <c r="B493" t="s">
        <v>3626</v>
      </c>
      <c r="C493" t="s">
        <v>3627</v>
      </c>
      <c r="D493" t="s">
        <v>3628</v>
      </c>
      <c r="E493" s="10" t="s">
        <v>28</v>
      </c>
      <c r="F493" s="11" t="s">
        <v>3629</v>
      </c>
      <c r="H493" s="17" t="str">
        <f>HYPERLINK("https://www.google.com/maps/?q=46.1664027780001,-64.586094444", "https://www.google.com/maps/?q=46.1664027780001,-64.586094444")</f>
        <v>https://www.google.com/maps/?q=46.1664027780001,-64.586094444</v>
      </c>
    </row>
    <row r="494" spans="1:8" ht="29" x14ac:dyDescent="0.35">
      <c r="A494" t="s">
        <v>3630</v>
      </c>
      <c r="B494" t="s">
        <v>3631</v>
      </c>
      <c r="C494" t="s">
        <v>3632</v>
      </c>
      <c r="D494" t="s">
        <v>3633</v>
      </c>
      <c r="E494" s="10" t="s">
        <v>28</v>
      </c>
      <c r="F494" s="11" t="s">
        <v>3634</v>
      </c>
      <c r="H494" s="17" t="str">
        <f>HYPERLINK("https://www.google.com/maps/?q=45.2738000000001,-66.0613999999999", "https://www.google.com/maps/?q=45.2738000000001,-66.0613999999999")</f>
        <v>https://www.google.com/maps/?q=45.2738000000001,-66.0613999999999</v>
      </c>
    </row>
    <row r="495" spans="1:8" ht="29" x14ac:dyDescent="0.35">
      <c r="A495" t="s">
        <v>3635</v>
      </c>
      <c r="B495" t="s">
        <v>3636</v>
      </c>
      <c r="C495" t="s">
        <v>3637</v>
      </c>
      <c r="D495" t="s">
        <v>3638</v>
      </c>
      <c r="E495" s="10" t="s">
        <v>28</v>
      </c>
      <c r="F495" s="11" t="s">
        <v>3639</v>
      </c>
      <c r="H495" s="17" t="str">
        <f>HYPERLINK("https://www.google.com/maps/?q=46.0025833330001,-66.758886111", "https://www.google.com/maps/?q=46.0025833330001,-66.758886111")</f>
        <v>https://www.google.com/maps/?q=46.0025833330001,-66.758886111</v>
      </c>
    </row>
    <row r="496" spans="1:8" ht="29" x14ac:dyDescent="0.35">
      <c r="A496" t="s">
        <v>3640</v>
      </c>
      <c r="B496" t="s">
        <v>3641</v>
      </c>
      <c r="C496" t="s">
        <v>3642</v>
      </c>
      <c r="D496" t="s">
        <v>3643</v>
      </c>
      <c r="E496" s="10" t="s">
        <v>28</v>
      </c>
      <c r="F496" s="11" t="s">
        <v>3644</v>
      </c>
      <c r="H496" s="17" t="str">
        <f>HYPERLINK("https://www.google.com/maps/?q=47.362202778,-68.326883333", "https://www.google.com/maps/?q=47.362202778,-68.326883333")</f>
        <v>https://www.google.com/maps/?q=47.362202778,-68.326883333</v>
      </c>
    </row>
    <row r="497" spans="1:8" ht="29" x14ac:dyDescent="0.35">
      <c r="A497" t="s">
        <v>3645</v>
      </c>
      <c r="B497" t="s">
        <v>3646</v>
      </c>
      <c r="C497" t="s">
        <v>3647</v>
      </c>
      <c r="D497" t="s">
        <v>3648</v>
      </c>
      <c r="E497" s="10" t="s">
        <v>28</v>
      </c>
      <c r="F497" s="11" t="s">
        <v>2513</v>
      </c>
      <c r="H497" s="17" t="str">
        <f>HYPERLINK("https://www.google.com/maps/?q=46.2941666670001,-64.6188888889999", "https://www.google.com/maps/?q=46.2941666670001,-64.6188888889999")</f>
        <v>https://www.google.com/maps/?q=46.2941666670001,-64.6188888889999</v>
      </c>
    </row>
    <row r="498" spans="1:8" ht="29" x14ac:dyDescent="0.35">
      <c r="A498" t="s">
        <v>3649</v>
      </c>
      <c r="B498" t="s">
        <v>3650</v>
      </c>
      <c r="C498" t="s">
        <v>3651</v>
      </c>
      <c r="D498" t="s">
        <v>3652</v>
      </c>
      <c r="E498" s="10" t="s">
        <v>28</v>
      </c>
      <c r="F498" s="11" t="s">
        <v>3653</v>
      </c>
      <c r="H498" s="17" t="str">
        <f>HYPERLINK("https://www.google.com/maps/?q=47.8263388890001,-64.600027778", "https://www.google.com/maps/?q=47.8263388890001,-64.600027778")</f>
        <v>https://www.google.com/maps/?q=47.8263388890001,-64.600027778</v>
      </c>
    </row>
    <row r="499" spans="1:8" ht="29" x14ac:dyDescent="0.35">
      <c r="A499" t="s">
        <v>3654</v>
      </c>
      <c r="B499" t="s">
        <v>3655</v>
      </c>
      <c r="C499" t="s">
        <v>3656</v>
      </c>
      <c r="D499" t="s">
        <v>3657</v>
      </c>
      <c r="E499" s="10" t="s">
        <v>28</v>
      </c>
      <c r="F499" s="11" t="s">
        <v>2602</v>
      </c>
      <c r="H499" s="17" t="str">
        <f>HYPERLINK("https://www.google.com/maps/?q=45.2896166670001,-66.0889972219999", "https://www.google.com/maps/?q=45.2896166670001,-66.0889972219999")</f>
        <v>https://www.google.com/maps/?q=45.2896166670001,-66.0889972219999</v>
      </c>
    </row>
    <row r="500" spans="1:8" ht="29" x14ac:dyDescent="0.35">
      <c r="A500" t="s">
        <v>3658</v>
      </c>
      <c r="B500" t="s">
        <v>3659</v>
      </c>
      <c r="C500" t="s">
        <v>3660</v>
      </c>
      <c r="D500" t="s">
        <v>3661</v>
      </c>
      <c r="E500" s="10" t="s">
        <v>28</v>
      </c>
      <c r="F500" s="11" t="s">
        <v>3634</v>
      </c>
      <c r="H500" s="17" t="str">
        <f>HYPERLINK("https://www.google.com/maps/?q=45.2731666670001,-66.0617999999999", "https://www.google.com/maps/?q=45.2731666670001,-66.0617999999999")</f>
        <v>https://www.google.com/maps/?q=45.2731666670001,-66.0617999999999</v>
      </c>
    </row>
    <row r="501" spans="1:8" ht="29" x14ac:dyDescent="0.35">
      <c r="A501" t="s">
        <v>3662</v>
      </c>
      <c r="B501" t="s">
        <v>3663</v>
      </c>
      <c r="C501" t="s">
        <v>3664</v>
      </c>
      <c r="D501" t="s">
        <v>3665</v>
      </c>
      <c r="E501" s="10" t="s">
        <v>28</v>
      </c>
      <c r="F501" s="11" t="s">
        <v>3666</v>
      </c>
      <c r="H501" s="17" t="str">
        <f>HYPERLINK("https://www.google.com/maps/?q=45.3498638890001,-65.542577778", "https://www.google.com/maps/?q=45.3498638890001,-65.542577778")</f>
        <v>https://www.google.com/maps/?q=45.3498638890001,-65.542577778</v>
      </c>
    </row>
    <row r="502" spans="1:8" ht="29" x14ac:dyDescent="0.35">
      <c r="A502" t="s">
        <v>3667</v>
      </c>
      <c r="B502" t="s">
        <v>3668</v>
      </c>
      <c r="C502" t="s">
        <v>3669</v>
      </c>
      <c r="D502" t="s">
        <v>3670</v>
      </c>
      <c r="E502" s="10" t="s">
        <v>28</v>
      </c>
      <c r="F502" s="11" t="s">
        <v>3671</v>
      </c>
      <c r="H502" s="17" t="str">
        <f>HYPERLINK("https://www.google.com/maps/?q=46.3974416670001,-65.180558333", "https://www.google.com/maps/?q=46.3974416670001,-65.180558333")</f>
        <v>https://www.google.com/maps/?q=46.3974416670001,-65.180558333</v>
      </c>
    </row>
    <row r="503" spans="1:8" ht="29" x14ac:dyDescent="0.35">
      <c r="A503" t="s">
        <v>3672</v>
      </c>
      <c r="B503" t="s">
        <v>3673</v>
      </c>
      <c r="C503" t="s">
        <v>3674</v>
      </c>
      <c r="D503" t="s">
        <v>3675</v>
      </c>
      <c r="E503" s="10" t="s">
        <v>28</v>
      </c>
      <c r="F503" s="11" t="s">
        <v>3676</v>
      </c>
      <c r="H503" s="17" t="str">
        <f>HYPERLINK("https://www.google.com/maps/?q=46.0990472220001,-64.730322222", "https://www.google.com/maps/?q=46.0990472220001,-64.730322222")</f>
        <v>https://www.google.com/maps/?q=46.0990472220001,-64.730322222</v>
      </c>
    </row>
    <row r="504" spans="1:8" ht="29" x14ac:dyDescent="0.35">
      <c r="A504" t="s">
        <v>3677</v>
      </c>
      <c r="B504" t="s">
        <v>3678</v>
      </c>
      <c r="C504" t="s">
        <v>3679</v>
      </c>
      <c r="D504" t="s">
        <v>3680</v>
      </c>
      <c r="E504" s="10" t="s">
        <v>28</v>
      </c>
      <c r="F504" s="11" t="s">
        <v>3681</v>
      </c>
      <c r="H504" s="17" t="str">
        <f>HYPERLINK("https://www.google.com/maps/?q=46.5891638890001,-64.991383333", "https://www.google.com/maps/?q=46.5891638890001,-64.991383333")</f>
        <v>https://www.google.com/maps/?q=46.5891638890001,-64.991383333</v>
      </c>
    </row>
    <row r="505" spans="1:8" ht="29" x14ac:dyDescent="0.35">
      <c r="A505" t="s">
        <v>3682</v>
      </c>
      <c r="B505" t="s">
        <v>3683</v>
      </c>
      <c r="C505" t="s">
        <v>3684</v>
      </c>
      <c r="D505" t="s">
        <v>3685</v>
      </c>
      <c r="E505" s="10" t="s">
        <v>28</v>
      </c>
      <c r="F505" s="11" t="s">
        <v>3686</v>
      </c>
      <c r="H505" s="17" t="str">
        <f>HYPERLINK("https://www.google.com/maps/?q=45.2508,-66.099719444", "https://www.google.com/maps/?q=45.2508,-66.099719444")</f>
        <v>https://www.google.com/maps/?q=45.2508,-66.099719444</v>
      </c>
    </row>
    <row r="506" spans="1:8" ht="29" x14ac:dyDescent="0.35">
      <c r="A506" t="s">
        <v>3687</v>
      </c>
      <c r="B506" t="s">
        <v>3688</v>
      </c>
      <c r="C506" t="s">
        <v>3689</v>
      </c>
      <c r="D506" t="s">
        <v>3690</v>
      </c>
      <c r="E506" s="10" t="s">
        <v>28</v>
      </c>
      <c r="F506" s="11" t="s">
        <v>3691</v>
      </c>
      <c r="H506" s="17" t="str">
        <f>HYPERLINK("https://www.google.com/maps/?q=46.2372083330001,-64.5097", "https://www.google.com/maps/?q=46.2372083330001,-64.5097")</f>
        <v>https://www.google.com/maps/?q=46.2372083330001,-64.5097</v>
      </c>
    </row>
    <row r="507" spans="1:8" ht="29" x14ac:dyDescent="0.35">
      <c r="A507" t="s">
        <v>3692</v>
      </c>
      <c r="B507" t="s">
        <v>3693</v>
      </c>
      <c r="C507" t="s">
        <v>3694</v>
      </c>
      <c r="D507" t="s">
        <v>3695</v>
      </c>
      <c r="E507" s="10" t="s">
        <v>28</v>
      </c>
      <c r="F507" s="11" t="s">
        <v>3696</v>
      </c>
      <c r="H507" s="17" t="str">
        <f>HYPERLINK("https://www.google.com/maps/?q=46.219291667,-64.5462527779999", "https://www.google.com/maps/?q=46.219291667,-64.5462527779999")</f>
        <v>https://www.google.com/maps/?q=46.219291667,-64.5462527779999</v>
      </c>
    </row>
    <row r="508" spans="1:8" ht="29" x14ac:dyDescent="0.35">
      <c r="A508" t="s">
        <v>3697</v>
      </c>
      <c r="B508" t="s">
        <v>3698</v>
      </c>
      <c r="C508" t="s">
        <v>3699</v>
      </c>
      <c r="D508" t="s">
        <v>3700</v>
      </c>
      <c r="E508" s="10" t="s">
        <v>28</v>
      </c>
      <c r="F508" s="11" t="s">
        <v>3701</v>
      </c>
      <c r="H508" s="17" t="str">
        <f>HYPERLINK("https://www.google.com/maps/?q=45.968808333,-66.631080556", "https://www.google.com/maps/?q=45.968808333,-66.631080556")</f>
        <v>https://www.google.com/maps/?q=45.968808333,-66.631080556</v>
      </c>
    </row>
    <row r="509" spans="1:8" ht="29" x14ac:dyDescent="0.35">
      <c r="A509" t="s">
        <v>3702</v>
      </c>
      <c r="B509" t="s">
        <v>3703</v>
      </c>
      <c r="C509" t="s">
        <v>3704</v>
      </c>
      <c r="D509" t="s">
        <v>3705</v>
      </c>
      <c r="E509" s="10" t="s">
        <v>28</v>
      </c>
      <c r="F509" s="11" t="s">
        <v>3706</v>
      </c>
      <c r="H509" s="17" t="str">
        <f>HYPERLINK("https://www.google.com/maps/?q=45.1744,-66.387797222", "https://www.google.com/maps/?q=45.1744,-66.387797222")</f>
        <v>https://www.google.com/maps/?q=45.1744,-66.387797222</v>
      </c>
    </row>
    <row r="510" spans="1:8" ht="29" x14ac:dyDescent="0.35">
      <c r="A510" t="s">
        <v>1293</v>
      </c>
      <c r="B510" t="s">
        <v>3707</v>
      </c>
      <c r="C510" t="s">
        <v>1295</v>
      </c>
      <c r="D510" t="s">
        <v>3708</v>
      </c>
      <c r="E510" s="10" t="s">
        <v>28</v>
      </c>
      <c r="F510" s="11" t="s">
        <v>1297</v>
      </c>
      <c r="H510" s="17" t="str">
        <f>HYPERLINK("https://www.google.com/maps/?q=45.337305556,-67.333330556", "https://www.google.com/maps/?q=45.337305556,-67.333330556")</f>
        <v>https://www.google.com/maps/?q=45.337305556,-67.333330556</v>
      </c>
    </row>
    <row r="511" spans="1:8" ht="29" x14ac:dyDescent="0.35">
      <c r="A511" t="s">
        <v>3709</v>
      </c>
      <c r="B511" t="s">
        <v>3710</v>
      </c>
      <c r="C511" t="s">
        <v>3711</v>
      </c>
      <c r="D511" t="s">
        <v>3712</v>
      </c>
      <c r="E511" s="10" t="s">
        <v>28</v>
      </c>
      <c r="F511" s="11" t="s">
        <v>3713</v>
      </c>
      <c r="H511" s="17" t="str">
        <f>HYPERLINK("https://www.google.com/maps/?q=45.1942000000001,-67.302608333", "https://www.google.com/maps/?q=45.1942000000001,-67.302608333")</f>
        <v>https://www.google.com/maps/?q=45.1942000000001,-67.302608333</v>
      </c>
    </row>
    <row r="512" spans="1:8" ht="29" x14ac:dyDescent="0.35">
      <c r="A512" t="s">
        <v>3714</v>
      </c>
      <c r="B512" t="s">
        <v>3715</v>
      </c>
      <c r="C512" t="s">
        <v>3716</v>
      </c>
      <c r="D512" t="s">
        <v>3717</v>
      </c>
      <c r="E512" s="10" t="s">
        <v>50</v>
      </c>
      <c r="F512" s="11" t="s">
        <v>2400</v>
      </c>
      <c r="H512" s="17" t="str">
        <f>HYPERLINK("https://www.google.com/maps/?q=45.6834000000001,-66.6473999999999", "https://www.google.com/maps/?q=45.6834000000001,-66.6473999999999")</f>
        <v>https://www.google.com/maps/?q=45.6834000000001,-66.6473999999999</v>
      </c>
    </row>
    <row r="513" spans="1:8" ht="29" x14ac:dyDescent="0.35">
      <c r="A513" t="s">
        <v>2519</v>
      </c>
      <c r="B513" t="s">
        <v>3718</v>
      </c>
      <c r="C513" t="s">
        <v>2521</v>
      </c>
      <c r="D513" t="s">
        <v>3719</v>
      </c>
      <c r="E513" s="10" t="s">
        <v>28</v>
      </c>
      <c r="F513" s="11" t="s">
        <v>1504</v>
      </c>
      <c r="H513" s="17" t="str">
        <f>HYPERLINK("https://www.google.com/maps/?q=47.3686000000001,-68.3564", "https://www.google.com/maps/?q=47.3686000000001,-68.3564")</f>
        <v>https://www.google.com/maps/?q=47.3686000000001,-68.3564</v>
      </c>
    </row>
    <row r="514" spans="1:8" ht="29" x14ac:dyDescent="0.35">
      <c r="A514" t="s">
        <v>3720</v>
      </c>
      <c r="B514" t="s">
        <v>3721</v>
      </c>
      <c r="C514" t="s">
        <v>3722</v>
      </c>
      <c r="D514" t="s">
        <v>3723</v>
      </c>
      <c r="E514" s="10" t="s">
        <v>28</v>
      </c>
      <c r="F514" s="11" t="s">
        <v>3724</v>
      </c>
      <c r="H514" s="17" t="str">
        <f>HYPERLINK("https://www.google.com/maps/?q=44.651497222,-66.8472", "https://www.google.com/maps/?q=44.651497222,-66.8472")</f>
        <v>https://www.google.com/maps/?q=44.651497222,-66.8472</v>
      </c>
    </row>
    <row r="515" spans="1:8" ht="29" x14ac:dyDescent="0.35">
      <c r="A515" t="s">
        <v>3725</v>
      </c>
      <c r="B515" t="s">
        <v>3726</v>
      </c>
      <c r="C515" t="s">
        <v>3727</v>
      </c>
      <c r="D515" t="s">
        <v>3728</v>
      </c>
      <c r="E515" s="10" t="s">
        <v>28</v>
      </c>
      <c r="F515" s="11" t="s">
        <v>3729</v>
      </c>
      <c r="H515" s="17" t="str">
        <f>HYPERLINK("https://www.google.com/maps/?q=45.1656,-66.9055999999999", "https://www.google.com/maps/?q=45.1656,-66.9055999999999")</f>
        <v>https://www.google.com/maps/?q=45.1656,-66.9055999999999</v>
      </c>
    </row>
    <row r="516" spans="1:8" ht="29" x14ac:dyDescent="0.35">
      <c r="A516" t="s">
        <v>1117</v>
      </c>
      <c r="B516" t="s">
        <v>3730</v>
      </c>
      <c r="C516" t="s">
        <v>1118</v>
      </c>
      <c r="D516" t="s">
        <v>3731</v>
      </c>
      <c r="E516" s="10" t="s">
        <v>461</v>
      </c>
      <c r="F516" s="11" t="s">
        <v>1765</v>
      </c>
      <c r="H516" s="17" t="str">
        <f>HYPERLINK("https://www.google.com/maps/?q=46.1079472220001,-64.831744444", "https://www.google.com/maps/?q=46.1079472220001,-64.831744444")</f>
        <v>https://www.google.com/maps/?q=46.1079472220001,-64.831744444</v>
      </c>
    </row>
    <row r="517" spans="1:8" ht="29" x14ac:dyDescent="0.35">
      <c r="A517" t="s">
        <v>3732</v>
      </c>
      <c r="B517" t="s">
        <v>3733</v>
      </c>
      <c r="C517" t="s">
        <v>3734</v>
      </c>
      <c r="D517" t="s">
        <v>3735</v>
      </c>
      <c r="E517" s="10" t="s">
        <v>28</v>
      </c>
      <c r="F517" s="11" t="s">
        <v>3736</v>
      </c>
      <c r="H517" s="17" t="str">
        <f>HYPERLINK("https://www.google.com/maps/?q=47.8822916670001,-66.886038889", "https://www.google.com/maps/?q=47.8822916670001,-66.886038889")</f>
        <v>https://www.google.com/maps/?q=47.8822916670001,-66.886038889</v>
      </c>
    </row>
    <row r="518" spans="1:8" ht="29" x14ac:dyDescent="0.35">
      <c r="A518" t="s">
        <v>3737</v>
      </c>
      <c r="B518" t="s">
        <v>3738</v>
      </c>
      <c r="C518" t="s">
        <v>3739</v>
      </c>
      <c r="D518" t="s">
        <v>3740</v>
      </c>
      <c r="E518" s="10" t="s">
        <v>28</v>
      </c>
      <c r="F518" s="11" t="s">
        <v>3741</v>
      </c>
      <c r="H518" s="17" t="str">
        <f>HYPERLINK("https://www.google.com/maps/?q=47.725691667,-64.730330556", "https://www.google.com/maps/?q=47.725691667,-64.730330556")</f>
        <v>https://www.google.com/maps/?q=47.725691667,-64.730330556</v>
      </c>
    </row>
    <row r="519" spans="1:8" ht="29" x14ac:dyDescent="0.35">
      <c r="A519" t="s">
        <v>3742</v>
      </c>
      <c r="B519" t="s">
        <v>3743</v>
      </c>
      <c r="C519" t="s">
        <v>3744</v>
      </c>
      <c r="D519" t="s">
        <v>3745</v>
      </c>
      <c r="E519" s="10" t="s">
        <v>28</v>
      </c>
      <c r="F519" s="11" t="s">
        <v>3746</v>
      </c>
      <c r="H519" s="17" t="str">
        <f>HYPERLINK("https://www.google.com/maps/?q=45.7056000000001,-65.5210999999999", "https://www.google.com/maps/?q=45.7056000000001,-65.5210999999999")</f>
        <v>https://www.google.com/maps/?q=45.7056000000001,-65.5210999999999</v>
      </c>
    </row>
    <row r="520" spans="1:8" ht="29" x14ac:dyDescent="0.35">
      <c r="A520" t="s">
        <v>3747</v>
      </c>
      <c r="B520" t="s">
        <v>3748</v>
      </c>
      <c r="C520" t="s">
        <v>3749</v>
      </c>
      <c r="D520" t="s">
        <v>3750</v>
      </c>
      <c r="E520" s="10" t="s">
        <v>28</v>
      </c>
      <c r="F520" s="11" t="s">
        <v>3751</v>
      </c>
      <c r="H520" s="17" t="str">
        <f>HYPERLINK("https://www.google.com/maps/?q=46.117941667,-64.827472222", "https://www.google.com/maps/?q=46.117941667,-64.827472222")</f>
        <v>https://www.google.com/maps/?q=46.117941667,-64.827472222</v>
      </c>
    </row>
    <row r="521" spans="1:8" ht="29" x14ac:dyDescent="0.35">
      <c r="A521" t="s">
        <v>3752</v>
      </c>
      <c r="B521" t="s">
        <v>3753</v>
      </c>
      <c r="C521" t="s">
        <v>3754</v>
      </c>
      <c r="D521" t="s">
        <v>3755</v>
      </c>
      <c r="E521" s="10" t="s">
        <v>28</v>
      </c>
      <c r="F521" s="11" t="s">
        <v>3756</v>
      </c>
      <c r="H521" s="17" t="str">
        <f>HYPERLINK("https://www.google.com/maps/?q=46.117641667,-64.772102778", "https://www.google.com/maps/?q=46.117641667,-64.772102778")</f>
        <v>https://www.google.com/maps/?q=46.117641667,-64.772102778</v>
      </c>
    </row>
    <row r="522" spans="1:8" ht="29" x14ac:dyDescent="0.35">
      <c r="A522" t="s">
        <v>3757</v>
      </c>
      <c r="B522" t="s">
        <v>3758</v>
      </c>
      <c r="C522" t="s">
        <v>3759</v>
      </c>
      <c r="D522" t="s">
        <v>3760</v>
      </c>
      <c r="E522" s="10" t="s">
        <v>28</v>
      </c>
      <c r="F522" s="11" t="s">
        <v>3761</v>
      </c>
      <c r="H522" s="17" t="str">
        <f>HYPERLINK("https://www.google.com/maps/?q=45.2372472220001,-67.234158333", "https://www.google.com/maps/?q=45.2372472220001,-67.234158333")</f>
        <v>https://www.google.com/maps/?q=45.2372472220001,-67.234158333</v>
      </c>
    </row>
    <row r="523" spans="1:8" ht="29" x14ac:dyDescent="0.35">
      <c r="A523" t="s">
        <v>3762</v>
      </c>
      <c r="B523" t="s">
        <v>3763</v>
      </c>
      <c r="C523" t="s">
        <v>3764</v>
      </c>
      <c r="D523" t="s">
        <v>3765</v>
      </c>
      <c r="E523" s="10" t="s">
        <v>28</v>
      </c>
      <c r="F523" s="11" t="s">
        <v>3766</v>
      </c>
      <c r="H523" s="17" t="str">
        <f>HYPERLINK("https://www.google.com/maps/?q=46.0943055560001,-64.7780333329999", "https://www.google.com/maps/?q=46.0943055560001,-64.7780333329999")</f>
        <v>https://www.google.com/maps/?q=46.0943055560001,-64.7780333329999</v>
      </c>
    </row>
    <row r="524" spans="1:8" ht="29" x14ac:dyDescent="0.35">
      <c r="A524" t="s">
        <v>3767</v>
      </c>
      <c r="B524" t="s">
        <v>3768</v>
      </c>
      <c r="C524" t="s">
        <v>3769</v>
      </c>
      <c r="D524" t="s">
        <v>3770</v>
      </c>
      <c r="E524" s="10" t="s">
        <v>28</v>
      </c>
      <c r="F524" s="11" t="s">
        <v>2503</v>
      </c>
      <c r="H524" s="17" t="str">
        <f>HYPERLINK("https://www.google.com/maps/?q=45.9219000000001,-65.8744", "https://www.google.com/maps/?q=45.9219000000001,-65.8744")</f>
        <v>https://www.google.com/maps/?q=45.9219000000001,-65.8744</v>
      </c>
    </row>
    <row r="525" spans="1:8" ht="29" x14ac:dyDescent="0.35">
      <c r="A525" t="s">
        <v>3771</v>
      </c>
      <c r="B525" t="s">
        <v>3772</v>
      </c>
      <c r="C525" t="s">
        <v>3773</v>
      </c>
      <c r="D525" t="s">
        <v>3774</v>
      </c>
      <c r="E525" s="10" t="s">
        <v>28</v>
      </c>
      <c r="F525" s="11" t="s">
        <v>3775</v>
      </c>
      <c r="H525" s="17" t="str">
        <f>HYPERLINK("https://www.google.com/maps/?q=46.8275027780001,-67.723755556", "https://www.google.com/maps/?q=46.8275027780001,-67.723755556")</f>
        <v>https://www.google.com/maps/?q=46.8275027780001,-67.723755556</v>
      </c>
    </row>
    <row r="526" spans="1:8" ht="29" x14ac:dyDescent="0.35">
      <c r="A526" t="s">
        <v>3776</v>
      </c>
      <c r="B526" t="s">
        <v>3777</v>
      </c>
      <c r="C526" t="s">
        <v>3778</v>
      </c>
      <c r="D526" t="s">
        <v>3779</v>
      </c>
      <c r="E526" s="10" t="s">
        <v>195</v>
      </c>
      <c r="F526" s="11" t="s">
        <v>3780</v>
      </c>
      <c r="H526" s="17" t="str">
        <f>HYPERLINK("https://www.google.com/maps/?q=46.1206583330001,-64.829575", "https://www.google.com/maps/?q=46.1206583330001,-64.829575")</f>
        <v>https://www.google.com/maps/?q=46.1206583330001,-64.829575</v>
      </c>
    </row>
    <row r="527" spans="1:8" ht="29" x14ac:dyDescent="0.35">
      <c r="A527" t="s">
        <v>3781</v>
      </c>
      <c r="B527" t="s">
        <v>3782</v>
      </c>
      <c r="C527" t="s">
        <v>3783</v>
      </c>
      <c r="D527" t="s">
        <v>3784</v>
      </c>
      <c r="E527" s="10" t="s">
        <v>461</v>
      </c>
      <c r="F527" s="11" t="s">
        <v>1469</v>
      </c>
      <c r="H527" s="17" t="str">
        <f>HYPERLINK("https://www.google.com/maps/?q=46.1252500000001,-64.7640888889999", "https://www.google.com/maps/?q=46.1252500000001,-64.7640888889999")</f>
        <v>https://www.google.com/maps/?q=46.1252500000001,-64.7640888889999</v>
      </c>
    </row>
    <row r="528" spans="1:8" ht="29" x14ac:dyDescent="0.35">
      <c r="A528" t="s">
        <v>3785</v>
      </c>
      <c r="B528" t="s">
        <v>3786</v>
      </c>
      <c r="C528" t="s">
        <v>3787</v>
      </c>
      <c r="D528" t="s">
        <v>3788</v>
      </c>
      <c r="E528" s="10" t="s">
        <v>50</v>
      </c>
      <c r="F528" s="11" t="s">
        <v>3789</v>
      </c>
      <c r="H528" s="17" t="str">
        <f>HYPERLINK("https://www.google.com/maps/?q=47.796113889,-64.645283333", "https://www.google.com/maps/?q=47.796113889,-64.645283333")</f>
        <v>https://www.google.com/maps/?q=47.796113889,-64.645283333</v>
      </c>
    </row>
    <row r="529" spans="1:8" ht="29" x14ac:dyDescent="0.35">
      <c r="A529" t="s">
        <v>3790</v>
      </c>
      <c r="B529" t="s">
        <v>3791</v>
      </c>
      <c r="C529" t="s">
        <v>3792</v>
      </c>
      <c r="D529" t="s">
        <v>3793</v>
      </c>
      <c r="E529" s="10" t="s">
        <v>66</v>
      </c>
      <c r="F529" s="11" t="s">
        <v>3094</v>
      </c>
      <c r="H529" s="17" t="str">
        <f>HYPERLINK("https://www.google.com/maps/?q=45.2488388890001,-66.126941667", "https://www.google.com/maps/?q=45.2488388890001,-66.126941667")</f>
        <v>https://www.google.com/maps/?q=45.2488388890001,-66.126941667</v>
      </c>
    </row>
    <row r="530" spans="1:8" ht="29" x14ac:dyDescent="0.35">
      <c r="A530" t="s">
        <v>3794</v>
      </c>
      <c r="B530" t="s">
        <v>3795</v>
      </c>
      <c r="C530" t="s">
        <v>3796</v>
      </c>
      <c r="D530" t="s">
        <v>3797</v>
      </c>
      <c r="E530" s="10" t="s">
        <v>66</v>
      </c>
      <c r="F530" s="11" t="s">
        <v>2088</v>
      </c>
      <c r="H530" s="17" t="str">
        <f>HYPERLINK("https://www.google.com/maps/?q=46.0498416670001,-64.7888", "https://www.google.com/maps/?q=46.0498416670001,-64.7888")</f>
        <v>https://www.google.com/maps/?q=46.0498416670001,-64.7888</v>
      </c>
    </row>
    <row r="531" spans="1:8" ht="29" x14ac:dyDescent="0.35">
      <c r="A531" t="s">
        <v>3798</v>
      </c>
      <c r="B531" t="s">
        <v>3799</v>
      </c>
      <c r="C531" t="s">
        <v>3800</v>
      </c>
      <c r="D531" t="s">
        <v>3801</v>
      </c>
      <c r="E531" s="10" t="s">
        <v>66</v>
      </c>
      <c r="F531" s="11" t="s">
        <v>3802</v>
      </c>
      <c r="H531" s="17" t="str">
        <f>HYPERLINK("https://www.google.com/maps/?q=46.1288000000001,-63.827472222", "https://www.google.com/maps/?q=46.1288000000001,-63.827472222")</f>
        <v>https://www.google.com/maps/?q=46.1288000000001,-63.827472222</v>
      </c>
    </row>
    <row r="532" spans="1:8" ht="29" x14ac:dyDescent="0.35">
      <c r="A532" t="s">
        <v>3803</v>
      </c>
      <c r="B532" t="s">
        <v>3804</v>
      </c>
      <c r="C532" t="s">
        <v>3805</v>
      </c>
      <c r="D532" t="s">
        <v>3806</v>
      </c>
      <c r="E532" s="10" t="s">
        <v>17</v>
      </c>
      <c r="F532" s="11" t="s">
        <v>3681</v>
      </c>
      <c r="H532" s="17" t="str">
        <f>HYPERLINK("https://www.google.com/maps/?q=46.5891,-64.9913861109999", "https://www.google.com/maps/?q=46.5891,-64.9913861109999")</f>
        <v>https://www.google.com/maps/?q=46.5891,-64.9913861109999</v>
      </c>
    </row>
    <row r="533" spans="1:8" ht="29" x14ac:dyDescent="0.35">
      <c r="A533" t="s">
        <v>3807</v>
      </c>
      <c r="B533" t="s">
        <v>3808</v>
      </c>
      <c r="C533" t="s">
        <v>3809</v>
      </c>
      <c r="D533" t="s">
        <v>3810</v>
      </c>
      <c r="E533" s="10" t="s">
        <v>17</v>
      </c>
      <c r="F533" s="11" t="s">
        <v>3811</v>
      </c>
      <c r="H533" s="17" t="str">
        <f>HYPERLINK("https://www.google.com/maps/?q=46.4974444440001,-64.7806666669999", "https://www.google.com/maps/?q=46.4974444440001,-64.7806666669999")</f>
        <v>https://www.google.com/maps/?q=46.4974444440001,-64.7806666669999</v>
      </c>
    </row>
    <row r="534" spans="1:8" ht="29" x14ac:dyDescent="0.35">
      <c r="A534" t="s">
        <v>3812</v>
      </c>
      <c r="B534" t="s">
        <v>3813</v>
      </c>
      <c r="C534" t="s">
        <v>3814</v>
      </c>
      <c r="D534" t="s">
        <v>3815</v>
      </c>
      <c r="E534" s="10" t="s">
        <v>17</v>
      </c>
      <c r="F534" s="11" t="s">
        <v>3217</v>
      </c>
      <c r="H534" s="17" t="str">
        <f>HYPERLINK("https://www.google.com/maps/?q=46.6650000000001,-64.8428", "https://www.google.com/maps/?q=46.6650000000001,-64.8428")</f>
        <v>https://www.google.com/maps/?q=46.6650000000001,-64.8428</v>
      </c>
    </row>
    <row r="535" spans="1:8" ht="29" x14ac:dyDescent="0.35">
      <c r="A535" t="s">
        <v>3816</v>
      </c>
      <c r="B535" t="s">
        <v>3817</v>
      </c>
      <c r="C535" t="s">
        <v>3818</v>
      </c>
      <c r="D535" t="s">
        <v>3819</v>
      </c>
      <c r="E535" s="10" t="s">
        <v>50</v>
      </c>
      <c r="F535" s="11" t="s">
        <v>3820</v>
      </c>
      <c r="H535" s="17" t="str">
        <f>HYPERLINK("https://www.google.com/maps/?q=46.022286111,-66.6298305559999", "https://www.google.com/maps/?q=46.022286111,-66.6298305559999")</f>
        <v>https://www.google.com/maps/?q=46.022286111,-66.6298305559999</v>
      </c>
    </row>
    <row r="536" spans="1:8" ht="29" x14ac:dyDescent="0.35">
      <c r="A536" t="s">
        <v>3821</v>
      </c>
      <c r="B536" t="s">
        <v>3822</v>
      </c>
      <c r="C536" t="s">
        <v>3823</v>
      </c>
      <c r="D536" t="s">
        <v>3824</v>
      </c>
      <c r="E536" s="10" t="s">
        <v>50</v>
      </c>
      <c r="F536" s="11" t="s">
        <v>3825</v>
      </c>
      <c r="H536" s="17" t="str">
        <f>HYPERLINK("https://www.google.com/maps/?q=46.652288889,-67.700533333", "https://www.google.com/maps/?q=46.652288889,-67.700533333")</f>
        <v>https://www.google.com/maps/?q=46.652288889,-67.700533333</v>
      </c>
    </row>
    <row r="537" spans="1:8" ht="29" x14ac:dyDescent="0.35">
      <c r="A537" t="s">
        <v>3826</v>
      </c>
      <c r="B537" t="s">
        <v>3827</v>
      </c>
      <c r="C537" t="s">
        <v>3828</v>
      </c>
      <c r="D537" t="s">
        <v>3829</v>
      </c>
      <c r="E537" s="10" t="s">
        <v>50</v>
      </c>
      <c r="F537" s="11" t="s">
        <v>3830</v>
      </c>
      <c r="H537" s="17" t="str">
        <f>HYPERLINK("https://www.google.com/maps/?q=47.0263416670001,-65.4658249999999", "https://www.google.com/maps/?q=47.0263416670001,-65.4658249999999")</f>
        <v>https://www.google.com/maps/?q=47.0263416670001,-65.4658249999999</v>
      </c>
    </row>
    <row r="538" spans="1:8" ht="29" x14ac:dyDescent="0.35">
      <c r="A538" t="s">
        <v>3831</v>
      </c>
      <c r="B538" t="s">
        <v>3832</v>
      </c>
      <c r="C538" t="s">
        <v>3833</v>
      </c>
      <c r="D538" t="s">
        <v>3834</v>
      </c>
      <c r="E538" s="10" t="s">
        <v>28</v>
      </c>
      <c r="F538" s="11" t="s">
        <v>2657</v>
      </c>
      <c r="H538" s="17" t="str">
        <f>HYPERLINK("https://www.google.com/maps/?q=45.905966667,-66.701608333", "https://www.google.com/maps/?q=45.905966667,-66.701608333")</f>
        <v>https://www.google.com/maps/?q=45.905966667,-66.701608333</v>
      </c>
    </row>
    <row r="539" spans="1:8" ht="29" x14ac:dyDescent="0.35">
      <c r="A539" t="s">
        <v>3835</v>
      </c>
      <c r="B539" t="s">
        <v>3836</v>
      </c>
      <c r="C539" t="s">
        <v>3837</v>
      </c>
      <c r="D539" t="s">
        <v>3838</v>
      </c>
      <c r="E539" s="10" t="s">
        <v>28</v>
      </c>
      <c r="F539" s="11" t="s">
        <v>3839</v>
      </c>
      <c r="H539" s="17" t="str">
        <f>HYPERLINK("https://www.google.com/maps/?q=45.724158333,-65.498063889", "https://www.google.com/maps/?q=45.724158333,-65.498063889")</f>
        <v>https://www.google.com/maps/?q=45.724158333,-65.498063889</v>
      </c>
    </row>
    <row r="540" spans="1:8" ht="29" x14ac:dyDescent="0.35">
      <c r="A540" t="s">
        <v>2569</v>
      </c>
      <c r="B540" t="s">
        <v>3840</v>
      </c>
      <c r="C540" t="s">
        <v>2571</v>
      </c>
      <c r="D540" t="s">
        <v>3841</v>
      </c>
      <c r="E540" s="10" t="s">
        <v>28</v>
      </c>
      <c r="F540" s="11" t="s">
        <v>2573</v>
      </c>
      <c r="H540" s="17" t="str">
        <f>HYPERLINK("https://www.google.com/maps/?q=45.3125000000001,-65.965555556", "https://www.google.com/maps/?q=45.3125000000001,-65.965555556")</f>
        <v>https://www.google.com/maps/?q=45.3125000000001,-65.965555556</v>
      </c>
    </row>
    <row r="541" spans="1:8" ht="29" x14ac:dyDescent="0.35">
      <c r="A541" t="s">
        <v>3842</v>
      </c>
      <c r="B541" t="s">
        <v>3843</v>
      </c>
      <c r="C541" t="s">
        <v>3844</v>
      </c>
      <c r="D541" t="s">
        <v>3845</v>
      </c>
      <c r="E541" s="10" t="s">
        <v>66</v>
      </c>
      <c r="F541" s="11" t="s">
        <v>3846</v>
      </c>
      <c r="H541" s="17" t="str">
        <f>HYPERLINK("https://www.google.com/maps/?q=45.900211111,-66.759030556", "https://www.google.com/maps/?q=45.900211111,-66.759030556")</f>
        <v>https://www.google.com/maps/?q=45.900211111,-66.759030556</v>
      </c>
    </row>
    <row r="542" spans="1:8" ht="29" x14ac:dyDescent="0.35">
      <c r="A542" t="s">
        <v>3847</v>
      </c>
      <c r="B542" t="s">
        <v>3848</v>
      </c>
      <c r="C542" t="s">
        <v>3849</v>
      </c>
      <c r="D542" t="s">
        <v>3850</v>
      </c>
      <c r="E542" s="10" t="s">
        <v>1109</v>
      </c>
      <c r="F542" s="11" t="s">
        <v>3851</v>
      </c>
      <c r="H542" s="17" t="str">
        <f>HYPERLINK("https://www.google.com/maps/?q=45.721944444,-65.5136111109999", "https://www.google.com/maps/?q=45.721944444,-65.5136111109999")</f>
        <v>https://www.google.com/maps/?q=45.721944444,-65.5136111109999</v>
      </c>
    </row>
    <row r="543" spans="1:8" ht="29" x14ac:dyDescent="0.35">
      <c r="A543" t="s">
        <v>3852</v>
      </c>
      <c r="B543" t="s">
        <v>3853</v>
      </c>
      <c r="C543" t="s">
        <v>3854</v>
      </c>
      <c r="D543" t="s">
        <v>3855</v>
      </c>
      <c r="E543" s="10" t="s">
        <v>28</v>
      </c>
      <c r="F543" s="11" t="s">
        <v>3856</v>
      </c>
      <c r="H543" s="17" t="str">
        <f>HYPERLINK("https://www.google.com/maps/?q=46.0989361110001,-64.8181888889999", "https://www.google.com/maps/?q=46.0989361110001,-64.8181888889999")</f>
        <v>https://www.google.com/maps/?q=46.0989361110001,-64.8181888889999</v>
      </c>
    </row>
    <row r="544" spans="1:8" ht="29" x14ac:dyDescent="0.35">
      <c r="A544" t="s">
        <v>3857</v>
      </c>
      <c r="B544" t="s">
        <v>3858</v>
      </c>
      <c r="C544" t="s">
        <v>3859</v>
      </c>
      <c r="D544" t="s">
        <v>3860</v>
      </c>
      <c r="E544" s="10" t="s">
        <v>28</v>
      </c>
      <c r="F544" s="11" t="s">
        <v>3861</v>
      </c>
      <c r="H544" s="17" t="str">
        <f>HYPERLINK("https://www.google.com/maps/?q=46.1088083330001,-64.823119444", "https://www.google.com/maps/?q=46.1088083330001,-64.823119444")</f>
        <v>https://www.google.com/maps/?q=46.1088083330001,-64.823119444</v>
      </c>
    </row>
    <row r="545" spans="1:8" ht="29" x14ac:dyDescent="0.35">
      <c r="A545" t="s">
        <v>3862</v>
      </c>
      <c r="B545" t="s">
        <v>3863</v>
      </c>
      <c r="C545" t="s">
        <v>3864</v>
      </c>
      <c r="D545" t="s">
        <v>3865</v>
      </c>
      <c r="E545" s="10" t="s">
        <v>28</v>
      </c>
      <c r="F545" s="11" t="s">
        <v>1818</v>
      </c>
      <c r="H545" s="17" t="str">
        <f>HYPERLINK("https://www.google.com/maps/?q=47.687219444,-65.4308305559999", "https://www.google.com/maps/?q=47.687219444,-65.4308305559999")</f>
        <v>https://www.google.com/maps/?q=47.687219444,-65.4308305559999</v>
      </c>
    </row>
    <row r="546" spans="1:8" ht="29" x14ac:dyDescent="0.35">
      <c r="A546" t="s">
        <v>3866</v>
      </c>
      <c r="B546" t="s">
        <v>3867</v>
      </c>
      <c r="C546" t="s">
        <v>3868</v>
      </c>
      <c r="D546" t="s">
        <v>3869</v>
      </c>
      <c r="E546" s="10" t="s">
        <v>44</v>
      </c>
      <c r="F546" s="11" t="s">
        <v>3870</v>
      </c>
      <c r="H546" s="17" t="str">
        <f>HYPERLINK("https://www.google.com/maps/?q=46.0022361110001,-67.184963889", "https://www.google.com/maps/?q=46.0022361110001,-67.184963889")</f>
        <v>https://www.google.com/maps/?q=46.0022361110001,-67.184963889</v>
      </c>
    </row>
    <row r="547" spans="1:8" ht="29" x14ac:dyDescent="0.35">
      <c r="A547" t="s">
        <v>3871</v>
      </c>
      <c r="B547" t="s">
        <v>3872</v>
      </c>
      <c r="C547" t="s">
        <v>3873</v>
      </c>
      <c r="D547" t="s">
        <v>3874</v>
      </c>
      <c r="E547" s="10" t="s">
        <v>44</v>
      </c>
      <c r="F547" s="11" t="s">
        <v>3875</v>
      </c>
      <c r="H547" s="17" t="str">
        <f>HYPERLINK("https://www.google.com/maps/?q=45.8474305560001,-65.4762388889999", "https://www.google.com/maps/?q=45.8474305560001,-65.4762388889999")</f>
        <v>https://www.google.com/maps/?q=45.8474305560001,-65.4762388889999</v>
      </c>
    </row>
    <row r="548" spans="1:8" ht="29" x14ac:dyDescent="0.35">
      <c r="A548" t="s">
        <v>3876</v>
      </c>
      <c r="B548" t="s">
        <v>3877</v>
      </c>
      <c r="C548" t="s">
        <v>3878</v>
      </c>
      <c r="D548" t="s">
        <v>3879</v>
      </c>
      <c r="E548" s="10" t="s">
        <v>28</v>
      </c>
      <c r="F548" s="11" t="s">
        <v>1292</v>
      </c>
      <c r="H548" s="17" t="str">
        <f>HYPERLINK("https://www.google.com/maps/?q=46.920797222,-67.369397222", "https://www.google.com/maps/?q=46.920797222,-67.369397222")</f>
        <v>https://www.google.com/maps/?q=46.920797222,-67.369397222</v>
      </c>
    </row>
    <row r="549" spans="1:8" ht="29" x14ac:dyDescent="0.35">
      <c r="A549" t="s">
        <v>3880</v>
      </c>
      <c r="B549" t="s">
        <v>3881</v>
      </c>
      <c r="C549" t="s">
        <v>3882</v>
      </c>
      <c r="D549" t="s">
        <v>3883</v>
      </c>
      <c r="E549" s="10" t="s">
        <v>28</v>
      </c>
      <c r="F549" s="11" t="s">
        <v>3884</v>
      </c>
      <c r="H549" s="17" t="str">
        <f>HYPERLINK("https://www.google.com/maps/?q=45.841627778,-66.4696777779999", "https://www.google.com/maps/?q=45.841627778,-66.4696777779999")</f>
        <v>https://www.google.com/maps/?q=45.841627778,-66.4696777779999</v>
      </c>
    </row>
    <row r="550" spans="1:8" ht="29" x14ac:dyDescent="0.35">
      <c r="A550" t="s">
        <v>3885</v>
      </c>
      <c r="B550" t="s">
        <v>3886</v>
      </c>
      <c r="C550" t="s">
        <v>3887</v>
      </c>
      <c r="D550" t="s">
        <v>3888</v>
      </c>
      <c r="E550" s="10" t="s">
        <v>44</v>
      </c>
      <c r="F550" s="11" t="s">
        <v>3889</v>
      </c>
      <c r="H550" s="17" t="str">
        <f>HYPERLINK("https://www.google.com/maps/?q=45.334416667,-65.709552778", "https://www.google.com/maps/?q=45.334416667,-65.709552778")</f>
        <v>https://www.google.com/maps/?q=45.334416667,-65.709552778</v>
      </c>
    </row>
    <row r="551" spans="1:8" ht="29" x14ac:dyDescent="0.35">
      <c r="A551" t="s">
        <v>3890</v>
      </c>
      <c r="B551" t="s">
        <v>3891</v>
      </c>
      <c r="C551" t="s">
        <v>3892</v>
      </c>
      <c r="D551" t="s">
        <v>3893</v>
      </c>
      <c r="E551" s="10" t="s">
        <v>28</v>
      </c>
      <c r="F551" s="11" t="s">
        <v>3609</v>
      </c>
      <c r="H551" s="17" t="str">
        <f>HYPERLINK("https://www.google.com/maps/?q=45.885,-66.5771", "https://www.google.com/maps/?q=45.885,-66.5771")</f>
        <v>https://www.google.com/maps/?q=45.885,-66.5771</v>
      </c>
    </row>
    <row r="552" spans="1:8" ht="29" x14ac:dyDescent="0.35">
      <c r="A552" t="s">
        <v>3894</v>
      </c>
      <c r="B552" t="s">
        <v>3895</v>
      </c>
      <c r="C552" t="s">
        <v>3896</v>
      </c>
      <c r="D552" t="s">
        <v>3897</v>
      </c>
      <c r="E552" s="10" t="s">
        <v>44</v>
      </c>
      <c r="F552" s="11" t="s">
        <v>3898</v>
      </c>
      <c r="H552" s="17" t="str">
        <f>HYPERLINK("https://www.google.com/maps/?q=45.7903000000001,-65.5492305559999", "https://www.google.com/maps/?q=45.7903000000001,-65.5492305559999")</f>
        <v>https://www.google.com/maps/?q=45.7903000000001,-65.5492305559999</v>
      </c>
    </row>
    <row r="553" spans="1:8" ht="29" x14ac:dyDescent="0.35">
      <c r="A553" t="s">
        <v>3899</v>
      </c>
      <c r="B553" t="s">
        <v>3900</v>
      </c>
      <c r="C553" t="s">
        <v>3901</v>
      </c>
      <c r="D553" t="s">
        <v>3902</v>
      </c>
      <c r="E553" s="10" t="s">
        <v>1109</v>
      </c>
      <c r="F553" s="11" t="s">
        <v>3903</v>
      </c>
      <c r="H553" s="17" t="str">
        <f>HYPERLINK("https://www.google.com/maps/?q=46.7280555560001,-65.424444444", "https://www.google.com/maps/?q=46.7280555560001,-65.424444444")</f>
        <v>https://www.google.com/maps/?q=46.7280555560001,-65.424444444</v>
      </c>
    </row>
    <row r="554" spans="1:8" ht="29" x14ac:dyDescent="0.35">
      <c r="A554" t="s">
        <v>3904</v>
      </c>
      <c r="B554" t="s">
        <v>3905</v>
      </c>
      <c r="C554" t="s">
        <v>3906</v>
      </c>
      <c r="D554" t="s">
        <v>3907</v>
      </c>
      <c r="E554" s="10" t="s">
        <v>1109</v>
      </c>
      <c r="F554" s="11" t="s">
        <v>3908</v>
      </c>
      <c r="H554" s="17" t="str">
        <f>HYPERLINK("https://www.google.com/maps/?q=46.159805556,-66.072138889", "https://www.google.com/maps/?q=46.159805556,-66.072138889")</f>
        <v>https://www.google.com/maps/?q=46.159805556,-66.072138889</v>
      </c>
    </row>
    <row r="555" spans="1:8" ht="29" x14ac:dyDescent="0.35">
      <c r="A555" t="s">
        <v>3909</v>
      </c>
      <c r="B555" t="s">
        <v>3910</v>
      </c>
      <c r="C555" t="s">
        <v>3911</v>
      </c>
      <c r="D555" t="s">
        <v>3912</v>
      </c>
      <c r="E555" s="10" t="s">
        <v>1109</v>
      </c>
      <c r="F555" s="11" t="s">
        <v>3913</v>
      </c>
      <c r="H555" s="17" t="str">
        <f>HYPERLINK("https://www.google.com/maps/?q=45.258055556,-66.098333333", "https://www.google.com/maps/?q=45.258055556,-66.098333333")</f>
        <v>https://www.google.com/maps/?q=45.258055556,-66.098333333</v>
      </c>
    </row>
    <row r="556" spans="1:8" ht="29" x14ac:dyDescent="0.35">
      <c r="A556" t="s">
        <v>3914</v>
      </c>
      <c r="B556" t="s">
        <v>3915</v>
      </c>
      <c r="C556" t="s">
        <v>3916</v>
      </c>
      <c r="D556" t="s">
        <v>3917</v>
      </c>
      <c r="E556" s="10" t="s">
        <v>44</v>
      </c>
      <c r="F556" s="11" t="s">
        <v>3918</v>
      </c>
      <c r="H556" s="17" t="str">
        <f>HYPERLINK("https://www.google.com/maps/?q=46.6633194440001,-64.8765194439999", "https://www.google.com/maps/?q=46.6633194440001,-64.8765194439999")</f>
        <v>https://www.google.com/maps/?q=46.6633194440001,-64.8765194439999</v>
      </c>
    </row>
    <row r="557" spans="1:8" ht="29" x14ac:dyDescent="0.35">
      <c r="A557" t="s">
        <v>3919</v>
      </c>
      <c r="B557" t="s">
        <v>3920</v>
      </c>
      <c r="C557" t="s">
        <v>3921</v>
      </c>
      <c r="D557" t="s">
        <v>3922</v>
      </c>
      <c r="E557" s="10" t="s">
        <v>44</v>
      </c>
      <c r="F557" s="11" t="s">
        <v>2932</v>
      </c>
      <c r="H557" s="17" t="str">
        <f>HYPERLINK("https://www.google.com/maps/?q=47.5523027780001,-65.097411111", "https://www.google.com/maps/?q=47.5523027780001,-65.097411111")</f>
        <v>https://www.google.com/maps/?q=47.5523027780001,-65.097411111</v>
      </c>
    </row>
    <row r="558" spans="1:8" ht="29" x14ac:dyDescent="0.35">
      <c r="A558" t="s">
        <v>3923</v>
      </c>
      <c r="B558" t="s">
        <v>2703</v>
      </c>
      <c r="C558" t="s">
        <v>3924</v>
      </c>
      <c r="D558" t="s">
        <v>2705</v>
      </c>
      <c r="E558" s="10" t="s">
        <v>50</v>
      </c>
      <c r="F558" s="11" t="s">
        <v>2706</v>
      </c>
      <c r="H558" s="17" t="str">
        <f>HYPERLINK("https://www.google.com/maps/?q=45.3330611110001,-66.016938889", "https://www.google.com/maps/?q=45.3330611110001,-66.016938889")</f>
        <v>https://www.google.com/maps/?q=45.3330611110001,-66.016938889</v>
      </c>
    </row>
    <row r="559" spans="1:8" ht="29" x14ac:dyDescent="0.35">
      <c r="A559" t="s">
        <v>3925</v>
      </c>
      <c r="B559" t="s">
        <v>3926</v>
      </c>
      <c r="C559" t="s">
        <v>3927</v>
      </c>
      <c r="D559" t="s">
        <v>3928</v>
      </c>
      <c r="E559" s="10" t="s">
        <v>50</v>
      </c>
      <c r="F559" s="11" t="s">
        <v>2541</v>
      </c>
      <c r="H559" s="17" t="str">
        <f>HYPERLINK("https://www.google.com/maps/?q=46.045083333,-65.530805556", "https://www.google.com/maps/?q=46.045083333,-65.530805556")</f>
        <v>https://www.google.com/maps/?q=46.045083333,-65.530805556</v>
      </c>
    </row>
    <row r="560" spans="1:8" ht="29" x14ac:dyDescent="0.35">
      <c r="A560" t="s">
        <v>3929</v>
      </c>
      <c r="B560" t="s">
        <v>3930</v>
      </c>
      <c r="C560" t="s">
        <v>3931</v>
      </c>
      <c r="D560" t="s">
        <v>3932</v>
      </c>
      <c r="E560" s="10" t="s">
        <v>50</v>
      </c>
      <c r="F560" s="11" t="s">
        <v>1966</v>
      </c>
      <c r="H560" s="17" t="str">
        <f>HYPERLINK("https://www.google.com/maps/?q=45.8064527780001,-65.3393", "https://www.google.com/maps/?q=45.8064527780001,-65.3393")</f>
        <v>https://www.google.com/maps/?q=45.8064527780001,-65.3393</v>
      </c>
    </row>
    <row r="561" spans="1:8" ht="29" x14ac:dyDescent="0.35">
      <c r="A561" t="s">
        <v>3933</v>
      </c>
      <c r="B561" t="s">
        <v>3934</v>
      </c>
      <c r="C561" t="s">
        <v>3935</v>
      </c>
      <c r="D561" t="s">
        <v>3936</v>
      </c>
      <c r="E561" s="10" t="s">
        <v>50</v>
      </c>
      <c r="F561" s="11" t="s">
        <v>2801</v>
      </c>
      <c r="H561" s="17" t="str">
        <f>HYPERLINK("https://www.google.com/maps/?q=46.0651222220001,-64.0869499999999", "https://www.google.com/maps/?q=46.0651222220001,-64.0869499999999")</f>
        <v>https://www.google.com/maps/?q=46.0651222220001,-64.0869499999999</v>
      </c>
    </row>
    <row r="562" spans="1:8" ht="29" x14ac:dyDescent="0.35">
      <c r="A562" t="s">
        <v>3937</v>
      </c>
      <c r="B562" t="s">
        <v>3938</v>
      </c>
      <c r="C562" t="s">
        <v>3939</v>
      </c>
      <c r="D562" t="s">
        <v>3940</v>
      </c>
      <c r="E562" s="10" t="s">
        <v>50</v>
      </c>
      <c r="F562" s="11" t="s">
        <v>3706</v>
      </c>
      <c r="H562" s="17" t="str">
        <f>HYPERLINK("https://www.google.com/maps/?q=45.1745472220001,-66.3876749999999", "https://www.google.com/maps/?q=45.1745472220001,-66.3876749999999")</f>
        <v>https://www.google.com/maps/?q=45.1745472220001,-66.3876749999999</v>
      </c>
    </row>
    <row r="563" spans="1:8" ht="29" x14ac:dyDescent="0.35">
      <c r="A563" t="s">
        <v>3941</v>
      </c>
      <c r="B563" t="s">
        <v>3942</v>
      </c>
      <c r="C563" t="s">
        <v>3943</v>
      </c>
      <c r="D563" t="s">
        <v>3944</v>
      </c>
      <c r="E563" s="10" t="s">
        <v>50</v>
      </c>
      <c r="F563" s="11" t="s">
        <v>3945</v>
      </c>
      <c r="H563" s="17" t="str">
        <f>HYPERLINK("https://www.google.com/maps/?q=46.284444444,-67.534777778", "https://www.google.com/maps/?q=46.284444444,-67.534777778")</f>
        <v>https://www.google.com/maps/?q=46.284444444,-67.534777778</v>
      </c>
    </row>
    <row r="564" spans="1:8" ht="29" x14ac:dyDescent="0.35">
      <c r="A564" t="s">
        <v>3946</v>
      </c>
      <c r="B564" t="s">
        <v>3947</v>
      </c>
      <c r="C564" t="s">
        <v>3948</v>
      </c>
      <c r="D564" t="s">
        <v>3949</v>
      </c>
      <c r="E564" s="10" t="s">
        <v>50</v>
      </c>
      <c r="F564" s="11" t="s">
        <v>1946</v>
      </c>
      <c r="H564" s="17" t="str">
        <f>HYPERLINK("https://www.google.com/maps/?q=47.006186111,-65.5867666669999", "https://www.google.com/maps/?q=47.006186111,-65.5867666669999")</f>
        <v>https://www.google.com/maps/?q=47.006186111,-65.5867666669999</v>
      </c>
    </row>
    <row r="565" spans="1:8" ht="29" x14ac:dyDescent="0.35">
      <c r="A565" t="s">
        <v>3950</v>
      </c>
      <c r="B565" t="s">
        <v>3951</v>
      </c>
      <c r="C565" t="s">
        <v>3952</v>
      </c>
      <c r="D565" t="s">
        <v>3953</v>
      </c>
      <c r="E565" s="10" t="s">
        <v>50</v>
      </c>
      <c r="F565" s="11" t="s">
        <v>3954</v>
      </c>
      <c r="H565" s="17" t="str">
        <f>HYPERLINK("https://www.google.com/maps/?q=46.0965055560001,-64.793477778", "https://www.google.com/maps/?q=46.0965055560001,-64.793477778")</f>
        <v>https://www.google.com/maps/?q=46.0965055560001,-64.793477778</v>
      </c>
    </row>
    <row r="566" spans="1:8" ht="29" x14ac:dyDescent="0.35">
      <c r="A566" t="s">
        <v>3955</v>
      </c>
      <c r="B566" t="s">
        <v>3956</v>
      </c>
      <c r="C566" t="s">
        <v>3957</v>
      </c>
      <c r="D566" t="s">
        <v>3958</v>
      </c>
      <c r="E566" s="10" t="s">
        <v>28</v>
      </c>
      <c r="F566" s="11" t="s">
        <v>3959</v>
      </c>
      <c r="H566" s="17" t="str">
        <f>HYPERLINK("https://www.google.com/maps/?q=45.9613000000001,-66.641197222", "https://www.google.com/maps/?q=45.9613000000001,-66.641197222")</f>
        <v>https://www.google.com/maps/?q=45.9613000000001,-66.641197222</v>
      </c>
    </row>
    <row r="567" spans="1:8" ht="29" x14ac:dyDescent="0.35">
      <c r="A567" t="s">
        <v>3960</v>
      </c>
      <c r="B567" t="s">
        <v>3961</v>
      </c>
      <c r="C567" t="s">
        <v>3962</v>
      </c>
      <c r="D567" t="s">
        <v>3963</v>
      </c>
      <c r="E567" s="10" t="s">
        <v>28</v>
      </c>
      <c r="F567" s="11" t="s">
        <v>3964</v>
      </c>
      <c r="H567" s="17" t="str">
        <f>HYPERLINK("https://www.google.com/maps/?q=47.631638889,-65.668244444", "https://www.google.com/maps/?q=47.631638889,-65.668244444")</f>
        <v>https://www.google.com/maps/?q=47.631638889,-65.668244444</v>
      </c>
    </row>
    <row r="568" spans="1:8" ht="29" x14ac:dyDescent="0.35">
      <c r="A568" t="s">
        <v>3965</v>
      </c>
      <c r="B568" t="s">
        <v>3966</v>
      </c>
      <c r="C568" t="s">
        <v>3967</v>
      </c>
      <c r="D568" t="s">
        <v>3968</v>
      </c>
      <c r="E568" s="10" t="s">
        <v>28</v>
      </c>
      <c r="F568" s="11" t="s">
        <v>3969</v>
      </c>
      <c r="H568" s="17" t="str">
        <f>HYPERLINK("https://www.google.com/maps/?q=45.7850861110001,-66.149591667", "https://www.google.com/maps/?q=45.7850861110001,-66.149591667")</f>
        <v>https://www.google.com/maps/?q=45.7850861110001,-66.149591667</v>
      </c>
    </row>
    <row r="569" spans="1:8" ht="29" x14ac:dyDescent="0.35">
      <c r="A569" t="s">
        <v>3970</v>
      </c>
      <c r="B569" t="s">
        <v>3971</v>
      </c>
      <c r="C569" t="s">
        <v>3972</v>
      </c>
      <c r="D569" t="s">
        <v>3973</v>
      </c>
      <c r="E569" s="10" t="s">
        <v>28</v>
      </c>
      <c r="F569" s="11" t="s">
        <v>3974</v>
      </c>
      <c r="H569" s="17" t="str">
        <f>HYPERLINK("https://www.google.com/maps/?q=45.946611111,-66.6382833329999", "https://www.google.com/maps/?q=45.946611111,-66.6382833329999")</f>
        <v>https://www.google.com/maps/?q=45.946611111,-66.6382833329999</v>
      </c>
    </row>
    <row r="570" spans="1:8" ht="29" x14ac:dyDescent="0.35">
      <c r="A570" t="s">
        <v>3975</v>
      </c>
      <c r="B570" t="s">
        <v>3976</v>
      </c>
      <c r="C570" t="s">
        <v>3977</v>
      </c>
      <c r="D570" t="s">
        <v>3978</v>
      </c>
      <c r="E570" s="10" t="s">
        <v>28</v>
      </c>
      <c r="F570" s="11" t="s">
        <v>3979</v>
      </c>
      <c r="H570" s="17" t="str">
        <f>HYPERLINK("https://www.google.com/maps/?q=47.9697972220001,-66.3402", "https://www.google.com/maps/?q=47.9697972220001,-66.3402")</f>
        <v>https://www.google.com/maps/?q=47.9697972220001,-66.3402</v>
      </c>
    </row>
    <row r="571" spans="1:8" ht="29" x14ac:dyDescent="0.35">
      <c r="A571" t="s">
        <v>3980</v>
      </c>
      <c r="B571" t="s">
        <v>3981</v>
      </c>
      <c r="C571" t="s">
        <v>3982</v>
      </c>
      <c r="D571" t="s">
        <v>3983</v>
      </c>
      <c r="E571" s="10" t="s">
        <v>28</v>
      </c>
      <c r="F571" s="11" t="s">
        <v>1996</v>
      </c>
      <c r="H571" s="17" t="str">
        <f>HYPERLINK("https://www.google.com/maps/?q=45.884744444,-66.571833333", "https://www.google.com/maps/?q=45.884744444,-66.571833333")</f>
        <v>https://www.google.com/maps/?q=45.884744444,-66.571833333</v>
      </c>
    </row>
    <row r="572" spans="1:8" ht="29" x14ac:dyDescent="0.35">
      <c r="A572" t="s">
        <v>3984</v>
      </c>
      <c r="B572" t="s">
        <v>3985</v>
      </c>
      <c r="C572" t="s">
        <v>3986</v>
      </c>
      <c r="D572" t="s">
        <v>3987</v>
      </c>
      <c r="E572" s="10" t="s">
        <v>28</v>
      </c>
      <c r="F572" s="11" t="s">
        <v>3988</v>
      </c>
      <c r="H572" s="17" t="str">
        <f>HYPERLINK("https://www.google.com/maps/?q=45.9605388890001,-66.636783333", "https://www.google.com/maps/?q=45.9605388890001,-66.636783333")</f>
        <v>https://www.google.com/maps/?q=45.9605388890001,-66.636783333</v>
      </c>
    </row>
    <row r="573" spans="1:8" ht="29" x14ac:dyDescent="0.35">
      <c r="A573" t="s">
        <v>3989</v>
      </c>
      <c r="B573" t="s">
        <v>3990</v>
      </c>
      <c r="C573" t="s">
        <v>3991</v>
      </c>
      <c r="D573" t="s">
        <v>3992</v>
      </c>
      <c r="E573" s="10" t="s">
        <v>44</v>
      </c>
      <c r="F573" s="11" t="s">
        <v>3993</v>
      </c>
      <c r="H573" s="17" t="str">
        <f>HYPERLINK("https://www.google.com/maps/?q=47.187680556,-67.908027778", "https://www.google.com/maps/?q=47.187680556,-67.908027778")</f>
        <v>https://www.google.com/maps/?q=47.187680556,-67.908027778</v>
      </c>
    </row>
    <row r="574" spans="1:8" ht="29" x14ac:dyDescent="0.35">
      <c r="A574" t="s">
        <v>3994</v>
      </c>
      <c r="B574" t="s">
        <v>3995</v>
      </c>
      <c r="C574" t="s">
        <v>3996</v>
      </c>
      <c r="D574" t="s">
        <v>3997</v>
      </c>
      <c r="E574" s="10" t="s">
        <v>28</v>
      </c>
      <c r="F574" s="11" t="s">
        <v>3998</v>
      </c>
      <c r="H574" s="17" t="str">
        <f>HYPERLINK("https://www.google.com/maps/?q=45.332105556,-65.8879388889999", "https://www.google.com/maps/?q=45.332105556,-65.8879388889999")</f>
        <v>https://www.google.com/maps/?q=45.332105556,-65.8879388889999</v>
      </c>
    </row>
    <row r="575" spans="1:8" ht="29" x14ac:dyDescent="0.35">
      <c r="A575" t="s">
        <v>3999</v>
      </c>
      <c r="B575" t="s">
        <v>4000</v>
      </c>
      <c r="C575" t="s">
        <v>4001</v>
      </c>
      <c r="D575" t="s">
        <v>4002</v>
      </c>
      <c r="E575" s="10" t="s">
        <v>28</v>
      </c>
      <c r="F575" s="11" t="s">
        <v>4003</v>
      </c>
      <c r="H575" s="17" t="str">
        <f>HYPERLINK("https://www.google.com/maps/?q=46.0646166670001,-64.800494444", "https://www.google.com/maps/?q=46.0646166670001,-64.800494444")</f>
        <v>https://www.google.com/maps/?q=46.0646166670001,-64.800494444</v>
      </c>
    </row>
    <row r="576" spans="1:8" ht="29" x14ac:dyDescent="0.35">
      <c r="A576" t="s">
        <v>4004</v>
      </c>
      <c r="B576" t="s">
        <v>4005</v>
      </c>
      <c r="C576" t="s">
        <v>4006</v>
      </c>
      <c r="D576" t="s">
        <v>4007</v>
      </c>
      <c r="E576" s="10" t="s">
        <v>28</v>
      </c>
      <c r="F576" s="11" t="s">
        <v>4008</v>
      </c>
      <c r="H576" s="17" t="str">
        <f>HYPERLINK("https://www.google.com/maps/?q=47.6399027780001,-65.68155", "https://www.google.com/maps/?q=47.6399027780001,-65.68155")</f>
        <v>https://www.google.com/maps/?q=47.6399027780001,-65.68155</v>
      </c>
    </row>
    <row r="577" spans="1:8" ht="29" x14ac:dyDescent="0.35">
      <c r="A577" t="s">
        <v>4009</v>
      </c>
      <c r="B577" t="s">
        <v>4010</v>
      </c>
      <c r="C577" t="s">
        <v>4011</v>
      </c>
      <c r="D577" t="s">
        <v>4012</v>
      </c>
      <c r="E577" s="10" t="s">
        <v>28</v>
      </c>
      <c r="F577" s="11" t="s">
        <v>4013</v>
      </c>
      <c r="H577" s="17" t="str">
        <f>HYPERLINK("https://www.google.com/maps/?q=46.109025,-64.7560694439999", "https://www.google.com/maps/?q=46.109025,-64.7560694439999")</f>
        <v>https://www.google.com/maps/?q=46.109025,-64.7560694439999</v>
      </c>
    </row>
    <row r="578" spans="1:8" ht="29" x14ac:dyDescent="0.35">
      <c r="A578" t="s">
        <v>4014</v>
      </c>
      <c r="B578" t="s">
        <v>4015</v>
      </c>
      <c r="C578" t="s">
        <v>4016</v>
      </c>
      <c r="D578" t="s">
        <v>4017</v>
      </c>
      <c r="E578" s="10" t="s">
        <v>28</v>
      </c>
      <c r="F578" s="11" t="s">
        <v>4018</v>
      </c>
      <c r="H578" s="17" t="str">
        <f>HYPERLINK("https://www.google.com/maps/?q=46.122788889,-64.852844444", "https://www.google.com/maps/?q=46.122788889,-64.852844444")</f>
        <v>https://www.google.com/maps/?q=46.122788889,-64.852844444</v>
      </c>
    </row>
    <row r="579" spans="1:8" ht="29" x14ac:dyDescent="0.35">
      <c r="A579" t="s">
        <v>4019</v>
      </c>
      <c r="B579" t="s">
        <v>4020</v>
      </c>
      <c r="C579" t="s">
        <v>4021</v>
      </c>
      <c r="D579" t="s">
        <v>4022</v>
      </c>
      <c r="E579" s="10" t="s">
        <v>28</v>
      </c>
      <c r="F579" s="11" t="s">
        <v>4023</v>
      </c>
      <c r="H579" s="17" t="str">
        <f>HYPERLINK("https://www.google.com/maps/?q=45.959852778,-66.669275", "https://www.google.com/maps/?q=45.959852778,-66.669275")</f>
        <v>https://www.google.com/maps/?q=45.959852778,-66.669275</v>
      </c>
    </row>
    <row r="580" spans="1:8" ht="29" x14ac:dyDescent="0.35">
      <c r="A580" t="s">
        <v>4024</v>
      </c>
      <c r="B580" t="s">
        <v>4025</v>
      </c>
      <c r="C580" t="s">
        <v>4026</v>
      </c>
      <c r="D580" t="s">
        <v>4027</v>
      </c>
      <c r="E580" s="10" t="s">
        <v>28</v>
      </c>
      <c r="F580" s="11" t="s">
        <v>4028</v>
      </c>
      <c r="H580" s="17" t="str">
        <f>HYPERLINK("https://www.google.com/maps/?q=46.220308333,-64.5414", "https://www.google.com/maps/?q=46.220308333,-64.5414")</f>
        <v>https://www.google.com/maps/?q=46.220308333,-64.5414</v>
      </c>
    </row>
    <row r="581" spans="1:8" ht="29" x14ac:dyDescent="0.35">
      <c r="A581" t="s">
        <v>4029</v>
      </c>
      <c r="B581" t="s">
        <v>4030</v>
      </c>
      <c r="C581" t="s">
        <v>4031</v>
      </c>
      <c r="D581" t="s">
        <v>4032</v>
      </c>
      <c r="E581" s="10" t="s">
        <v>28</v>
      </c>
      <c r="F581" s="11" t="s">
        <v>4033</v>
      </c>
      <c r="H581" s="17" t="str">
        <f>HYPERLINK("https://www.google.com/maps/?q=45.3082444440001,-66.019666667", "https://www.google.com/maps/?q=45.3082444440001,-66.019666667")</f>
        <v>https://www.google.com/maps/?q=45.3082444440001,-66.019666667</v>
      </c>
    </row>
    <row r="582" spans="1:8" ht="29" x14ac:dyDescent="0.35">
      <c r="A582" t="s">
        <v>4034</v>
      </c>
      <c r="B582" t="s">
        <v>4035</v>
      </c>
      <c r="C582" t="s">
        <v>4036</v>
      </c>
      <c r="D582" t="s">
        <v>4037</v>
      </c>
      <c r="E582" s="10" t="s">
        <v>28</v>
      </c>
      <c r="F582" s="11" t="s">
        <v>4038</v>
      </c>
      <c r="H582" s="17" t="str">
        <f>HYPERLINK("https://www.google.com/maps/?q=46.101963889,-64.74495", "https://www.google.com/maps/?q=46.101963889,-64.74495")</f>
        <v>https://www.google.com/maps/?q=46.101963889,-64.74495</v>
      </c>
    </row>
    <row r="583" spans="1:8" ht="29" x14ac:dyDescent="0.35">
      <c r="A583" t="s">
        <v>4039</v>
      </c>
      <c r="B583" t="s">
        <v>4040</v>
      </c>
      <c r="C583" t="s">
        <v>4041</v>
      </c>
      <c r="D583" t="s">
        <v>4042</v>
      </c>
      <c r="E583" s="10" t="s">
        <v>28</v>
      </c>
      <c r="F583" s="11" t="s">
        <v>4043</v>
      </c>
      <c r="H583" s="17" t="str">
        <f>HYPERLINK("https://www.google.com/maps/?q=45.964775,-66.6624277779999", "https://www.google.com/maps/?q=45.964775,-66.6624277779999")</f>
        <v>https://www.google.com/maps/?q=45.964775,-66.6624277779999</v>
      </c>
    </row>
    <row r="584" spans="1:8" ht="29" x14ac:dyDescent="0.35">
      <c r="A584" t="s">
        <v>4044</v>
      </c>
      <c r="B584" t="s">
        <v>4045</v>
      </c>
      <c r="C584" t="s">
        <v>4046</v>
      </c>
      <c r="D584" t="s">
        <v>4047</v>
      </c>
      <c r="E584" s="10" t="s">
        <v>28</v>
      </c>
      <c r="F584" s="11" t="s">
        <v>4048</v>
      </c>
      <c r="H584" s="17" t="str">
        <f>HYPERLINK("https://www.google.com/maps/?q=45.961163889,-66.6384944439999", "https://www.google.com/maps/?q=45.961163889,-66.6384944439999")</f>
        <v>https://www.google.com/maps/?q=45.961163889,-66.6384944439999</v>
      </c>
    </row>
    <row r="585" spans="1:8" ht="29" x14ac:dyDescent="0.35">
      <c r="A585" t="s">
        <v>4049</v>
      </c>
      <c r="B585" t="s">
        <v>4050</v>
      </c>
      <c r="C585" t="s">
        <v>4051</v>
      </c>
      <c r="D585" t="s">
        <v>4052</v>
      </c>
      <c r="E585" s="10" t="s">
        <v>28</v>
      </c>
      <c r="F585" s="11" t="s">
        <v>4053</v>
      </c>
      <c r="H585" s="17" t="str">
        <f>HYPERLINK("https://www.google.com/maps/?q=45.9279472220001,-66.622888889", "https://www.google.com/maps/?q=45.9279472220001,-66.622888889")</f>
        <v>https://www.google.com/maps/?q=45.9279472220001,-66.622888889</v>
      </c>
    </row>
    <row r="586" spans="1:8" ht="29" x14ac:dyDescent="0.35">
      <c r="A586" t="s">
        <v>4054</v>
      </c>
      <c r="B586" t="s">
        <v>4055</v>
      </c>
      <c r="C586" t="s">
        <v>4056</v>
      </c>
      <c r="D586" t="s">
        <v>4057</v>
      </c>
      <c r="E586" s="10" t="s">
        <v>28</v>
      </c>
      <c r="F586" s="11" t="s">
        <v>4058</v>
      </c>
      <c r="H586" s="17" t="str">
        <f>HYPERLINK("https://www.google.com/maps/?q=45.456097222,-66.3430999999999", "https://www.google.com/maps/?q=45.456097222,-66.3430999999999")</f>
        <v>https://www.google.com/maps/?q=45.456097222,-66.3430999999999</v>
      </c>
    </row>
    <row r="587" spans="1:8" ht="29" x14ac:dyDescent="0.35">
      <c r="A587" t="s">
        <v>4059</v>
      </c>
      <c r="B587" t="s">
        <v>4060</v>
      </c>
      <c r="C587" t="s">
        <v>4061</v>
      </c>
      <c r="D587" t="s">
        <v>4062</v>
      </c>
      <c r="E587" s="10" t="s">
        <v>28</v>
      </c>
      <c r="F587" s="11" t="s">
        <v>4063</v>
      </c>
      <c r="H587" s="17" t="str">
        <f>HYPERLINK("https://www.google.com/maps/?q=45.9925388890001,-66.649808333", "https://www.google.com/maps/?q=45.9925388890001,-66.649808333")</f>
        <v>https://www.google.com/maps/?q=45.9925388890001,-66.649808333</v>
      </c>
    </row>
    <row r="588" spans="1:8" ht="29" x14ac:dyDescent="0.35">
      <c r="A588" t="s">
        <v>4064</v>
      </c>
      <c r="B588" t="s">
        <v>4065</v>
      </c>
      <c r="C588" t="s">
        <v>4066</v>
      </c>
      <c r="D588" t="s">
        <v>4067</v>
      </c>
      <c r="E588" s="10" t="s">
        <v>28</v>
      </c>
      <c r="F588" s="11" t="s">
        <v>4068</v>
      </c>
      <c r="H588" s="17" t="str">
        <f>HYPERLINK("https://www.google.com/maps/?q=46.100716667,-64.750233333", "https://www.google.com/maps/?q=46.100716667,-64.750233333")</f>
        <v>https://www.google.com/maps/?q=46.100716667,-64.750233333</v>
      </c>
    </row>
    <row r="589" spans="1:8" ht="29" x14ac:dyDescent="0.35">
      <c r="A589" t="s">
        <v>4069</v>
      </c>
      <c r="B589" t="s">
        <v>4070</v>
      </c>
      <c r="C589" t="s">
        <v>4071</v>
      </c>
      <c r="D589" t="s">
        <v>4072</v>
      </c>
      <c r="E589" s="10" t="s">
        <v>28</v>
      </c>
      <c r="F589" s="11" t="s">
        <v>4073</v>
      </c>
      <c r="H589" s="17" t="str">
        <f>HYPERLINK("https://www.google.com/maps/?q=46.3855694440001,-64.6655888889999", "https://www.google.com/maps/?q=46.3855694440001,-64.6655888889999")</f>
        <v>https://www.google.com/maps/?q=46.3855694440001,-64.6655888889999</v>
      </c>
    </row>
    <row r="590" spans="1:8" ht="29" x14ac:dyDescent="0.35">
      <c r="A590" t="s">
        <v>4074</v>
      </c>
      <c r="B590" t="s">
        <v>4075</v>
      </c>
      <c r="C590" t="s">
        <v>4076</v>
      </c>
      <c r="D590" t="s">
        <v>4077</v>
      </c>
      <c r="E590" s="10" t="s">
        <v>28</v>
      </c>
      <c r="F590" s="11" t="s">
        <v>4078</v>
      </c>
      <c r="H590" s="17" t="str">
        <f>HYPERLINK("https://www.google.com/maps/?q=45.8111027780001,-65.596438889", "https://www.google.com/maps/?q=45.8111027780001,-65.596438889")</f>
        <v>https://www.google.com/maps/?q=45.8111027780001,-65.596438889</v>
      </c>
    </row>
    <row r="591" spans="1:8" ht="29" x14ac:dyDescent="0.35">
      <c r="A591" t="s">
        <v>4079</v>
      </c>
      <c r="B591" t="s">
        <v>4080</v>
      </c>
      <c r="C591" t="s">
        <v>4081</v>
      </c>
      <c r="D591" t="s">
        <v>4082</v>
      </c>
      <c r="E591" s="10" t="s">
        <v>28</v>
      </c>
      <c r="F591" s="11" t="s">
        <v>4083</v>
      </c>
      <c r="H591" s="17" t="str">
        <f>HYPERLINK("https://www.google.com/maps/?q=46.2219000000001,-64.5377", "https://www.google.com/maps/?q=46.2219000000001,-64.5377")</f>
        <v>https://www.google.com/maps/?q=46.2219000000001,-64.5377</v>
      </c>
    </row>
    <row r="592" spans="1:8" ht="29" x14ac:dyDescent="0.35">
      <c r="A592" t="s">
        <v>4084</v>
      </c>
      <c r="B592" t="s">
        <v>4085</v>
      </c>
      <c r="C592" t="s">
        <v>4086</v>
      </c>
      <c r="D592" t="s">
        <v>4087</v>
      </c>
      <c r="E592" s="10" t="s">
        <v>28</v>
      </c>
      <c r="F592" s="11" t="s">
        <v>4088</v>
      </c>
      <c r="H592" s="17" t="str">
        <f>HYPERLINK("https://www.google.com/maps/?q=47.315527778,-67.6765", "https://www.google.com/maps/?q=47.315527778,-67.6765")</f>
        <v>https://www.google.com/maps/?q=47.315527778,-67.6765</v>
      </c>
    </row>
    <row r="593" spans="1:8" ht="29" x14ac:dyDescent="0.35">
      <c r="A593" t="s">
        <v>4089</v>
      </c>
      <c r="B593" t="s">
        <v>4090</v>
      </c>
      <c r="C593" t="s">
        <v>4091</v>
      </c>
      <c r="D593" t="s">
        <v>4092</v>
      </c>
      <c r="E593" s="10" t="s">
        <v>28</v>
      </c>
      <c r="F593" s="11" t="s">
        <v>4093</v>
      </c>
      <c r="H593" s="17" t="str">
        <f>HYPERLINK("https://www.google.com/maps/?q=45.9440777780001,-66.668172222", "https://www.google.com/maps/?q=45.9440777780001,-66.668172222")</f>
        <v>https://www.google.com/maps/?q=45.9440777780001,-66.668172222</v>
      </c>
    </row>
    <row r="594" spans="1:8" ht="29" x14ac:dyDescent="0.35">
      <c r="A594" t="s">
        <v>4094</v>
      </c>
      <c r="B594" t="s">
        <v>4095</v>
      </c>
      <c r="C594" t="s">
        <v>4096</v>
      </c>
      <c r="D594" t="s">
        <v>4097</v>
      </c>
      <c r="E594" s="10" t="s">
        <v>28</v>
      </c>
      <c r="F594" s="11" t="s">
        <v>4098</v>
      </c>
      <c r="H594" s="17" t="str">
        <f>HYPERLINK("https://www.google.com/maps/?q=45.6285972220001,-65.7428", "https://www.google.com/maps/?q=45.6285972220001,-65.7428")</f>
        <v>https://www.google.com/maps/?q=45.6285972220001,-65.7428</v>
      </c>
    </row>
    <row r="595" spans="1:8" ht="29" x14ac:dyDescent="0.35">
      <c r="A595" t="s">
        <v>4099</v>
      </c>
      <c r="B595" t="s">
        <v>4100</v>
      </c>
      <c r="C595" t="s">
        <v>4101</v>
      </c>
      <c r="D595" t="s">
        <v>4102</v>
      </c>
      <c r="E595" s="10" t="s">
        <v>28</v>
      </c>
      <c r="F595" s="11" t="s">
        <v>4103</v>
      </c>
      <c r="H595" s="17" t="str">
        <f>HYPERLINK("https://www.google.com/maps/?q=47.6172,-65.674197222", "https://www.google.com/maps/?q=47.6172,-65.674197222")</f>
        <v>https://www.google.com/maps/?q=47.6172,-65.674197222</v>
      </c>
    </row>
    <row r="596" spans="1:8" ht="29" x14ac:dyDescent="0.35">
      <c r="A596" t="s">
        <v>4104</v>
      </c>
      <c r="B596" t="s">
        <v>4105</v>
      </c>
      <c r="C596" t="s">
        <v>4106</v>
      </c>
      <c r="D596" t="s">
        <v>4107</v>
      </c>
      <c r="E596" s="10" t="s">
        <v>50</v>
      </c>
      <c r="F596" s="11" t="s">
        <v>2333</v>
      </c>
      <c r="H596" s="17" t="str">
        <f>HYPERLINK("https://www.google.com/maps/?q=47.799872222,-65.134911111", "https://www.google.com/maps/?q=47.799872222,-65.134911111")</f>
        <v>https://www.google.com/maps/?q=47.799872222,-65.134911111</v>
      </c>
    </row>
    <row r="597" spans="1:8" ht="29" x14ac:dyDescent="0.35">
      <c r="A597" t="s">
        <v>4108</v>
      </c>
      <c r="B597" t="s">
        <v>4109</v>
      </c>
      <c r="C597" t="s">
        <v>4110</v>
      </c>
      <c r="D597" t="s">
        <v>4111</v>
      </c>
      <c r="E597" s="10" t="s">
        <v>50</v>
      </c>
      <c r="F597" s="11" t="s">
        <v>3094</v>
      </c>
      <c r="H597" s="17" t="str">
        <f>HYPERLINK("https://www.google.com/maps/?q=45.2488277780001,-66.1268805559999", "https://www.google.com/maps/?q=45.2488277780001,-66.1268805559999")</f>
        <v>https://www.google.com/maps/?q=45.2488277780001,-66.1268805559999</v>
      </c>
    </row>
    <row r="598" spans="1:8" ht="29" x14ac:dyDescent="0.35">
      <c r="A598" t="s">
        <v>4112</v>
      </c>
      <c r="B598" t="s">
        <v>4113</v>
      </c>
      <c r="C598" t="s">
        <v>4114</v>
      </c>
      <c r="D598" t="s">
        <v>4115</v>
      </c>
      <c r="E598" s="10" t="s">
        <v>50</v>
      </c>
      <c r="F598" s="11" t="s">
        <v>4116</v>
      </c>
      <c r="H598" s="17" t="str">
        <f>HYPERLINK("https://www.google.com/maps/?q=47.7708555560001,-65.7802944439999", "https://www.google.com/maps/?q=47.7708555560001,-65.7802944439999")</f>
        <v>https://www.google.com/maps/?q=47.7708555560001,-65.7802944439999</v>
      </c>
    </row>
    <row r="599" spans="1:8" ht="29" x14ac:dyDescent="0.35">
      <c r="A599" t="s">
        <v>4117</v>
      </c>
      <c r="B599" t="s">
        <v>4118</v>
      </c>
      <c r="C599" t="s">
        <v>4119</v>
      </c>
      <c r="D599" t="s">
        <v>4120</v>
      </c>
      <c r="E599" s="10" t="s">
        <v>28</v>
      </c>
      <c r="F599" s="11" t="s">
        <v>4121</v>
      </c>
      <c r="H599" s="17" t="str">
        <f>HYPERLINK("https://www.google.com/maps/?q=46.6042722220001,-67.7353388889999", "https://www.google.com/maps/?q=46.6042722220001,-67.7353388889999")</f>
        <v>https://www.google.com/maps/?q=46.6042722220001,-67.7353388889999</v>
      </c>
    </row>
    <row r="600" spans="1:8" ht="29" x14ac:dyDescent="0.35">
      <c r="A600" t="s">
        <v>4122</v>
      </c>
      <c r="B600" t="s">
        <v>4123</v>
      </c>
      <c r="C600" t="s">
        <v>4124</v>
      </c>
      <c r="D600" t="s">
        <v>4125</v>
      </c>
      <c r="E600" s="10" t="s">
        <v>28</v>
      </c>
      <c r="F600" s="11" t="s">
        <v>4126</v>
      </c>
      <c r="H600" s="17" t="str">
        <f>HYPERLINK("https://www.google.com/maps/?q=45.930377778,-66.6296555559999", "https://www.google.com/maps/?q=45.930377778,-66.6296555559999")</f>
        <v>https://www.google.com/maps/?q=45.930377778,-66.6296555559999</v>
      </c>
    </row>
    <row r="601" spans="1:8" ht="29" x14ac:dyDescent="0.35">
      <c r="A601" t="s">
        <v>2617</v>
      </c>
      <c r="B601" t="s">
        <v>4127</v>
      </c>
      <c r="C601" t="s">
        <v>2619</v>
      </c>
      <c r="D601" t="s">
        <v>4128</v>
      </c>
      <c r="E601" s="10" t="s">
        <v>461</v>
      </c>
      <c r="F601" s="11" t="s">
        <v>2621</v>
      </c>
      <c r="H601" s="17" t="str">
        <f>HYPERLINK("https://www.google.com/maps/?q=46.1189000000001,-64.8419", "https://www.google.com/maps/?q=46.1189000000001,-64.8419")</f>
        <v>https://www.google.com/maps/?q=46.1189000000001,-64.8419</v>
      </c>
    </row>
    <row r="602" spans="1:8" ht="29" x14ac:dyDescent="0.35">
      <c r="A602" t="s">
        <v>4129</v>
      </c>
      <c r="B602" t="s">
        <v>4130</v>
      </c>
      <c r="C602" t="s">
        <v>4131</v>
      </c>
      <c r="D602" t="s">
        <v>4132</v>
      </c>
      <c r="E602" s="10" t="s">
        <v>28</v>
      </c>
      <c r="F602" s="11" t="s">
        <v>4133</v>
      </c>
      <c r="H602" s="17" t="str">
        <f>HYPERLINK("https://www.google.com/maps/?q=46.2273277780001,-64.5062055559999", "https://www.google.com/maps/?q=46.2273277780001,-64.5062055559999")</f>
        <v>https://www.google.com/maps/?q=46.2273277780001,-64.5062055559999</v>
      </c>
    </row>
    <row r="603" spans="1:8" ht="29" x14ac:dyDescent="0.35">
      <c r="A603" t="s">
        <v>4134</v>
      </c>
      <c r="B603" t="s">
        <v>4135</v>
      </c>
      <c r="C603" t="s">
        <v>4136</v>
      </c>
      <c r="D603" t="s">
        <v>4137</v>
      </c>
      <c r="E603" s="10" t="s">
        <v>28</v>
      </c>
      <c r="F603" s="11" t="s">
        <v>4138</v>
      </c>
      <c r="H603" s="17" t="str">
        <f>HYPERLINK("https://www.google.com/maps/?q=46.5693694440001,-66.130983333", "https://www.google.com/maps/?q=46.5693694440001,-66.130983333")</f>
        <v>https://www.google.com/maps/?q=46.5693694440001,-66.130983333</v>
      </c>
    </row>
    <row r="604" spans="1:8" ht="29" x14ac:dyDescent="0.35">
      <c r="A604" t="s">
        <v>4139</v>
      </c>
      <c r="B604" t="s">
        <v>4140</v>
      </c>
      <c r="C604" t="s">
        <v>4141</v>
      </c>
      <c r="D604" t="s">
        <v>4142</v>
      </c>
      <c r="E604" s="10" t="s">
        <v>28</v>
      </c>
      <c r="F604" s="11" t="s">
        <v>4143</v>
      </c>
      <c r="H604" s="17" t="str">
        <f>HYPERLINK("https://www.google.com/maps/?q=46.0959861110001,-64.785136111", "https://www.google.com/maps/?q=46.0959861110001,-64.785136111")</f>
        <v>https://www.google.com/maps/?q=46.0959861110001,-64.785136111</v>
      </c>
    </row>
    <row r="605" spans="1:8" ht="29" x14ac:dyDescent="0.35">
      <c r="A605" t="s">
        <v>4144</v>
      </c>
      <c r="B605" t="s">
        <v>4145</v>
      </c>
      <c r="C605" t="s">
        <v>4146</v>
      </c>
      <c r="D605" t="s">
        <v>4147</v>
      </c>
      <c r="E605" s="10" t="s">
        <v>28</v>
      </c>
      <c r="F605" s="11" t="s">
        <v>4143</v>
      </c>
      <c r="H605" s="17" t="str">
        <f>HYPERLINK("https://www.google.com/maps/?q=46.097644444,-64.785936111", "https://www.google.com/maps/?q=46.097644444,-64.785936111")</f>
        <v>https://www.google.com/maps/?q=46.097644444,-64.785936111</v>
      </c>
    </row>
    <row r="606" spans="1:8" ht="29" x14ac:dyDescent="0.35">
      <c r="A606" t="s">
        <v>4148</v>
      </c>
      <c r="B606" t="s">
        <v>4149</v>
      </c>
      <c r="C606" t="s">
        <v>4150</v>
      </c>
      <c r="D606" t="s">
        <v>4151</v>
      </c>
      <c r="E606" s="10" t="s">
        <v>28</v>
      </c>
      <c r="F606" s="11" t="s">
        <v>4152</v>
      </c>
      <c r="H606" s="17" t="str">
        <f>HYPERLINK("https://www.google.com/maps/?q=45.9755277780001,-66.650147222", "https://www.google.com/maps/?q=45.9755277780001,-66.650147222")</f>
        <v>https://www.google.com/maps/?q=45.9755277780001,-66.650147222</v>
      </c>
    </row>
    <row r="607" spans="1:8" ht="29" x14ac:dyDescent="0.35">
      <c r="A607" t="s">
        <v>4153</v>
      </c>
      <c r="B607" t="s">
        <v>4154</v>
      </c>
      <c r="C607" t="s">
        <v>4155</v>
      </c>
      <c r="D607" t="s">
        <v>4156</v>
      </c>
      <c r="E607" s="10" t="s">
        <v>28</v>
      </c>
      <c r="F607" s="11" t="s">
        <v>4157</v>
      </c>
      <c r="H607" s="17" t="str">
        <f>HYPERLINK("https://www.google.com/maps/?q=45.8636000000001,-66.8217", "https://www.google.com/maps/?q=45.8636000000001,-66.8217")</f>
        <v>https://www.google.com/maps/?q=45.8636000000001,-66.8217</v>
      </c>
    </row>
    <row r="608" spans="1:8" ht="29" x14ac:dyDescent="0.35">
      <c r="A608" t="s">
        <v>4158</v>
      </c>
      <c r="B608" t="s">
        <v>4159</v>
      </c>
      <c r="C608" t="s">
        <v>4160</v>
      </c>
      <c r="D608" t="s">
        <v>4161</v>
      </c>
      <c r="E608" s="10" t="s">
        <v>195</v>
      </c>
      <c r="F608" s="11" t="s">
        <v>4162</v>
      </c>
      <c r="H608" s="17" t="str">
        <f>HYPERLINK("https://www.google.com/maps/?q=45.0941777780001,-66.731841667", "https://www.google.com/maps/?q=45.0941777780001,-66.731841667")</f>
        <v>https://www.google.com/maps/?q=45.0941777780001,-66.731841667</v>
      </c>
    </row>
    <row r="609" spans="1:8" ht="29" x14ac:dyDescent="0.35">
      <c r="A609" t="s">
        <v>3709</v>
      </c>
      <c r="B609" t="s">
        <v>4163</v>
      </c>
      <c r="C609" t="s">
        <v>3711</v>
      </c>
      <c r="D609" t="s">
        <v>4164</v>
      </c>
      <c r="E609" s="10" t="s">
        <v>50</v>
      </c>
      <c r="F609" s="11" t="s">
        <v>3713</v>
      </c>
      <c r="H609" s="17" t="str">
        <f>HYPERLINK("https://www.google.com/maps/?q=45.1942000000001,-67.3022", "https://www.google.com/maps/?q=45.1942000000001,-67.3022")</f>
        <v>https://www.google.com/maps/?q=45.1942000000001,-67.3022</v>
      </c>
    </row>
    <row r="610" spans="1:8" ht="29" x14ac:dyDescent="0.35">
      <c r="A610" t="s">
        <v>4165</v>
      </c>
      <c r="B610" t="s">
        <v>4166</v>
      </c>
      <c r="C610" t="s">
        <v>4167</v>
      </c>
      <c r="D610" t="s">
        <v>4168</v>
      </c>
      <c r="E610" s="10" t="s">
        <v>50</v>
      </c>
      <c r="F610" s="11" t="s">
        <v>4169</v>
      </c>
      <c r="H610" s="17" t="str">
        <f>HYPERLINK("https://www.google.com/maps/?q=46.7347222220001,-65.430833333", "https://www.google.com/maps/?q=46.7347222220001,-65.430833333")</f>
        <v>https://www.google.com/maps/?q=46.7347222220001,-65.430833333</v>
      </c>
    </row>
    <row r="611" spans="1:8" ht="29" x14ac:dyDescent="0.35">
      <c r="A611" t="s">
        <v>4170</v>
      </c>
      <c r="B611" t="s">
        <v>4171</v>
      </c>
      <c r="C611" t="s">
        <v>4172</v>
      </c>
      <c r="D611" t="s">
        <v>4173</v>
      </c>
      <c r="E611" s="10" t="s">
        <v>50</v>
      </c>
      <c r="F611" s="11" t="s">
        <v>4174</v>
      </c>
      <c r="H611" s="17" t="str">
        <f>HYPERLINK("https://www.google.com/maps/?q=45.2336111110001,-65.983055556", "https://www.google.com/maps/?q=45.2336111110001,-65.983055556")</f>
        <v>https://www.google.com/maps/?q=45.2336111110001,-65.983055556</v>
      </c>
    </row>
    <row r="612" spans="1:8" ht="29" x14ac:dyDescent="0.35">
      <c r="A612" t="s">
        <v>4175</v>
      </c>
      <c r="B612" t="s">
        <v>4176</v>
      </c>
      <c r="C612" t="s">
        <v>4177</v>
      </c>
      <c r="D612" t="s">
        <v>4178</v>
      </c>
      <c r="E612" s="10" t="s">
        <v>50</v>
      </c>
      <c r="F612" s="11" t="s">
        <v>4179</v>
      </c>
      <c r="H612" s="17" t="str">
        <f>HYPERLINK("https://www.google.com/maps/?q=45.253541667,-66.080408333", "https://www.google.com/maps/?q=45.253541667,-66.080408333")</f>
        <v>https://www.google.com/maps/?q=45.253541667,-66.080408333</v>
      </c>
    </row>
    <row r="613" spans="1:8" ht="29" x14ac:dyDescent="0.35">
      <c r="A613" t="s">
        <v>4180</v>
      </c>
      <c r="B613" t="s">
        <v>4181</v>
      </c>
      <c r="C613" t="s">
        <v>4182</v>
      </c>
      <c r="D613" t="s">
        <v>4183</v>
      </c>
      <c r="E613" s="10" t="s">
        <v>66</v>
      </c>
      <c r="F613" s="11" t="s">
        <v>2358</v>
      </c>
      <c r="H613" s="17" t="str">
        <f>HYPERLINK("https://www.google.com/maps/?q=45.3161111110001,-66.212780556", "https://www.google.com/maps/?q=45.3161111110001,-66.212780556")</f>
        <v>https://www.google.com/maps/?q=45.3161111110001,-66.212780556</v>
      </c>
    </row>
    <row r="614" spans="1:8" ht="29" x14ac:dyDescent="0.35">
      <c r="A614" t="s">
        <v>4184</v>
      </c>
      <c r="B614" t="s">
        <v>4185</v>
      </c>
      <c r="C614" t="s">
        <v>4186</v>
      </c>
      <c r="D614" t="s">
        <v>4187</v>
      </c>
      <c r="E614" s="10" t="s">
        <v>66</v>
      </c>
      <c r="F614" s="11" t="s">
        <v>4188</v>
      </c>
      <c r="H614" s="17" t="str">
        <f>HYPERLINK("https://www.google.com/maps/?q=45.270169444,-66.0551694439999", "https://www.google.com/maps/?q=45.270169444,-66.0551694439999")</f>
        <v>https://www.google.com/maps/?q=45.270169444,-66.0551694439999</v>
      </c>
    </row>
    <row r="615" spans="1:8" ht="29" x14ac:dyDescent="0.35">
      <c r="A615" t="s">
        <v>4189</v>
      </c>
      <c r="B615" t="s">
        <v>4190</v>
      </c>
      <c r="C615" t="s">
        <v>4191</v>
      </c>
      <c r="D615" t="s">
        <v>4192</v>
      </c>
      <c r="E615" s="10" t="s">
        <v>66</v>
      </c>
      <c r="F615" s="11" t="s">
        <v>4193</v>
      </c>
      <c r="H615" s="17" t="str">
        <f>HYPERLINK("https://www.google.com/maps/?q=45.2337138890001,-66.154094444", "https://www.google.com/maps/?q=45.2337138890001,-66.154094444")</f>
        <v>https://www.google.com/maps/?q=45.2337138890001,-66.154094444</v>
      </c>
    </row>
    <row r="616" spans="1:8" ht="29" x14ac:dyDescent="0.35">
      <c r="A616" t="s">
        <v>4194</v>
      </c>
      <c r="B616" t="s">
        <v>4195</v>
      </c>
      <c r="C616" t="s">
        <v>4196</v>
      </c>
      <c r="D616" t="s">
        <v>4197</v>
      </c>
      <c r="E616" s="10" t="s">
        <v>66</v>
      </c>
      <c r="F616" s="11" t="s">
        <v>3269</v>
      </c>
      <c r="H616" s="17" t="str">
        <f>HYPERLINK("https://www.google.com/maps/?q=45.4283,-66.3239", "https://www.google.com/maps/?q=45.4283,-66.3239")</f>
        <v>https://www.google.com/maps/?q=45.4283,-66.3239</v>
      </c>
    </row>
    <row r="617" spans="1:8" ht="29" x14ac:dyDescent="0.35">
      <c r="A617" t="s">
        <v>4198</v>
      </c>
      <c r="B617" t="s">
        <v>4199</v>
      </c>
      <c r="C617" t="s">
        <v>4200</v>
      </c>
      <c r="D617" t="s">
        <v>4201</v>
      </c>
      <c r="E617" s="10" t="s">
        <v>66</v>
      </c>
      <c r="F617" s="11" t="s">
        <v>4202</v>
      </c>
      <c r="H617" s="17" t="str">
        <f>HYPERLINK("https://www.google.com/maps/?q=45.7425000000001,-66.4858", "https://www.google.com/maps/?q=45.7425000000001,-66.4858")</f>
        <v>https://www.google.com/maps/?q=45.7425000000001,-66.4858</v>
      </c>
    </row>
    <row r="618" spans="1:8" ht="29" x14ac:dyDescent="0.35">
      <c r="A618" t="s">
        <v>1942</v>
      </c>
      <c r="B618" t="s">
        <v>4203</v>
      </c>
      <c r="C618" t="s">
        <v>1944</v>
      </c>
      <c r="D618" t="s">
        <v>4204</v>
      </c>
      <c r="E618" s="10" t="s">
        <v>17</v>
      </c>
      <c r="F618" s="11" t="s">
        <v>1946</v>
      </c>
      <c r="H618" s="17" t="str">
        <f>HYPERLINK("https://www.google.com/maps/?q=47.0061000000001,-65.5864", "https://www.google.com/maps/?q=47.0061000000001,-65.5864")</f>
        <v>https://www.google.com/maps/?q=47.0061000000001,-65.5864</v>
      </c>
    </row>
    <row r="619" spans="1:8" ht="29" x14ac:dyDescent="0.35">
      <c r="A619" t="s">
        <v>2148</v>
      </c>
      <c r="B619" t="s">
        <v>4205</v>
      </c>
      <c r="C619" t="s">
        <v>2150</v>
      </c>
      <c r="D619" t="s">
        <v>4206</v>
      </c>
      <c r="E619" s="10" t="s">
        <v>17</v>
      </c>
      <c r="F619" s="11" t="s">
        <v>2152</v>
      </c>
      <c r="H619" s="17" t="str">
        <f>HYPERLINK("https://www.google.com/maps/?q=47.0352,-67.7594", "https://www.google.com/maps/?q=47.0352,-67.7594")</f>
        <v>https://www.google.com/maps/?q=47.0352,-67.7594</v>
      </c>
    </row>
    <row r="620" spans="1:8" ht="29" x14ac:dyDescent="0.35">
      <c r="A620" t="s">
        <v>4207</v>
      </c>
      <c r="B620" t="s">
        <v>4208</v>
      </c>
      <c r="C620" t="s">
        <v>4209</v>
      </c>
      <c r="D620" t="s">
        <v>4210</v>
      </c>
      <c r="E620" s="10" t="s">
        <v>17</v>
      </c>
      <c r="F620" s="11" t="s">
        <v>3134</v>
      </c>
      <c r="H620" s="17" t="str">
        <f>HYPERLINK("https://www.google.com/maps/?q=46.763333333,-65.026030556", "https://www.google.com/maps/?q=46.763333333,-65.026030556")</f>
        <v>https://www.google.com/maps/?q=46.763333333,-65.026030556</v>
      </c>
    </row>
    <row r="621" spans="1:8" ht="29" x14ac:dyDescent="0.35">
      <c r="A621" t="s">
        <v>4211</v>
      </c>
      <c r="B621" t="s">
        <v>4212</v>
      </c>
      <c r="C621" t="s">
        <v>4213</v>
      </c>
      <c r="D621" t="s">
        <v>4214</v>
      </c>
      <c r="E621" s="10" t="s">
        <v>50</v>
      </c>
      <c r="F621" s="11" t="s">
        <v>4215</v>
      </c>
      <c r="H621" s="17" t="str">
        <f>HYPERLINK("https://www.google.com/maps/?q=47.9902888890001,-66.710288889", "https://www.google.com/maps/?q=47.9902888890001,-66.710288889")</f>
        <v>https://www.google.com/maps/?q=47.9902888890001,-66.710288889</v>
      </c>
    </row>
    <row r="622" spans="1:8" ht="29" x14ac:dyDescent="0.35">
      <c r="A622" t="s">
        <v>4216</v>
      </c>
      <c r="B622" t="s">
        <v>4217</v>
      </c>
      <c r="C622" t="s">
        <v>4218</v>
      </c>
      <c r="D622" t="s">
        <v>4219</v>
      </c>
      <c r="E622" s="10" t="s">
        <v>50</v>
      </c>
      <c r="F622" s="11" t="s">
        <v>4220</v>
      </c>
      <c r="H622" s="17" t="str">
        <f>HYPERLINK("https://www.google.com/maps/?q=45.427663889,-65.9664722219999", "https://www.google.com/maps/?q=45.427663889,-65.9664722219999")</f>
        <v>https://www.google.com/maps/?q=45.427663889,-65.9664722219999</v>
      </c>
    </row>
    <row r="623" spans="1:8" ht="29" x14ac:dyDescent="0.35">
      <c r="A623" t="s">
        <v>4221</v>
      </c>
      <c r="B623" t="s">
        <v>4222</v>
      </c>
      <c r="C623" t="s">
        <v>4223</v>
      </c>
      <c r="D623" t="s">
        <v>4224</v>
      </c>
      <c r="E623" s="10" t="s">
        <v>50</v>
      </c>
      <c r="F623" s="11" t="s">
        <v>4225</v>
      </c>
      <c r="H623" s="17" t="str">
        <f>HYPERLINK("https://www.google.com/maps/?q=45.9351472220001,-66.6303833329999", "https://www.google.com/maps/?q=45.9351472220001,-66.6303833329999")</f>
        <v>https://www.google.com/maps/?q=45.9351472220001,-66.6303833329999</v>
      </c>
    </row>
    <row r="624" spans="1:8" ht="29" x14ac:dyDescent="0.35">
      <c r="A624" t="s">
        <v>4226</v>
      </c>
      <c r="B624" t="s">
        <v>4227</v>
      </c>
      <c r="C624" t="s">
        <v>4228</v>
      </c>
      <c r="D624" t="s">
        <v>4229</v>
      </c>
      <c r="E624" s="10" t="s">
        <v>50</v>
      </c>
      <c r="F624" s="11" t="s">
        <v>3811</v>
      </c>
      <c r="H624" s="17" t="str">
        <f>HYPERLINK("https://www.google.com/maps/?q=46.4974361110001,-64.780672222", "https://www.google.com/maps/?q=46.4974361110001,-64.780672222")</f>
        <v>https://www.google.com/maps/?q=46.4974361110001,-64.780672222</v>
      </c>
    </row>
    <row r="625" spans="1:8" ht="29" x14ac:dyDescent="0.35">
      <c r="A625" t="s">
        <v>4230</v>
      </c>
      <c r="B625" t="s">
        <v>4231</v>
      </c>
      <c r="C625" t="s">
        <v>4232</v>
      </c>
      <c r="D625" t="s">
        <v>4233</v>
      </c>
      <c r="E625" s="10" t="s">
        <v>50</v>
      </c>
      <c r="F625" s="11" t="s">
        <v>2343</v>
      </c>
      <c r="H625" s="17" t="str">
        <f>HYPERLINK("https://www.google.com/maps/?q=45.134469444,-66.550425", "https://www.google.com/maps/?q=45.134469444,-66.550425")</f>
        <v>https://www.google.com/maps/?q=45.134469444,-66.550425</v>
      </c>
    </row>
    <row r="626" spans="1:8" ht="29" x14ac:dyDescent="0.35">
      <c r="A626" t="s">
        <v>1913</v>
      </c>
      <c r="B626" t="s">
        <v>4234</v>
      </c>
      <c r="C626" t="s">
        <v>1915</v>
      </c>
      <c r="D626" t="s">
        <v>4235</v>
      </c>
      <c r="E626" s="10" t="s">
        <v>50</v>
      </c>
      <c r="F626" s="11" t="s">
        <v>1917</v>
      </c>
      <c r="H626" s="17" t="str">
        <f>HYPERLINK("https://www.google.com/maps/?q=47.451108333,-68.385327778", "https://www.google.com/maps/?q=47.451108333,-68.385327778")</f>
        <v>https://www.google.com/maps/?q=47.451108333,-68.385327778</v>
      </c>
    </row>
    <row r="627" spans="1:8" ht="29" x14ac:dyDescent="0.35">
      <c r="A627" t="s">
        <v>4236</v>
      </c>
      <c r="B627" t="s">
        <v>4237</v>
      </c>
      <c r="C627" t="s">
        <v>4238</v>
      </c>
      <c r="D627" t="s">
        <v>4239</v>
      </c>
      <c r="E627" s="10" t="s">
        <v>50</v>
      </c>
      <c r="F627" s="11" t="s">
        <v>4240</v>
      </c>
      <c r="H627" s="17" t="str">
        <f>HYPERLINK("https://www.google.com/maps/?q=46.133172222,-64.794561111", "https://www.google.com/maps/?q=46.133172222,-64.794561111")</f>
        <v>https://www.google.com/maps/?q=46.133172222,-64.794561111</v>
      </c>
    </row>
    <row r="628" spans="1:8" ht="29" x14ac:dyDescent="0.35">
      <c r="A628" t="s">
        <v>4241</v>
      </c>
      <c r="B628" t="s">
        <v>4242</v>
      </c>
      <c r="C628" t="s">
        <v>4243</v>
      </c>
      <c r="D628" t="s">
        <v>4244</v>
      </c>
      <c r="E628" s="10" t="s">
        <v>50</v>
      </c>
      <c r="F628" s="11" t="s">
        <v>2170</v>
      </c>
      <c r="H628" s="17" t="str">
        <f>HYPERLINK("https://www.google.com/maps/?q=45.8729111110001,-67.013091667", "https://www.google.com/maps/?q=45.8729111110001,-67.013091667")</f>
        <v>https://www.google.com/maps/?q=45.8729111110001,-67.013091667</v>
      </c>
    </row>
    <row r="629" spans="1:8" ht="29" x14ac:dyDescent="0.35">
      <c r="A629" t="s">
        <v>4245</v>
      </c>
      <c r="B629" t="s">
        <v>4246</v>
      </c>
      <c r="C629" t="s">
        <v>4247</v>
      </c>
      <c r="D629" t="s">
        <v>4248</v>
      </c>
      <c r="E629" s="10" t="s">
        <v>50</v>
      </c>
      <c r="F629" s="11" t="s">
        <v>4249</v>
      </c>
      <c r="H629" s="17" t="str">
        <f>HYPERLINK("https://www.google.com/maps/?q=45.307769444,-66.009411111", "https://www.google.com/maps/?q=45.307769444,-66.009411111")</f>
        <v>https://www.google.com/maps/?q=45.307769444,-66.009411111</v>
      </c>
    </row>
    <row r="630" spans="1:8" ht="29" x14ac:dyDescent="0.35">
      <c r="A630" t="s">
        <v>4250</v>
      </c>
      <c r="B630" t="s">
        <v>4251</v>
      </c>
      <c r="C630" t="s">
        <v>4252</v>
      </c>
      <c r="D630" t="s">
        <v>4253</v>
      </c>
      <c r="E630" s="10" t="s">
        <v>50</v>
      </c>
      <c r="F630" s="11" t="s">
        <v>4254</v>
      </c>
      <c r="H630" s="17" t="str">
        <f>HYPERLINK("https://www.google.com/maps/?q=45.7673888890001,-66.4645277779999", "https://www.google.com/maps/?q=45.7673888890001,-66.4645277779999")</f>
        <v>https://www.google.com/maps/?q=45.7673888890001,-66.4645277779999</v>
      </c>
    </row>
    <row r="631" spans="1:8" ht="29" x14ac:dyDescent="0.35">
      <c r="A631" t="s">
        <v>4255</v>
      </c>
      <c r="B631" t="s">
        <v>4256</v>
      </c>
      <c r="C631" t="s">
        <v>4257</v>
      </c>
      <c r="D631" t="s">
        <v>4258</v>
      </c>
      <c r="E631" s="10" t="s">
        <v>50</v>
      </c>
      <c r="F631" s="11" t="s">
        <v>1603</v>
      </c>
      <c r="H631" s="17" t="str">
        <f>HYPERLINK("https://www.google.com/maps/?q=45.2780138890001,-66.072108333", "https://www.google.com/maps/?q=45.2780138890001,-66.072108333")</f>
        <v>https://www.google.com/maps/?q=45.2780138890001,-66.072108333</v>
      </c>
    </row>
    <row r="632" spans="1:8" ht="29" x14ac:dyDescent="0.35">
      <c r="A632" t="s">
        <v>4259</v>
      </c>
      <c r="B632" t="s">
        <v>4260</v>
      </c>
      <c r="C632" t="s">
        <v>4261</v>
      </c>
      <c r="D632" t="s">
        <v>4262</v>
      </c>
      <c r="E632" s="10" t="s">
        <v>28</v>
      </c>
      <c r="F632" s="11" t="s">
        <v>4263</v>
      </c>
      <c r="H632" s="17" t="str">
        <f>HYPERLINK("https://www.google.com/maps/?q=45.271388889,-66.061286111", "https://www.google.com/maps/?q=45.271388889,-66.061286111")</f>
        <v>https://www.google.com/maps/?q=45.271388889,-66.061286111</v>
      </c>
    </row>
    <row r="633" spans="1:8" ht="29" x14ac:dyDescent="0.35">
      <c r="A633" t="s">
        <v>4264</v>
      </c>
      <c r="B633" t="s">
        <v>4265</v>
      </c>
      <c r="C633" t="s">
        <v>4266</v>
      </c>
      <c r="D633" t="s">
        <v>4267</v>
      </c>
      <c r="E633" s="10" t="s">
        <v>28</v>
      </c>
      <c r="F633" s="11" t="s">
        <v>4268</v>
      </c>
      <c r="H633" s="17" t="str">
        <f>HYPERLINK("https://www.google.com/maps/?q=46.224472222,-64.331508333", "https://www.google.com/maps/?q=46.224472222,-64.331508333")</f>
        <v>https://www.google.com/maps/?q=46.224472222,-64.331508333</v>
      </c>
    </row>
    <row r="634" spans="1:8" ht="29" x14ac:dyDescent="0.35">
      <c r="A634" t="s">
        <v>4269</v>
      </c>
      <c r="B634" t="s">
        <v>4270</v>
      </c>
      <c r="C634" t="s">
        <v>4271</v>
      </c>
      <c r="D634" t="s">
        <v>4272</v>
      </c>
      <c r="E634" s="10" t="s">
        <v>28</v>
      </c>
      <c r="F634" s="11" t="s">
        <v>4273</v>
      </c>
      <c r="H634" s="17" t="str">
        <f>HYPERLINK("https://www.google.com/maps/?q=47.6196,-65.6527972219999", "https://www.google.com/maps/?q=47.6196,-65.6527972219999")</f>
        <v>https://www.google.com/maps/?q=47.6196,-65.6527972219999</v>
      </c>
    </row>
    <row r="635" spans="1:8" ht="29" x14ac:dyDescent="0.35">
      <c r="A635" t="s">
        <v>4274</v>
      </c>
      <c r="B635" t="s">
        <v>4275</v>
      </c>
      <c r="C635" t="s">
        <v>4276</v>
      </c>
      <c r="D635" t="s">
        <v>4277</v>
      </c>
      <c r="E635" s="10" t="s">
        <v>28</v>
      </c>
      <c r="F635" s="11" t="s">
        <v>4278</v>
      </c>
      <c r="H635" s="17" t="str">
        <f>HYPERLINK("https://www.google.com/maps/?q=46.158855556,-64.8787166669999", "https://www.google.com/maps/?q=46.158855556,-64.8787166669999")</f>
        <v>https://www.google.com/maps/?q=46.158855556,-64.8787166669999</v>
      </c>
    </row>
    <row r="636" spans="1:8" ht="29" x14ac:dyDescent="0.35">
      <c r="A636" t="s">
        <v>4279</v>
      </c>
      <c r="B636" t="s">
        <v>4280</v>
      </c>
      <c r="C636" t="s">
        <v>4281</v>
      </c>
      <c r="D636" t="s">
        <v>4282</v>
      </c>
      <c r="E636" s="10" t="s">
        <v>28</v>
      </c>
      <c r="F636" s="11" t="s">
        <v>4283</v>
      </c>
      <c r="H636" s="17" t="str">
        <f>HYPERLINK("https://www.google.com/maps/?q=45.953197222,-66.6495416669999", "https://www.google.com/maps/?q=45.953197222,-66.6495416669999")</f>
        <v>https://www.google.com/maps/?q=45.953197222,-66.6495416669999</v>
      </c>
    </row>
    <row r="637" spans="1:8" ht="29" x14ac:dyDescent="0.35">
      <c r="A637" t="s">
        <v>4284</v>
      </c>
      <c r="B637" t="s">
        <v>4285</v>
      </c>
      <c r="C637" t="s">
        <v>4286</v>
      </c>
      <c r="D637" t="s">
        <v>4287</v>
      </c>
      <c r="E637" s="10" t="s">
        <v>44</v>
      </c>
      <c r="F637" s="11" t="s">
        <v>4288</v>
      </c>
      <c r="H637" s="17" t="str">
        <f>HYPERLINK("https://www.google.com/maps/?q=47.935513889,-64.565658333", "https://www.google.com/maps/?q=47.935513889,-64.565658333")</f>
        <v>https://www.google.com/maps/?q=47.935513889,-64.565658333</v>
      </c>
    </row>
    <row r="638" spans="1:8" ht="29" x14ac:dyDescent="0.35">
      <c r="A638" t="s">
        <v>4289</v>
      </c>
      <c r="B638" t="s">
        <v>4290</v>
      </c>
      <c r="C638" t="s">
        <v>4291</v>
      </c>
      <c r="D638" t="s">
        <v>4292</v>
      </c>
      <c r="E638" s="10" t="s">
        <v>44</v>
      </c>
      <c r="F638" s="11" t="s">
        <v>4293</v>
      </c>
      <c r="H638" s="17" t="str">
        <f>HYPERLINK("https://www.google.com/maps/?q=46.971944444,-65.713055556", "https://www.google.com/maps/?q=46.971944444,-65.713055556")</f>
        <v>https://www.google.com/maps/?q=46.971944444,-65.713055556</v>
      </c>
    </row>
    <row r="639" spans="1:8" ht="29" x14ac:dyDescent="0.35">
      <c r="A639" t="s">
        <v>4294</v>
      </c>
      <c r="B639" t="s">
        <v>4295</v>
      </c>
      <c r="C639" t="s">
        <v>4296</v>
      </c>
      <c r="D639" t="s">
        <v>4297</v>
      </c>
      <c r="E639" s="10" t="s">
        <v>44</v>
      </c>
      <c r="F639" s="11" t="s">
        <v>4298</v>
      </c>
      <c r="H639" s="17" t="str">
        <f>HYPERLINK("https://www.google.com/maps/?q=45.173380556,-66.3873694439999", "https://www.google.com/maps/?q=45.173380556,-66.3873694439999")</f>
        <v>https://www.google.com/maps/?q=45.173380556,-66.3873694439999</v>
      </c>
    </row>
    <row r="640" spans="1:8" ht="29" x14ac:dyDescent="0.35">
      <c r="A640" t="s">
        <v>4299</v>
      </c>
      <c r="B640" t="s">
        <v>4300</v>
      </c>
      <c r="C640" t="s">
        <v>4301</v>
      </c>
      <c r="D640" t="s">
        <v>4302</v>
      </c>
      <c r="E640" s="10" t="s">
        <v>44</v>
      </c>
      <c r="F640" s="11" t="s">
        <v>4303</v>
      </c>
      <c r="H640" s="17" t="str">
        <f>HYPERLINK("https://www.google.com/maps/?q=45.370283333,-65.507338889", "https://www.google.com/maps/?q=45.370283333,-65.507338889")</f>
        <v>https://www.google.com/maps/?q=45.370283333,-65.507338889</v>
      </c>
    </row>
    <row r="641" spans="1:8" ht="29" x14ac:dyDescent="0.35">
      <c r="A641" t="s">
        <v>4304</v>
      </c>
      <c r="B641" t="s">
        <v>4305</v>
      </c>
      <c r="C641" t="s">
        <v>4306</v>
      </c>
      <c r="D641" t="s">
        <v>4307</v>
      </c>
      <c r="E641" s="10" t="s">
        <v>1109</v>
      </c>
      <c r="F641" s="11" t="s">
        <v>4308</v>
      </c>
      <c r="H641" s="17" t="str">
        <f>HYPERLINK("https://www.google.com/maps/?q=45.890555556,-64.3666666669999", "https://www.google.com/maps/?q=45.890555556,-64.3666666669999")</f>
        <v>https://www.google.com/maps/?q=45.890555556,-64.3666666669999</v>
      </c>
    </row>
    <row r="642" spans="1:8" ht="29" x14ac:dyDescent="0.35">
      <c r="A642" t="s">
        <v>4309</v>
      </c>
      <c r="B642" t="s">
        <v>4310</v>
      </c>
      <c r="C642" t="s">
        <v>4311</v>
      </c>
      <c r="D642" t="s">
        <v>4312</v>
      </c>
      <c r="E642" s="10" t="s">
        <v>44</v>
      </c>
      <c r="F642" s="11" t="s">
        <v>4313</v>
      </c>
      <c r="H642" s="17" t="str">
        <f>HYPERLINK("https://www.google.com/maps/?q=45.329402778,-67.052875", "https://www.google.com/maps/?q=45.329402778,-67.052875")</f>
        <v>https://www.google.com/maps/?q=45.329402778,-67.052875</v>
      </c>
    </row>
    <row r="643" spans="1:8" ht="29" x14ac:dyDescent="0.35">
      <c r="A643" t="s">
        <v>4314</v>
      </c>
      <c r="B643" t="s">
        <v>4315</v>
      </c>
      <c r="C643" t="s">
        <v>4316</v>
      </c>
      <c r="D643" t="s">
        <v>4317</v>
      </c>
      <c r="E643" s="10" t="s">
        <v>44</v>
      </c>
      <c r="F643" s="11" t="s">
        <v>4318</v>
      </c>
      <c r="H643" s="17" t="str">
        <f>HYPERLINK("https://www.google.com/maps/?q=46.477080556,-64.729911111", "https://www.google.com/maps/?q=46.477080556,-64.729911111")</f>
        <v>https://www.google.com/maps/?q=46.477080556,-64.729911111</v>
      </c>
    </row>
    <row r="644" spans="1:8" ht="29" x14ac:dyDescent="0.35">
      <c r="A644" t="s">
        <v>4319</v>
      </c>
      <c r="B644" t="s">
        <v>4320</v>
      </c>
      <c r="C644" t="s">
        <v>4321</v>
      </c>
      <c r="D644" t="s">
        <v>4322</v>
      </c>
      <c r="E644" s="10" t="s">
        <v>44</v>
      </c>
      <c r="F644" s="11" t="s">
        <v>4323</v>
      </c>
      <c r="H644" s="17" t="str">
        <f>HYPERLINK("https://www.google.com/maps/?q=46.2463500000001,-66.819388889", "https://www.google.com/maps/?q=46.2463500000001,-66.819388889")</f>
        <v>https://www.google.com/maps/?q=46.2463500000001,-66.819388889</v>
      </c>
    </row>
    <row r="645" spans="1:8" ht="29" x14ac:dyDescent="0.35">
      <c r="A645" t="s">
        <v>4324</v>
      </c>
      <c r="B645" t="s">
        <v>4325</v>
      </c>
      <c r="C645" t="s">
        <v>4326</v>
      </c>
      <c r="D645" t="s">
        <v>4327</v>
      </c>
      <c r="E645" s="10" t="s">
        <v>50</v>
      </c>
      <c r="F645" s="11" t="s">
        <v>4328</v>
      </c>
      <c r="H645" s="17" t="str">
        <f>HYPERLINK("https://www.google.com/maps/?q=47.599302778,-65.6846305559999", "https://www.google.com/maps/?q=47.599302778,-65.6846305559999")</f>
        <v>https://www.google.com/maps/?q=47.599302778,-65.6846305559999</v>
      </c>
    </row>
    <row r="646" spans="1:8" ht="29" x14ac:dyDescent="0.35">
      <c r="A646" t="s">
        <v>4329</v>
      </c>
      <c r="B646" t="s">
        <v>4330</v>
      </c>
      <c r="C646" t="s">
        <v>4331</v>
      </c>
      <c r="D646" t="s">
        <v>4332</v>
      </c>
      <c r="E646" s="10" t="s">
        <v>50</v>
      </c>
      <c r="F646" s="11" t="s">
        <v>4333</v>
      </c>
      <c r="H646" s="17" t="str">
        <f>HYPERLINK("https://www.google.com/maps/?q=45.960183333,-66.6172749999999", "https://www.google.com/maps/?q=45.960183333,-66.6172749999999")</f>
        <v>https://www.google.com/maps/?q=45.960183333,-66.6172749999999</v>
      </c>
    </row>
    <row r="647" spans="1:8" ht="29" x14ac:dyDescent="0.35">
      <c r="A647" t="s">
        <v>4334</v>
      </c>
      <c r="B647" t="s">
        <v>4335</v>
      </c>
      <c r="C647" t="s">
        <v>4336</v>
      </c>
      <c r="D647" t="s">
        <v>4337</v>
      </c>
      <c r="E647" s="10" t="s">
        <v>50</v>
      </c>
      <c r="F647" s="11" t="s">
        <v>4338</v>
      </c>
      <c r="H647" s="17" t="str">
        <f>HYPERLINK("https://www.google.com/maps/?q=45.9549111110001,-66.766169444", "https://www.google.com/maps/?q=45.9549111110001,-66.766169444")</f>
        <v>https://www.google.com/maps/?q=45.9549111110001,-66.766169444</v>
      </c>
    </row>
    <row r="648" spans="1:8" ht="29" x14ac:dyDescent="0.35">
      <c r="A648" t="s">
        <v>4339</v>
      </c>
      <c r="B648" t="s">
        <v>4340</v>
      </c>
      <c r="C648" t="s">
        <v>4341</v>
      </c>
      <c r="D648" t="s">
        <v>4342</v>
      </c>
      <c r="E648" s="10" t="s">
        <v>50</v>
      </c>
      <c r="F648" s="11" t="s">
        <v>4343</v>
      </c>
      <c r="H648" s="17" t="str">
        <f>HYPERLINK("https://www.google.com/maps/?q=46.8291750000001,-65.447802778", "https://www.google.com/maps/?q=46.8291750000001,-65.447802778")</f>
        <v>https://www.google.com/maps/?q=46.8291750000001,-65.447802778</v>
      </c>
    </row>
    <row r="649" spans="1:8" ht="29" x14ac:dyDescent="0.35">
      <c r="A649" t="s">
        <v>4344</v>
      </c>
      <c r="B649" t="s">
        <v>4345</v>
      </c>
      <c r="C649" t="s">
        <v>4346</v>
      </c>
      <c r="D649" t="s">
        <v>4347</v>
      </c>
      <c r="E649" s="10" t="s">
        <v>50</v>
      </c>
      <c r="F649" s="11" t="s">
        <v>1623</v>
      </c>
      <c r="H649" s="17" t="str">
        <f>HYPERLINK("https://www.google.com/maps/?q=45.4784722220001,-66.2345", "https://www.google.com/maps/?q=45.4784722220001,-66.2345")</f>
        <v>https://www.google.com/maps/?q=45.4784722220001,-66.2345</v>
      </c>
    </row>
    <row r="650" spans="1:8" ht="29" x14ac:dyDescent="0.35">
      <c r="A650" t="s">
        <v>4348</v>
      </c>
      <c r="B650" t="s">
        <v>4349</v>
      </c>
      <c r="C650" t="s">
        <v>4350</v>
      </c>
      <c r="D650" t="s">
        <v>4351</v>
      </c>
      <c r="E650" s="10" t="s">
        <v>28</v>
      </c>
      <c r="F650" s="11" t="s">
        <v>4352</v>
      </c>
      <c r="H650" s="17" t="str">
        <f>HYPERLINK("https://www.google.com/maps/?q=45.9567138890001,-66.639516667", "https://www.google.com/maps/?q=45.9567138890001,-66.639516667")</f>
        <v>https://www.google.com/maps/?q=45.9567138890001,-66.639516667</v>
      </c>
    </row>
    <row r="651" spans="1:8" ht="29" x14ac:dyDescent="0.35">
      <c r="A651" t="s">
        <v>4353</v>
      </c>
      <c r="B651" t="s">
        <v>4354</v>
      </c>
      <c r="C651" t="s">
        <v>4355</v>
      </c>
      <c r="D651" t="s">
        <v>4356</v>
      </c>
      <c r="E651" s="10" t="s">
        <v>28</v>
      </c>
      <c r="F651" s="11" t="s">
        <v>4357</v>
      </c>
      <c r="H651" s="17" t="str">
        <f>HYPERLINK("https://www.google.com/maps/?q=45.319822222,-66.080486111", "https://www.google.com/maps/?q=45.319822222,-66.080486111")</f>
        <v>https://www.google.com/maps/?q=45.319822222,-66.080486111</v>
      </c>
    </row>
    <row r="652" spans="1:8" ht="29" x14ac:dyDescent="0.35">
      <c r="A652" t="s">
        <v>4358</v>
      </c>
      <c r="B652" t="s">
        <v>4359</v>
      </c>
      <c r="C652" t="s">
        <v>4360</v>
      </c>
      <c r="D652" t="s">
        <v>4361</v>
      </c>
      <c r="E652" s="10" t="s">
        <v>28</v>
      </c>
      <c r="F652" s="11" t="s">
        <v>1328</v>
      </c>
      <c r="H652" s="17" t="str">
        <f>HYPERLINK("https://www.google.com/maps/?q=45.8963972220001,-66.591944444", "https://www.google.com/maps/?q=45.8963972220001,-66.591944444")</f>
        <v>https://www.google.com/maps/?q=45.8963972220001,-66.591944444</v>
      </c>
    </row>
    <row r="653" spans="1:8" ht="29" x14ac:dyDescent="0.35">
      <c r="A653" t="s">
        <v>4362</v>
      </c>
      <c r="B653" t="s">
        <v>4363</v>
      </c>
      <c r="C653" t="s">
        <v>4364</v>
      </c>
      <c r="D653" t="s">
        <v>4365</v>
      </c>
      <c r="E653" s="10" t="s">
        <v>28</v>
      </c>
      <c r="F653" s="11" t="s">
        <v>4366</v>
      </c>
      <c r="H653" s="17" t="str">
        <f>HYPERLINK("https://www.google.com/maps/?q=45.2728138890001,-66.0571805559999", "https://www.google.com/maps/?q=45.2728138890001,-66.0571805559999")</f>
        <v>https://www.google.com/maps/?q=45.2728138890001,-66.0571805559999</v>
      </c>
    </row>
    <row r="654" spans="1:8" ht="29" x14ac:dyDescent="0.35">
      <c r="A654" t="s">
        <v>4367</v>
      </c>
      <c r="B654" t="s">
        <v>4368</v>
      </c>
      <c r="C654" t="s">
        <v>4369</v>
      </c>
      <c r="D654" t="s">
        <v>4370</v>
      </c>
      <c r="E654" s="10" t="s">
        <v>28</v>
      </c>
      <c r="F654" s="11" t="s">
        <v>4371</v>
      </c>
      <c r="H654" s="17" t="str">
        <f>HYPERLINK("https://www.google.com/maps/?q=45.281894444,-66.0106111109999", "https://www.google.com/maps/?q=45.281894444,-66.0106111109999")</f>
        <v>https://www.google.com/maps/?q=45.281894444,-66.0106111109999</v>
      </c>
    </row>
    <row r="655" spans="1:8" ht="29" x14ac:dyDescent="0.35">
      <c r="A655" t="s">
        <v>4372</v>
      </c>
      <c r="B655" t="s">
        <v>4373</v>
      </c>
      <c r="C655" t="s">
        <v>4374</v>
      </c>
      <c r="D655" t="s">
        <v>4375</v>
      </c>
      <c r="E655" s="10" t="s">
        <v>50</v>
      </c>
      <c r="F655" s="11" t="s">
        <v>1498</v>
      </c>
      <c r="H655" s="17" t="str">
        <f>HYPERLINK("https://www.google.com/maps/?q=45.990944444,-66.756777778", "https://www.google.com/maps/?q=45.990944444,-66.756777778")</f>
        <v>https://www.google.com/maps/?q=45.990944444,-66.756777778</v>
      </c>
    </row>
    <row r="656" spans="1:8" ht="29" x14ac:dyDescent="0.35">
      <c r="A656" t="s">
        <v>4376</v>
      </c>
      <c r="B656" t="s">
        <v>4377</v>
      </c>
      <c r="C656" t="s">
        <v>4378</v>
      </c>
      <c r="D656" t="s">
        <v>4379</v>
      </c>
      <c r="E656" s="10" t="s">
        <v>28</v>
      </c>
      <c r="F656" s="11" t="s">
        <v>4380</v>
      </c>
      <c r="H656" s="17" t="str">
        <f>HYPERLINK("https://www.google.com/maps/?q=47.6384555560001,-65.751344444", "https://www.google.com/maps/?q=47.6384555560001,-65.751344444")</f>
        <v>https://www.google.com/maps/?q=47.6384555560001,-65.751344444</v>
      </c>
    </row>
    <row r="657" spans="1:8" ht="29" x14ac:dyDescent="0.35">
      <c r="A657" t="s">
        <v>4079</v>
      </c>
      <c r="B657" t="s">
        <v>4381</v>
      </c>
      <c r="C657" t="s">
        <v>4081</v>
      </c>
      <c r="D657" t="s">
        <v>4382</v>
      </c>
      <c r="E657" s="10" t="s">
        <v>28</v>
      </c>
      <c r="F657" s="11" t="s">
        <v>4383</v>
      </c>
      <c r="H657" s="17" t="str">
        <f>HYPERLINK("https://www.google.com/maps/?q=46.2219000000001,-64.5049888889999", "https://www.google.com/maps/?q=46.2219000000001,-64.5049888889999")</f>
        <v>https://www.google.com/maps/?q=46.2219000000001,-64.5049888889999</v>
      </c>
    </row>
    <row r="658" spans="1:8" ht="29" x14ac:dyDescent="0.35">
      <c r="A658" t="s">
        <v>4384</v>
      </c>
      <c r="B658" t="s">
        <v>4385</v>
      </c>
      <c r="C658" t="s">
        <v>4386</v>
      </c>
      <c r="D658" t="s">
        <v>4387</v>
      </c>
      <c r="E658" s="10" t="s">
        <v>28</v>
      </c>
      <c r="F658" s="11" t="s">
        <v>3913</v>
      </c>
      <c r="H658" s="17" t="str">
        <f>HYPERLINK("https://www.google.com/maps/?q=45.257008333,-66.098502778", "https://www.google.com/maps/?q=45.257008333,-66.098502778")</f>
        <v>https://www.google.com/maps/?q=45.257008333,-66.098502778</v>
      </c>
    </row>
    <row r="659" spans="1:8" ht="29" x14ac:dyDescent="0.35">
      <c r="A659" t="s">
        <v>4388</v>
      </c>
      <c r="B659" t="s">
        <v>4389</v>
      </c>
      <c r="C659" t="s">
        <v>4390</v>
      </c>
      <c r="D659" t="s">
        <v>4391</v>
      </c>
      <c r="E659" s="10" t="s">
        <v>28</v>
      </c>
      <c r="F659" s="11" t="s">
        <v>4392</v>
      </c>
      <c r="H659" s="17" t="str">
        <f>HYPERLINK("https://www.google.com/maps/?q=45.5817777780001,-65.397527778", "https://www.google.com/maps/?q=45.5817777780001,-65.397527778")</f>
        <v>https://www.google.com/maps/?q=45.5817777780001,-65.397527778</v>
      </c>
    </row>
    <row r="660" spans="1:8" ht="29" x14ac:dyDescent="0.35">
      <c r="A660" t="s">
        <v>4393</v>
      </c>
      <c r="B660" t="s">
        <v>4394</v>
      </c>
      <c r="C660" t="s">
        <v>4395</v>
      </c>
      <c r="D660" t="s">
        <v>4396</v>
      </c>
      <c r="E660" s="10" t="s">
        <v>28</v>
      </c>
      <c r="F660" s="11" t="s">
        <v>4397</v>
      </c>
      <c r="H660" s="17" t="str">
        <f>HYPERLINK("https://www.google.com/maps/?q=46.3380000000001,-65.593969444", "https://www.google.com/maps/?q=46.3380000000001,-65.593969444")</f>
        <v>https://www.google.com/maps/?q=46.3380000000001,-65.593969444</v>
      </c>
    </row>
    <row r="661" spans="1:8" ht="29" x14ac:dyDescent="0.35">
      <c r="A661" t="s">
        <v>4398</v>
      </c>
      <c r="B661" t="s">
        <v>4399</v>
      </c>
      <c r="C661" t="s">
        <v>4400</v>
      </c>
      <c r="D661" t="s">
        <v>4401</v>
      </c>
      <c r="E661" s="10" t="s">
        <v>28</v>
      </c>
      <c r="F661" s="11" t="s">
        <v>4402</v>
      </c>
      <c r="H661" s="17" t="str">
        <f>HYPERLINK("https://www.google.com/maps/?q=45.9247861110001,-66.627594444", "https://www.google.com/maps/?q=45.9247861110001,-66.627594444")</f>
        <v>https://www.google.com/maps/?q=45.9247861110001,-66.627594444</v>
      </c>
    </row>
    <row r="662" spans="1:8" ht="29" x14ac:dyDescent="0.35">
      <c r="A662" t="s">
        <v>4403</v>
      </c>
      <c r="B662" t="s">
        <v>4404</v>
      </c>
      <c r="C662" t="s">
        <v>4405</v>
      </c>
      <c r="D662" t="s">
        <v>4406</v>
      </c>
      <c r="E662" s="10" t="s">
        <v>28</v>
      </c>
      <c r="F662" s="11" t="s">
        <v>3577</v>
      </c>
      <c r="H662" s="17" t="str">
        <f>HYPERLINK("https://www.google.com/maps/?q=47.3582000000001,-68.2359999999999", "https://www.google.com/maps/?q=47.3582000000001,-68.2359999999999")</f>
        <v>https://www.google.com/maps/?q=47.3582000000001,-68.2359999999999</v>
      </c>
    </row>
    <row r="663" spans="1:8" ht="29" x14ac:dyDescent="0.35">
      <c r="A663" t="s">
        <v>4407</v>
      </c>
      <c r="B663" t="s">
        <v>4408</v>
      </c>
      <c r="C663" t="s">
        <v>4409</v>
      </c>
      <c r="D663" t="s">
        <v>4410</v>
      </c>
      <c r="E663" s="10" t="s">
        <v>28</v>
      </c>
      <c r="F663" s="11" t="s">
        <v>4411</v>
      </c>
      <c r="H663" s="17" t="str">
        <f>HYPERLINK("https://www.google.com/maps/?q=46.1161000000001,-64.688297222", "https://www.google.com/maps/?q=46.1161000000001,-64.688297222")</f>
        <v>https://www.google.com/maps/?q=46.1161000000001,-64.688297222</v>
      </c>
    </row>
    <row r="664" spans="1:8" ht="29" x14ac:dyDescent="0.35">
      <c r="A664" t="s">
        <v>4412</v>
      </c>
      <c r="B664" t="s">
        <v>4413</v>
      </c>
      <c r="C664" t="s">
        <v>4414</v>
      </c>
      <c r="D664" t="s">
        <v>4415</v>
      </c>
      <c r="E664" s="10" t="s">
        <v>28</v>
      </c>
      <c r="F664" s="11" t="s">
        <v>4416</v>
      </c>
      <c r="H664" s="17" t="str">
        <f>HYPERLINK("https://www.google.com/maps/?q=45.9607472220001,-66.638266667", "https://www.google.com/maps/?q=45.9607472220001,-66.638266667")</f>
        <v>https://www.google.com/maps/?q=45.9607472220001,-66.638266667</v>
      </c>
    </row>
    <row r="665" spans="1:8" ht="29" x14ac:dyDescent="0.35">
      <c r="A665" t="s">
        <v>4417</v>
      </c>
      <c r="B665" t="s">
        <v>1110</v>
      </c>
      <c r="C665" t="s">
        <v>4418</v>
      </c>
      <c r="D665" t="s">
        <v>1111</v>
      </c>
      <c r="E665" s="10" t="s">
        <v>28</v>
      </c>
      <c r="F665" s="11" t="s">
        <v>2927</v>
      </c>
      <c r="H665" s="17" t="str">
        <f>HYPERLINK("https://www.google.com/maps/?q=46.9236000000001,-65.2261", "https://www.google.com/maps/?q=46.9236000000001,-65.2261")</f>
        <v>https://www.google.com/maps/?q=46.9236000000001,-65.2261</v>
      </c>
    </row>
    <row r="666" spans="1:8" ht="29" x14ac:dyDescent="0.35">
      <c r="A666" t="s">
        <v>4419</v>
      </c>
      <c r="B666" t="s">
        <v>4420</v>
      </c>
      <c r="C666" t="s">
        <v>4421</v>
      </c>
      <c r="D666" t="s">
        <v>4422</v>
      </c>
      <c r="E666" s="10" t="s">
        <v>28</v>
      </c>
      <c r="F666" s="11" t="s">
        <v>4423</v>
      </c>
      <c r="H666" s="17" t="str">
        <f>HYPERLINK("https://www.google.com/maps/?q=46.094197222,-64.8317", "https://www.google.com/maps/?q=46.094197222,-64.8317")</f>
        <v>https://www.google.com/maps/?q=46.094197222,-64.8317</v>
      </c>
    </row>
    <row r="667" spans="1:8" ht="29" x14ac:dyDescent="0.35">
      <c r="A667" t="s">
        <v>4424</v>
      </c>
      <c r="B667" t="s">
        <v>4425</v>
      </c>
      <c r="C667" t="s">
        <v>4426</v>
      </c>
      <c r="D667" t="s">
        <v>4427</v>
      </c>
      <c r="E667" s="10" t="s">
        <v>28</v>
      </c>
      <c r="F667" s="11" t="s">
        <v>4428</v>
      </c>
      <c r="H667" s="17" t="str">
        <f>HYPERLINK("https://www.google.com/maps/?q=46.509997222,-66.2368999999999", "https://www.google.com/maps/?q=46.509997222,-66.2368999999999")</f>
        <v>https://www.google.com/maps/?q=46.509997222,-66.2368999999999</v>
      </c>
    </row>
    <row r="668" spans="1:8" ht="29" x14ac:dyDescent="0.35">
      <c r="A668" t="s">
        <v>4429</v>
      </c>
      <c r="B668" t="s">
        <v>4430</v>
      </c>
      <c r="C668" t="s">
        <v>4431</v>
      </c>
      <c r="D668" t="s">
        <v>4432</v>
      </c>
      <c r="E668" s="10" t="s">
        <v>28</v>
      </c>
      <c r="F668" s="11" t="s">
        <v>4433</v>
      </c>
      <c r="H668" s="17" t="str">
        <f>HYPERLINK("https://www.google.com/maps/?q=45.9863083330001,-66.747416667", "https://www.google.com/maps/?q=45.9863083330001,-66.747416667")</f>
        <v>https://www.google.com/maps/?q=45.9863083330001,-66.747416667</v>
      </c>
    </row>
    <row r="669" spans="1:8" ht="29" x14ac:dyDescent="0.35">
      <c r="A669" t="s">
        <v>4434</v>
      </c>
      <c r="B669" t="s">
        <v>4435</v>
      </c>
      <c r="C669" t="s">
        <v>4436</v>
      </c>
      <c r="D669" t="s">
        <v>4437</v>
      </c>
      <c r="E669" s="10" t="s">
        <v>28</v>
      </c>
      <c r="F669" s="11" t="s">
        <v>4438</v>
      </c>
      <c r="H669" s="17" t="str">
        <f>HYPERLINK("https://www.google.com/maps/?q=45.955302778,-66.632919444", "https://www.google.com/maps/?q=45.955302778,-66.632919444")</f>
        <v>https://www.google.com/maps/?q=45.955302778,-66.632919444</v>
      </c>
    </row>
    <row r="670" spans="1:8" ht="29" x14ac:dyDescent="0.35">
      <c r="A670" t="s">
        <v>4439</v>
      </c>
      <c r="B670" t="s">
        <v>4440</v>
      </c>
      <c r="C670" t="s">
        <v>4441</v>
      </c>
      <c r="D670" t="s">
        <v>4442</v>
      </c>
      <c r="E670" s="10" t="s">
        <v>28</v>
      </c>
      <c r="F670" s="11" t="s">
        <v>4443</v>
      </c>
      <c r="H670" s="17" t="str">
        <f>HYPERLINK("https://www.google.com/maps/?q=46.0953000000001,-64.749819444", "https://www.google.com/maps/?q=46.0953000000001,-64.749819444")</f>
        <v>https://www.google.com/maps/?q=46.0953000000001,-64.749819444</v>
      </c>
    </row>
    <row r="671" spans="1:8" ht="29" x14ac:dyDescent="0.35">
      <c r="A671" t="s">
        <v>4444</v>
      </c>
      <c r="B671" t="s">
        <v>4445</v>
      </c>
      <c r="C671" t="s">
        <v>4446</v>
      </c>
      <c r="D671" t="s">
        <v>4447</v>
      </c>
      <c r="E671" s="10" t="s">
        <v>28</v>
      </c>
      <c r="F671" s="11" t="s">
        <v>4448</v>
      </c>
      <c r="H671" s="17" t="str">
        <f>HYPERLINK("https://www.google.com/maps/?q=46.1758,-65.900597222", "https://www.google.com/maps/?q=46.1758,-65.900597222")</f>
        <v>https://www.google.com/maps/?q=46.1758,-65.900597222</v>
      </c>
    </row>
    <row r="672" spans="1:8" ht="29" x14ac:dyDescent="0.35">
      <c r="A672" t="s">
        <v>4449</v>
      </c>
      <c r="B672" t="s">
        <v>4450</v>
      </c>
      <c r="C672" t="s">
        <v>4451</v>
      </c>
      <c r="D672" t="s">
        <v>4452</v>
      </c>
      <c r="E672" s="10" t="s">
        <v>50</v>
      </c>
      <c r="F672" s="11" t="s">
        <v>4043</v>
      </c>
      <c r="H672" s="17" t="str">
        <f>HYPERLINK("https://www.google.com/maps/?q=45.965038889,-66.6627694439999", "https://www.google.com/maps/?q=45.965038889,-66.6627694439999")</f>
        <v>https://www.google.com/maps/?q=45.965038889,-66.6627694439999</v>
      </c>
    </row>
    <row r="673" spans="1:8" ht="29" x14ac:dyDescent="0.35">
      <c r="A673" t="s">
        <v>4453</v>
      </c>
      <c r="B673" t="s">
        <v>4454</v>
      </c>
      <c r="C673" t="s">
        <v>4455</v>
      </c>
      <c r="D673" t="s">
        <v>4456</v>
      </c>
      <c r="E673" s="10" t="s">
        <v>28</v>
      </c>
      <c r="F673" s="11" t="s">
        <v>4457</v>
      </c>
      <c r="H673" s="17" t="str">
        <f>HYPERLINK("https://www.google.com/maps/?q=45.9154,-66.6197472219999", "https://www.google.com/maps/?q=45.9154,-66.6197472219999")</f>
        <v>https://www.google.com/maps/?q=45.9154,-66.6197472219999</v>
      </c>
    </row>
    <row r="674" spans="1:8" ht="29" x14ac:dyDescent="0.35">
      <c r="A674" t="s">
        <v>4458</v>
      </c>
      <c r="B674" t="s">
        <v>4459</v>
      </c>
      <c r="C674" t="s">
        <v>4460</v>
      </c>
      <c r="D674" t="s">
        <v>4461</v>
      </c>
      <c r="E674" s="10" t="s">
        <v>28</v>
      </c>
      <c r="F674" s="11" t="s">
        <v>4462</v>
      </c>
      <c r="H674" s="17" t="str">
        <f>HYPERLINK("https://www.google.com/maps/?q=45.988538889,-66.646938889", "https://www.google.com/maps/?q=45.988538889,-66.646938889")</f>
        <v>https://www.google.com/maps/?q=45.988538889,-66.646938889</v>
      </c>
    </row>
    <row r="675" spans="1:8" ht="29" x14ac:dyDescent="0.35">
      <c r="A675" t="s">
        <v>4463</v>
      </c>
      <c r="B675" t="s">
        <v>4464</v>
      </c>
      <c r="C675" t="s">
        <v>4465</v>
      </c>
      <c r="D675" t="s">
        <v>4466</v>
      </c>
      <c r="E675" s="10" t="s">
        <v>28</v>
      </c>
      <c r="F675" s="11" t="s">
        <v>4467</v>
      </c>
      <c r="H675" s="17" t="str">
        <f>HYPERLINK("https://www.google.com/maps/?q=45.921258333,-66.623077778", "https://www.google.com/maps/?q=45.921258333,-66.623077778")</f>
        <v>https://www.google.com/maps/?q=45.921258333,-66.623077778</v>
      </c>
    </row>
    <row r="676" spans="1:8" ht="29" x14ac:dyDescent="0.35">
      <c r="A676" t="s">
        <v>4468</v>
      </c>
      <c r="B676" t="s">
        <v>4469</v>
      </c>
      <c r="C676" t="s">
        <v>4470</v>
      </c>
      <c r="D676" t="s">
        <v>4471</v>
      </c>
      <c r="E676" s="10" t="s">
        <v>195</v>
      </c>
      <c r="F676" s="11" t="s">
        <v>4472</v>
      </c>
      <c r="H676" s="17" t="str">
        <f>HYPERLINK("https://www.google.com/maps/?q=46.0785250000001,-64.663211111", "https://www.google.com/maps/?q=46.0785250000001,-64.663211111")</f>
        <v>https://www.google.com/maps/?q=46.0785250000001,-64.663211111</v>
      </c>
    </row>
    <row r="677" spans="1:8" ht="29" x14ac:dyDescent="0.35">
      <c r="A677" t="s">
        <v>4473</v>
      </c>
      <c r="B677" t="s">
        <v>4474</v>
      </c>
      <c r="C677" t="s">
        <v>4475</v>
      </c>
      <c r="D677" t="s">
        <v>4476</v>
      </c>
      <c r="E677" s="10" t="s">
        <v>50</v>
      </c>
      <c r="F677" s="11" t="s">
        <v>2474</v>
      </c>
      <c r="H677" s="17" t="str">
        <f>HYPERLINK("https://www.google.com/maps/?q=45.4476666670001,-66.0083", "https://www.google.com/maps/?q=45.4476666670001,-66.0083")</f>
        <v>https://www.google.com/maps/?q=45.4476666670001,-66.0083</v>
      </c>
    </row>
    <row r="678" spans="1:8" ht="29" x14ac:dyDescent="0.35">
      <c r="A678" t="s">
        <v>4477</v>
      </c>
      <c r="B678" t="s">
        <v>4478</v>
      </c>
      <c r="C678" t="s">
        <v>4479</v>
      </c>
      <c r="D678" t="s">
        <v>4480</v>
      </c>
      <c r="E678" s="10" t="s">
        <v>50</v>
      </c>
      <c r="F678" s="11" t="s">
        <v>2132</v>
      </c>
      <c r="H678" s="17" t="str">
        <f>HYPERLINK("https://www.google.com/maps/?q=45.367227778,-65.952891667", "https://www.google.com/maps/?q=45.367227778,-65.952891667")</f>
        <v>https://www.google.com/maps/?q=45.367227778,-65.952891667</v>
      </c>
    </row>
    <row r="679" spans="1:8" ht="29" x14ac:dyDescent="0.35">
      <c r="A679" t="s">
        <v>4481</v>
      </c>
      <c r="B679" t="s">
        <v>4482</v>
      </c>
      <c r="C679" t="s">
        <v>4483</v>
      </c>
      <c r="D679" t="s">
        <v>4484</v>
      </c>
      <c r="E679" s="10" t="s">
        <v>461</v>
      </c>
      <c r="F679" s="11" t="s">
        <v>4485</v>
      </c>
      <c r="H679" s="17" t="str">
        <f>HYPERLINK("https://www.google.com/maps/?q=46.1153833330001,-64.6858194439999", "https://www.google.com/maps/?q=46.1153833330001,-64.6858194439999")</f>
        <v>https://www.google.com/maps/?q=46.1153833330001,-64.6858194439999</v>
      </c>
    </row>
    <row r="680" spans="1:8" ht="29" x14ac:dyDescent="0.35">
      <c r="A680" t="s">
        <v>4486</v>
      </c>
      <c r="B680" t="s">
        <v>4487</v>
      </c>
      <c r="C680" t="s">
        <v>4488</v>
      </c>
      <c r="D680" t="s">
        <v>4489</v>
      </c>
      <c r="E680" s="10" t="s">
        <v>461</v>
      </c>
      <c r="F680" s="11" t="s">
        <v>4490</v>
      </c>
      <c r="H680" s="17" t="str">
        <f>HYPERLINK("https://www.google.com/maps/?q=45.2506777780001,-66.0753583329999", "https://www.google.com/maps/?q=45.2506777780001,-66.0753583329999")</f>
        <v>https://www.google.com/maps/?q=45.2506777780001,-66.0753583329999</v>
      </c>
    </row>
    <row r="681" spans="1:8" ht="29" x14ac:dyDescent="0.35">
      <c r="A681" t="s">
        <v>4491</v>
      </c>
      <c r="B681" t="s">
        <v>4492</v>
      </c>
      <c r="C681" t="s">
        <v>4493</v>
      </c>
      <c r="D681" t="s">
        <v>4494</v>
      </c>
      <c r="E681" s="10" t="s">
        <v>461</v>
      </c>
      <c r="F681" s="11" t="s">
        <v>2036</v>
      </c>
      <c r="H681" s="17" t="str">
        <f>HYPERLINK("https://www.google.com/maps/?q=45.9521722220001,-66.570588889", "https://www.google.com/maps/?q=45.9521722220001,-66.570588889")</f>
        <v>https://www.google.com/maps/?q=45.9521722220001,-66.570588889</v>
      </c>
    </row>
    <row r="682" spans="1:8" ht="29" x14ac:dyDescent="0.35">
      <c r="A682" t="s">
        <v>4495</v>
      </c>
      <c r="B682" t="s">
        <v>4496</v>
      </c>
      <c r="C682" t="s">
        <v>4497</v>
      </c>
      <c r="D682" t="s">
        <v>4498</v>
      </c>
      <c r="E682" s="10" t="s">
        <v>50</v>
      </c>
      <c r="F682" s="11" t="s">
        <v>4499</v>
      </c>
      <c r="H682" s="17" t="str">
        <f>HYPERLINK("https://www.google.com/maps/?q=45.838294444,-66.4956611109999", "https://www.google.com/maps/?q=45.838294444,-66.4956611109999")</f>
        <v>https://www.google.com/maps/?q=45.838294444,-66.4956611109999</v>
      </c>
    </row>
    <row r="683" spans="1:8" ht="29" x14ac:dyDescent="0.35">
      <c r="A683" t="s">
        <v>4500</v>
      </c>
      <c r="B683" t="s">
        <v>4501</v>
      </c>
      <c r="C683" t="s">
        <v>4502</v>
      </c>
      <c r="D683" t="s">
        <v>4503</v>
      </c>
      <c r="E683" s="10" t="s">
        <v>50</v>
      </c>
      <c r="F683" s="11" t="s">
        <v>4504</v>
      </c>
      <c r="H683" s="17" t="str">
        <f>HYPERLINK("https://www.google.com/maps/?q=45.9408000000001,-66.671380556", "https://www.google.com/maps/?q=45.9408000000001,-66.671380556")</f>
        <v>https://www.google.com/maps/?q=45.9408000000001,-66.671380556</v>
      </c>
    </row>
    <row r="684" spans="1:8" ht="29" x14ac:dyDescent="0.35">
      <c r="A684" t="s">
        <v>4505</v>
      </c>
      <c r="B684" t="s">
        <v>4506</v>
      </c>
      <c r="C684" t="s">
        <v>4507</v>
      </c>
      <c r="D684" t="s">
        <v>4508</v>
      </c>
      <c r="E684" s="10" t="s">
        <v>50</v>
      </c>
      <c r="F684" s="11" t="s">
        <v>4509</v>
      </c>
      <c r="H684" s="17" t="str">
        <f>HYPERLINK("https://www.google.com/maps/?q=46.185327778,-65.910330556", "https://www.google.com/maps/?q=46.185327778,-65.910330556")</f>
        <v>https://www.google.com/maps/?q=46.185327778,-65.910330556</v>
      </c>
    </row>
    <row r="685" spans="1:8" ht="29" x14ac:dyDescent="0.35">
      <c r="A685" t="s">
        <v>4510</v>
      </c>
      <c r="B685" t="s">
        <v>4511</v>
      </c>
      <c r="C685" t="s">
        <v>4512</v>
      </c>
      <c r="D685" t="s">
        <v>4513</v>
      </c>
      <c r="E685" s="10" t="s">
        <v>66</v>
      </c>
      <c r="F685" s="11" t="s">
        <v>4514</v>
      </c>
      <c r="H685" s="17" t="str">
        <f>HYPERLINK("https://www.google.com/maps/?q=45.887261111,-66.5545611109999", "https://www.google.com/maps/?q=45.887261111,-66.5545611109999")</f>
        <v>https://www.google.com/maps/?q=45.887261111,-66.5545611109999</v>
      </c>
    </row>
    <row r="686" spans="1:8" ht="29" x14ac:dyDescent="0.35">
      <c r="A686" t="s">
        <v>4515</v>
      </c>
      <c r="B686" t="s">
        <v>4516</v>
      </c>
      <c r="C686" t="s">
        <v>4517</v>
      </c>
      <c r="D686" t="s">
        <v>4518</v>
      </c>
      <c r="E686" s="10" t="s">
        <v>66</v>
      </c>
      <c r="F686" s="11" t="s">
        <v>4519</v>
      </c>
      <c r="H686" s="17" t="str">
        <f>HYPERLINK("https://www.google.com/maps/?q=45.273080556,-66.062188889", "https://www.google.com/maps/?q=45.273080556,-66.062188889")</f>
        <v>https://www.google.com/maps/?q=45.273080556,-66.062188889</v>
      </c>
    </row>
    <row r="687" spans="1:8" ht="29" x14ac:dyDescent="0.35">
      <c r="A687" t="s">
        <v>4520</v>
      </c>
      <c r="B687" t="s">
        <v>4474</v>
      </c>
      <c r="C687" t="s">
        <v>4521</v>
      </c>
      <c r="D687" t="s">
        <v>4476</v>
      </c>
      <c r="E687" s="10" t="s">
        <v>66</v>
      </c>
      <c r="F687" s="11" t="s">
        <v>2474</v>
      </c>
      <c r="H687" s="17" t="str">
        <f>HYPERLINK("https://www.google.com/maps/?q=45.447669444,-66.0083", "https://www.google.com/maps/?q=45.447669444,-66.0083")</f>
        <v>https://www.google.com/maps/?q=45.447669444,-66.0083</v>
      </c>
    </row>
    <row r="688" spans="1:8" ht="29" x14ac:dyDescent="0.35">
      <c r="A688" t="s">
        <v>4522</v>
      </c>
      <c r="B688" t="s">
        <v>4523</v>
      </c>
      <c r="C688" t="s">
        <v>4524</v>
      </c>
      <c r="D688" t="s">
        <v>4525</v>
      </c>
      <c r="E688" s="10" t="s">
        <v>66</v>
      </c>
      <c r="F688" s="11" t="s">
        <v>1566</v>
      </c>
      <c r="H688" s="17" t="str">
        <f>HYPERLINK("https://www.google.com/maps/?q=45.3339,-65.9372", "https://www.google.com/maps/?q=45.3339,-65.9372")</f>
        <v>https://www.google.com/maps/?q=45.3339,-65.9372</v>
      </c>
    </row>
    <row r="689" spans="1:8" ht="29" x14ac:dyDescent="0.35">
      <c r="A689" t="s">
        <v>4526</v>
      </c>
      <c r="B689" t="s">
        <v>4527</v>
      </c>
      <c r="C689" t="s">
        <v>4528</v>
      </c>
      <c r="D689" t="s">
        <v>4529</v>
      </c>
      <c r="E689" s="10" t="s">
        <v>17</v>
      </c>
      <c r="F689" s="11" t="s">
        <v>3252</v>
      </c>
      <c r="H689" s="17" t="str">
        <f>HYPERLINK("https://www.google.com/maps/?q=47.9333333330001,-64.5702777779999", "https://www.google.com/maps/?q=47.9333333330001,-64.5702777779999")</f>
        <v>https://www.google.com/maps/?q=47.9333333330001,-64.5702777779999</v>
      </c>
    </row>
    <row r="690" spans="1:8" ht="29" x14ac:dyDescent="0.35">
      <c r="A690" t="s">
        <v>4530</v>
      </c>
      <c r="B690" t="s">
        <v>4531</v>
      </c>
      <c r="C690" t="s">
        <v>4532</v>
      </c>
      <c r="D690" t="s">
        <v>4533</v>
      </c>
      <c r="E690" s="10" t="s">
        <v>50</v>
      </c>
      <c r="F690" s="11" t="s">
        <v>1873</v>
      </c>
      <c r="H690" s="17" t="str">
        <f>HYPERLINK("https://www.google.com/maps/?q=46.194297222,-64.282238889", "https://www.google.com/maps/?q=46.194297222,-64.282238889")</f>
        <v>https://www.google.com/maps/?q=46.194297222,-64.282238889</v>
      </c>
    </row>
    <row r="691" spans="1:8" ht="29" x14ac:dyDescent="0.35">
      <c r="A691" t="s">
        <v>4534</v>
      </c>
      <c r="B691" t="s">
        <v>4535</v>
      </c>
      <c r="C691" t="s">
        <v>4536</v>
      </c>
      <c r="D691" t="s">
        <v>4537</v>
      </c>
      <c r="E691" s="10" t="s">
        <v>28</v>
      </c>
      <c r="F691" s="11" t="s">
        <v>4538</v>
      </c>
      <c r="H691" s="17" t="str">
        <f>HYPERLINK("https://www.google.com/maps/?q=47.5411777780001,-65.0975472219999", "https://www.google.com/maps/?q=47.5411777780001,-65.0975472219999")</f>
        <v>https://www.google.com/maps/?q=47.5411777780001,-65.0975472219999</v>
      </c>
    </row>
    <row r="692" spans="1:8" ht="29" x14ac:dyDescent="0.35">
      <c r="A692" t="s">
        <v>4539</v>
      </c>
      <c r="B692" t="s">
        <v>4540</v>
      </c>
      <c r="C692" t="s">
        <v>4541</v>
      </c>
      <c r="D692" t="s">
        <v>4542</v>
      </c>
      <c r="E692" s="10" t="s">
        <v>28</v>
      </c>
      <c r="F692" s="11" t="s">
        <v>4543</v>
      </c>
      <c r="H692" s="17" t="str">
        <f>HYPERLINK("https://www.google.com/maps/?q=46.0960388890001,-64.872533333", "https://www.google.com/maps/?q=46.0960388890001,-64.872533333")</f>
        <v>https://www.google.com/maps/?q=46.0960388890001,-64.872533333</v>
      </c>
    </row>
    <row r="693" spans="1:8" ht="29" x14ac:dyDescent="0.35">
      <c r="A693" t="s">
        <v>4544</v>
      </c>
      <c r="B693" t="s">
        <v>4545</v>
      </c>
      <c r="C693" t="s">
        <v>4546</v>
      </c>
      <c r="D693" t="s">
        <v>4547</v>
      </c>
      <c r="E693" s="10" t="s">
        <v>66</v>
      </c>
      <c r="F693" s="11" t="s">
        <v>2706</v>
      </c>
      <c r="H693" s="17" t="str">
        <f>HYPERLINK("https://www.google.com/maps/?q=45.3320000000001,-66.016", "https://www.google.com/maps/?q=45.3320000000001,-66.016")</f>
        <v>https://www.google.com/maps/?q=45.3320000000001,-66.016</v>
      </c>
    </row>
    <row r="694" spans="1:8" ht="29" x14ac:dyDescent="0.35">
      <c r="A694" t="s">
        <v>4548</v>
      </c>
      <c r="B694" t="s">
        <v>4549</v>
      </c>
      <c r="C694" t="s">
        <v>4550</v>
      </c>
      <c r="D694" t="s">
        <v>4551</v>
      </c>
      <c r="E694" s="10" t="s">
        <v>66</v>
      </c>
      <c r="F694" s="11" t="s">
        <v>2884</v>
      </c>
      <c r="H694" s="17" t="str">
        <f>HYPERLINK("https://www.google.com/maps/?q=46.1959972220001,-64.8049999999999", "https://www.google.com/maps/?q=46.1959972220001,-64.8049999999999")</f>
        <v>https://www.google.com/maps/?q=46.1959972220001,-64.8049999999999</v>
      </c>
    </row>
    <row r="695" spans="1:8" ht="29" x14ac:dyDescent="0.35">
      <c r="A695" t="s">
        <v>4552</v>
      </c>
      <c r="B695" t="s">
        <v>4553</v>
      </c>
      <c r="C695" t="s">
        <v>4554</v>
      </c>
      <c r="D695" t="s">
        <v>4555</v>
      </c>
      <c r="E695" s="10" t="s">
        <v>66</v>
      </c>
      <c r="F695" s="11" t="s">
        <v>1852</v>
      </c>
      <c r="H695" s="17" t="str">
        <f>HYPERLINK("https://www.google.com/maps/?q=45.393,-65.966", "https://www.google.com/maps/?q=45.393,-65.966")</f>
        <v>https://www.google.com/maps/?q=45.393,-65.966</v>
      </c>
    </row>
    <row r="696" spans="1:8" ht="29" x14ac:dyDescent="0.35">
      <c r="A696" t="s">
        <v>4556</v>
      </c>
      <c r="B696" t="s">
        <v>4557</v>
      </c>
      <c r="C696" t="s">
        <v>4558</v>
      </c>
      <c r="D696" t="s">
        <v>4559</v>
      </c>
      <c r="E696" s="10" t="s">
        <v>28</v>
      </c>
      <c r="F696" s="11" t="s">
        <v>4202</v>
      </c>
      <c r="H696" s="17" t="str">
        <f>HYPERLINK("https://www.google.com/maps/?q=45.7424972220001,-66.485797222", "https://www.google.com/maps/?q=45.7424972220001,-66.485797222")</f>
        <v>https://www.google.com/maps/?q=45.7424972220001,-66.485797222</v>
      </c>
    </row>
    <row r="697" spans="1:8" ht="29" x14ac:dyDescent="0.35">
      <c r="A697" t="s">
        <v>4560</v>
      </c>
      <c r="B697" t="s">
        <v>4561</v>
      </c>
      <c r="C697" t="s">
        <v>4562</v>
      </c>
      <c r="D697" t="s">
        <v>4563</v>
      </c>
      <c r="E697" s="10" t="s">
        <v>28</v>
      </c>
      <c r="F697" s="11" t="s">
        <v>4564</v>
      </c>
      <c r="H697" s="17" t="str">
        <f>HYPERLINK("https://www.google.com/maps/?q=45.0739,-67.0542", "https://www.google.com/maps/?q=45.0739,-67.0542")</f>
        <v>https://www.google.com/maps/?q=45.0739,-67.0542</v>
      </c>
    </row>
    <row r="698" spans="1:8" ht="29" x14ac:dyDescent="0.35">
      <c r="A698" t="s">
        <v>4565</v>
      </c>
      <c r="B698" t="s">
        <v>4566</v>
      </c>
      <c r="C698" t="s">
        <v>4567</v>
      </c>
      <c r="D698" t="s">
        <v>4568</v>
      </c>
      <c r="E698" s="10" t="s">
        <v>44</v>
      </c>
      <c r="F698" s="11" t="s">
        <v>4569</v>
      </c>
      <c r="H698" s="17" t="str">
        <f>HYPERLINK("https://www.google.com/maps/?q=47.035294444,-67.758802778", "https://www.google.com/maps/?q=47.035294444,-67.758802778")</f>
        <v>https://www.google.com/maps/?q=47.035294444,-67.758802778</v>
      </c>
    </row>
    <row r="699" spans="1:8" ht="29" x14ac:dyDescent="0.35">
      <c r="A699" t="s">
        <v>4570</v>
      </c>
      <c r="B699" t="s">
        <v>4571</v>
      </c>
      <c r="C699" t="s">
        <v>4572</v>
      </c>
      <c r="D699" t="s">
        <v>4573</v>
      </c>
      <c r="E699" s="10" t="s">
        <v>28</v>
      </c>
      <c r="F699" s="11" t="s">
        <v>4574</v>
      </c>
      <c r="H699" s="17" t="str">
        <f>HYPERLINK("https://www.google.com/maps/?q=46.2188,-64.5570999999999", "https://www.google.com/maps/?q=46.2188,-64.5570999999999")</f>
        <v>https://www.google.com/maps/?q=46.2188,-64.5570999999999</v>
      </c>
    </row>
    <row r="700" spans="1:8" ht="29" x14ac:dyDescent="0.35">
      <c r="A700" t="s">
        <v>4575</v>
      </c>
      <c r="B700" t="s">
        <v>2388</v>
      </c>
      <c r="C700" t="s">
        <v>4576</v>
      </c>
      <c r="D700" t="s">
        <v>2390</v>
      </c>
      <c r="E700" s="10" t="s">
        <v>44</v>
      </c>
      <c r="F700" s="11" t="s">
        <v>1323</v>
      </c>
      <c r="H700" s="17" t="str">
        <f>HYPERLINK("https://www.google.com/maps/?q=45.829641667,-66.230044444", "https://www.google.com/maps/?q=45.829641667,-66.230044444")</f>
        <v>https://www.google.com/maps/?q=45.829641667,-66.230044444</v>
      </c>
    </row>
    <row r="701" spans="1:8" ht="29" x14ac:dyDescent="0.35">
      <c r="A701" t="s">
        <v>4577</v>
      </c>
      <c r="B701" t="s">
        <v>4578</v>
      </c>
      <c r="C701" t="s">
        <v>4579</v>
      </c>
      <c r="D701" t="s">
        <v>4580</v>
      </c>
      <c r="E701" s="10" t="s">
        <v>44</v>
      </c>
      <c r="F701" s="11" t="s">
        <v>2152</v>
      </c>
      <c r="H701" s="17" t="str">
        <f>HYPERLINK("https://www.google.com/maps/?q=47.0343,-67.760219444", "https://www.google.com/maps/?q=47.0343,-67.760219444")</f>
        <v>https://www.google.com/maps/?q=47.0343,-67.760219444</v>
      </c>
    </row>
    <row r="702" spans="1:8" ht="29" x14ac:dyDescent="0.35">
      <c r="A702" t="s">
        <v>4581</v>
      </c>
      <c r="B702" t="s">
        <v>4582</v>
      </c>
      <c r="C702" t="s">
        <v>4583</v>
      </c>
      <c r="D702" t="s">
        <v>4584</v>
      </c>
      <c r="E702" s="10" t="s">
        <v>44</v>
      </c>
      <c r="F702" s="11" t="s">
        <v>4585</v>
      </c>
      <c r="H702" s="17" t="str">
        <f>HYPERLINK("https://www.google.com/maps/?q=46.589219444,-67.601361111", "https://www.google.com/maps/?q=46.589219444,-67.601361111")</f>
        <v>https://www.google.com/maps/?q=46.589219444,-67.601361111</v>
      </c>
    </row>
    <row r="703" spans="1:8" ht="29" x14ac:dyDescent="0.35">
      <c r="A703" t="s">
        <v>4586</v>
      </c>
      <c r="B703" t="s">
        <v>4587</v>
      </c>
      <c r="C703" t="s">
        <v>4588</v>
      </c>
      <c r="D703" t="s">
        <v>4589</v>
      </c>
      <c r="E703" s="10" t="s">
        <v>44</v>
      </c>
      <c r="F703" s="11" t="s">
        <v>3089</v>
      </c>
      <c r="H703" s="17" t="str">
        <f>HYPERLINK("https://www.google.com/maps/?q=45.924952778,-64.578538889", "https://www.google.com/maps/?q=45.924952778,-64.578538889")</f>
        <v>https://www.google.com/maps/?q=45.924952778,-64.578538889</v>
      </c>
    </row>
    <row r="704" spans="1:8" ht="29" x14ac:dyDescent="0.35">
      <c r="A704" t="s">
        <v>4590</v>
      </c>
      <c r="B704" t="s">
        <v>4591</v>
      </c>
      <c r="C704" t="s">
        <v>4592</v>
      </c>
      <c r="D704" t="s">
        <v>4593</v>
      </c>
      <c r="E704" s="10" t="s">
        <v>44</v>
      </c>
      <c r="F704" s="11" t="s">
        <v>4594</v>
      </c>
      <c r="H704" s="17" t="str">
        <f>HYPERLINK("https://www.google.com/maps/?q=45.5873472220001,-65.614408333", "https://www.google.com/maps/?q=45.5873472220001,-65.614408333")</f>
        <v>https://www.google.com/maps/?q=45.5873472220001,-65.614408333</v>
      </c>
    </row>
    <row r="705" spans="1:8" ht="29" x14ac:dyDescent="0.35">
      <c r="A705" t="s">
        <v>4595</v>
      </c>
      <c r="B705" t="s">
        <v>4596</v>
      </c>
      <c r="C705" t="s">
        <v>4597</v>
      </c>
      <c r="D705" t="s">
        <v>4598</v>
      </c>
      <c r="E705" s="10" t="s">
        <v>1109</v>
      </c>
      <c r="F705" s="11" t="s">
        <v>4599</v>
      </c>
      <c r="H705" s="17" t="str">
        <f>HYPERLINK("https://www.google.com/maps/?q=46.0703055560001,-64.8780555559999", "https://www.google.com/maps/?q=46.0703055560001,-64.8780555559999")</f>
        <v>https://www.google.com/maps/?q=46.0703055560001,-64.8780555559999</v>
      </c>
    </row>
    <row r="706" spans="1:8" ht="29" x14ac:dyDescent="0.35">
      <c r="A706" t="s">
        <v>4600</v>
      </c>
      <c r="B706" t="s">
        <v>4601</v>
      </c>
      <c r="C706" t="s">
        <v>4602</v>
      </c>
      <c r="D706" t="s">
        <v>4603</v>
      </c>
      <c r="E706" s="10" t="s">
        <v>1109</v>
      </c>
      <c r="F706" s="11" t="s">
        <v>4604</v>
      </c>
      <c r="H706" s="17" t="str">
        <f>HYPERLINK("https://www.google.com/maps/?q=46.1950555560001,-65.7379722219999", "https://www.google.com/maps/?q=46.1950555560001,-65.7379722219999")</f>
        <v>https://www.google.com/maps/?q=46.1950555560001,-65.7379722219999</v>
      </c>
    </row>
    <row r="707" spans="1:8" ht="29" x14ac:dyDescent="0.35">
      <c r="A707" t="s">
        <v>4605</v>
      </c>
      <c r="B707" t="s">
        <v>4606</v>
      </c>
      <c r="C707" t="s">
        <v>4607</v>
      </c>
      <c r="D707" t="s">
        <v>4608</v>
      </c>
      <c r="E707" s="10" t="s">
        <v>28</v>
      </c>
      <c r="F707" s="11" t="s">
        <v>4609</v>
      </c>
      <c r="H707" s="17" t="str">
        <f>HYPERLINK("https://www.google.com/maps/?q=46.448888889,-64.9375277779999", "https://www.google.com/maps/?q=46.448888889,-64.9375277779999")</f>
        <v>https://www.google.com/maps/?q=46.448888889,-64.9375277779999</v>
      </c>
    </row>
    <row r="708" spans="1:8" ht="29" x14ac:dyDescent="0.35">
      <c r="A708" t="s">
        <v>4610</v>
      </c>
      <c r="B708" t="s">
        <v>4611</v>
      </c>
      <c r="C708" t="s">
        <v>4612</v>
      </c>
      <c r="D708" t="s">
        <v>4613</v>
      </c>
      <c r="E708" s="10" t="s">
        <v>28</v>
      </c>
      <c r="F708" s="11" t="s">
        <v>4614</v>
      </c>
      <c r="H708" s="17" t="str">
        <f>HYPERLINK("https://www.google.com/maps/?q=44.762208333,-66.7637861109999", "https://www.google.com/maps/?q=44.762208333,-66.7637861109999")</f>
        <v>https://www.google.com/maps/?q=44.762208333,-66.7637861109999</v>
      </c>
    </row>
    <row r="709" spans="1:8" ht="29" x14ac:dyDescent="0.35">
      <c r="A709" t="s">
        <v>4615</v>
      </c>
      <c r="B709" t="s">
        <v>4616</v>
      </c>
      <c r="C709" t="s">
        <v>4617</v>
      </c>
      <c r="D709" t="s">
        <v>4618</v>
      </c>
      <c r="E709" s="10" t="s">
        <v>28</v>
      </c>
      <c r="F709" s="11" t="s">
        <v>4619</v>
      </c>
      <c r="H709" s="17" t="str">
        <f>HYPERLINK("https://www.google.com/maps/?q=47.360611111,-68.2576972219999", "https://www.google.com/maps/?q=47.360611111,-68.2576972219999")</f>
        <v>https://www.google.com/maps/?q=47.360611111,-68.2576972219999</v>
      </c>
    </row>
    <row r="710" spans="1:8" ht="29" x14ac:dyDescent="0.35">
      <c r="A710" t="s">
        <v>4620</v>
      </c>
      <c r="B710" t="s">
        <v>4621</v>
      </c>
      <c r="C710" t="s">
        <v>4622</v>
      </c>
      <c r="D710" t="s">
        <v>4623</v>
      </c>
      <c r="E710" s="10" t="s">
        <v>28</v>
      </c>
      <c r="F710" s="11" t="s">
        <v>1961</v>
      </c>
      <c r="H710" s="17" t="str">
        <f>HYPERLINK("https://www.google.com/maps/?q=46.005316667,-66.763194444", "https://www.google.com/maps/?q=46.005316667,-66.763194444")</f>
        <v>https://www.google.com/maps/?q=46.005316667,-66.763194444</v>
      </c>
    </row>
    <row r="711" spans="1:8" ht="29" x14ac:dyDescent="0.35">
      <c r="A711" t="s">
        <v>4624</v>
      </c>
      <c r="B711" t="s">
        <v>4625</v>
      </c>
      <c r="C711" t="s">
        <v>4626</v>
      </c>
      <c r="D711" t="s">
        <v>4627</v>
      </c>
      <c r="E711" s="10" t="s">
        <v>50</v>
      </c>
      <c r="F711" s="11" t="s">
        <v>1986</v>
      </c>
      <c r="H711" s="17" t="str">
        <f>HYPERLINK("https://www.google.com/maps/?q=46.4459444440001,-67.576833333", "https://www.google.com/maps/?q=46.4459444440001,-67.576833333")</f>
        <v>https://www.google.com/maps/?q=46.4459444440001,-67.576833333</v>
      </c>
    </row>
    <row r="712" spans="1:8" ht="29" x14ac:dyDescent="0.35">
      <c r="A712" t="s">
        <v>4628</v>
      </c>
      <c r="B712" t="s">
        <v>4629</v>
      </c>
      <c r="C712" t="s">
        <v>4630</v>
      </c>
      <c r="D712" t="s">
        <v>4631</v>
      </c>
      <c r="E712" s="10" t="s">
        <v>28</v>
      </c>
      <c r="F712" s="11" t="s">
        <v>4632</v>
      </c>
      <c r="H712" s="17" t="str">
        <f>HYPERLINK("https://www.google.com/maps/?q=47.3630416670001,-68.263180556", "https://www.google.com/maps/?q=47.3630416670001,-68.263180556")</f>
        <v>https://www.google.com/maps/?q=47.3630416670001,-68.263180556</v>
      </c>
    </row>
    <row r="713" spans="1:8" ht="29" x14ac:dyDescent="0.35">
      <c r="A713" t="s">
        <v>4633</v>
      </c>
      <c r="B713" t="s">
        <v>4634</v>
      </c>
      <c r="C713" t="s">
        <v>4635</v>
      </c>
      <c r="D713" t="s">
        <v>4636</v>
      </c>
      <c r="E713" s="10" t="s">
        <v>28</v>
      </c>
      <c r="F713" s="11" t="s">
        <v>4637</v>
      </c>
      <c r="H713" s="17" t="str">
        <f>HYPERLINK("https://www.google.com/maps/?q=45.998647222,-66.762416667", "https://www.google.com/maps/?q=45.998647222,-66.762416667")</f>
        <v>https://www.google.com/maps/?q=45.998647222,-66.762416667</v>
      </c>
    </row>
    <row r="714" spans="1:8" ht="29" x14ac:dyDescent="0.35">
      <c r="A714" t="s">
        <v>4638</v>
      </c>
      <c r="B714" t="s">
        <v>4639</v>
      </c>
      <c r="C714" t="s">
        <v>4640</v>
      </c>
      <c r="D714" t="s">
        <v>4641</v>
      </c>
      <c r="E714" s="10" t="s">
        <v>44</v>
      </c>
      <c r="F714" s="11" t="s">
        <v>4642</v>
      </c>
      <c r="H714" s="17" t="str">
        <f>HYPERLINK("https://www.google.com/maps/?q=46.2965888890001,-64.631611111", "https://www.google.com/maps/?q=46.2965888890001,-64.631611111")</f>
        <v>https://www.google.com/maps/?q=46.2965888890001,-64.631611111</v>
      </c>
    </row>
    <row r="715" spans="1:8" ht="29" x14ac:dyDescent="0.35">
      <c r="A715" t="s">
        <v>4643</v>
      </c>
      <c r="B715" t="s">
        <v>4644</v>
      </c>
      <c r="C715" t="s">
        <v>4645</v>
      </c>
      <c r="D715" t="s">
        <v>4646</v>
      </c>
      <c r="E715" s="10" t="s">
        <v>44</v>
      </c>
      <c r="F715" s="11" t="s">
        <v>4647</v>
      </c>
      <c r="H715" s="17" t="str">
        <f>HYPERLINK("https://www.google.com/maps/?q=46.930961111,-65.662219444", "https://www.google.com/maps/?q=46.930961111,-65.662219444")</f>
        <v>https://www.google.com/maps/?q=46.930961111,-65.662219444</v>
      </c>
    </row>
    <row r="716" spans="1:8" ht="29" x14ac:dyDescent="0.35">
      <c r="A716" t="s">
        <v>4648</v>
      </c>
      <c r="B716" t="s">
        <v>4649</v>
      </c>
      <c r="C716" t="s">
        <v>4650</v>
      </c>
      <c r="D716" t="s">
        <v>4651</v>
      </c>
      <c r="E716" s="10" t="s">
        <v>28</v>
      </c>
      <c r="F716" s="11" t="s">
        <v>4652</v>
      </c>
      <c r="H716" s="17" t="str">
        <f>HYPERLINK("https://www.google.com/maps/?q=45.8096166670001,-66.690455556", "https://www.google.com/maps/?q=45.8096166670001,-66.690455556")</f>
        <v>https://www.google.com/maps/?q=45.8096166670001,-66.690455556</v>
      </c>
    </row>
    <row r="717" spans="1:8" ht="29" x14ac:dyDescent="0.35">
      <c r="A717" t="s">
        <v>4653</v>
      </c>
      <c r="B717" t="s">
        <v>4654</v>
      </c>
      <c r="C717" t="s">
        <v>4655</v>
      </c>
      <c r="D717" t="s">
        <v>4656</v>
      </c>
      <c r="E717" s="10" t="s">
        <v>28</v>
      </c>
      <c r="F717" s="11" t="s">
        <v>4657</v>
      </c>
      <c r="H717" s="17" t="str">
        <f>HYPERLINK("https://www.google.com/maps/?q=45.873897222,-66.5778972219999", "https://www.google.com/maps/?q=45.873897222,-66.5778972219999")</f>
        <v>https://www.google.com/maps/?q=45.873897222,-66.5778972219999</v>
      </c>
    </row>
    <row r="718" spans="1:8" ht="29" x14ac:dyDescent="0.35">
      <c r="A718" t="s">
        <v>4658</v>
      </c>
      <c r="B718" t="s">
        <v>4659</v>
      </c>
      <c r="C718" t="s">
        <v>4660</v>
      </c>
      <c r="D718" t="s">
        <v>4661</v>
      </c>
      <c r="E718" s="10" t="s">
        <v>28</v>
      </c>
      <c r="F718" s="11" t="s">
        <v>4662</v>
      </c>
      <c r="H718" s="17" t="str">
        <f>HYPERLINK("https://www.google.com/maps/?q=45.9842055560001,-66.650502778", "https://www.google.com/maps/?q=45.9842055560001,-66.650502778")</f>
        <v>https://www.google.com/maps/?q=45.9842055560001,-66.650502778</v>
      </c>
    </row>
    <row r="719" spans="1:8" ht="29" x14ac:dyDescent="0.35">
      <c r="A719" t="s">
        <v>4663</v>
      </c>
      <c r="B719" t="s">
        <v>4664</v>
      </c>
      <c r="C719" t="s">
        <v>4665</v>
      </c>
      <c r="D719" t="s">
        <v>4666</v>
      </c>
      <c r="E719" s="10" t="s">
        <v>28</v>
      </c>
      <c r="F719" s="11" t="s">
        <v>4667</v>
      </c>
      <c r="H719" s="17" t="str">
        <f>HYPERLINK("https://www.google.com/maps/?q=45.9895472220001,-66.761791667", "https://www.google.com/maps/?q=45.9895472220001,-66.761791667")</f>
        <v>https://www.google.com/maps/?q=45.9895472220001,-66.761791667</v>
      </c>
    </row>
    <row r="720" spans="1:8" ht="29" x14ac:dyDescent="0.35">
      <c r="A720" t="s">
        <v>4668</v>
      </c>
      <c r="B720" t="s">
        <v>4669</v>
      </c>
      <c r="C720" t="s">
        <v>4670</v>
      </c>
      <c r="D720" t="s">
        <v>4671</v>
      </c>
      <c r="E720" s="10" t="s">
        <v>28</v>
      </c>
      <c r="F720" s="11" t="s">
        <v>3639</v>
      </c>
      <c r="H720" s="17" t="str">
        <f>HYPERLINK("https://www.google.com/maps/?q=46.006608333,-66.7554916669999", "https://www.google.com/maps/?q=46.006608333,-66.7554916669999")</f>
        <v>https://www.google.com/maps/?q=46.006608333,-66.7554916669999</v>
      </c>
    </row>
    <row r="721" spans="1:8" ht="29" x14ac:dyDescent="0.35">
      <c r="A721" t="s">
        <v>4672</v>
      </c>
      <c r="B721" t="s">
        <v>4673</v>
      </c>
      <c r="C721" t="s">
        <v>4674</v>
      </c>
      <c r="D721" t="s">
        <v>4675</v>
      </c>
      <c r="E721" s="10" t="s">
        <v>28</v>
      </c>
      <c r="F721" s="11" t="s">
        <v>4676</v>
      </c>
      <c r="H721" s="17" t="str">
        <f>HYPERLINK("https://www.google.com/maps/?q=46.224027778,-64.515469444", "https://www.google.com/maps/?q=46.224027778,-64.515469444")</f>
        <v>https://www.google.com/maps/?q=46.224027778,-64.515469444</v>
      </c>
    </row>
    <row r="722" spans="1:8" ht="29" x14ac:dyDescent="0.35">
      <c r="A722" t="s">
        <v>4677</v>
      </c>
      <c r="B722" t="s">
        <v>4678</v>
      </c>
      <c r="C722" t="s">
        <v>4679</v>
      </c>
      <c r="D722" t="s">
        <v>4680</v>
      </c>
      <c r="E722" s="10" t="s">
        <v>28</v>
      </c>
      <c r="F722" s="11" t="s">
        <v>4681</v>
      </c>
      <c r="H722" s="17" t="str">
        <f>HYPERLINK("https://www.google.com/maps/?q=45.9123277780001,-66.614280556", "https://www.google.com/maps/?q=45.9123277780001,-66.614280556")</f>
        <v>https://www.google.com/maps/?q=45.9123277780001,-66.614280556</v>
      </c>
    </row>
    <row r="723" spans="1:8" ht="29" x14ac:dyDescent="0.35">
      <c r="A723" t="s">
        <v>4682</v>
      </c>
      <c r="B723" t="s">
        <v>4683</v>
      </c>
      <c r="C723" t="s">
        <v>4684</v>
      </c>
      <c r="D723" t="s">
        <v>4685</v>
      </c>
      <c r="E723" s="10" t="s">
        <v>28</v>
      </c>
      <c r="F723" s="11" t="s">
        <v>1550</v>
      </c>
      <c r="H723" s="17" t="str">
        <f>HYPERLINK("https://www.google.com/maps/?q=47.7904583330001,-64.95805", "https://www.google.com/maps/?q=47.7904583330001,-64.95805")</f>
        <v>https://www.google.com/maps/?q=47.7904583330001,-64.95805</v>
      </c>
    </row>
    <row r="724" spans="1:8" ht="29" x14ac:dyDescent="0.35">
      <c r="A724" t="s">
        <v>4686</v>
      </c>
      <c r="B724" t="s">
        <v>4687</v>
      </c>
      <c r="C724" t="s">
        <v>4688</v>
      </c>
      <c r="D724" t="s">
        <v>4689</v>
      </c>
      <c r="E724" s="10" t="s">
        <v>28</v>
      </c>
      <c r="F724" s="11" t="s">
        <v>1863</v>
      </c>
      <c r="H724" s="17" t="str">
        <f>HYPERLINK("https://www.google.com/maps/?q=45.640830556,-65.894719444", "https://www.google.com/maps/?q=45.640830556,-65.894719444")</f>
        <v>https://www.google.com/maps/?q=45.640830556,-65.894719444</v>
      </c>
    </row>
    <row r="725" spans="1:8" ht="29" x14ac:dyDescent="0.35">
      <c r="A725" t="s">
        <v>4690</v>
      </c>
      <c r="B725" t="s">
        <v>4691</v>
      </c>
      <c r="C725" t="s">
        <v>4692</v>
      </c>
      <c r="D725" t="s">
        <v>4693</v>
      </c>
      <c r="E725" s="10" t="s">
        <v>28</v>
      </c>
      <c r="F725" s="11" t="s">
        <v>4694</v>
      </c>
      <c r="H725" s="17" t="str">
        <f>HYPERLINK("https://www.google.com/maps/?q=46.100569444,-64.808658333", "https://www.google.com/maps/?q=46.100569444,-64.808658333")</f>
        <v>https://www.google.com/maps/?q=46.100569444,-64.808658333</v>
      </c>
    </row>
    <row r="726" spans="1:8" ht="29" x14ac:dyDescent="0.35">
      <c r="A726" t="s">
        <v>4695</v>
      </c>
      <c r="B726" t="s">
        <v>4696</v>
      </c>
      <c r="C726" t="s">
        <v>4697</v>
      </c>
      <c r="D726" t="s">
        <v>4698</v>
      </c>
      <c r="E726" s="10" t="s">
        <v>28</v>
      </c>
      <c r="F726" s="11" t="s">
        <v>4699</v>
      </c>
      <c r="H726" s="17" t="str">
        <f>HYPERLINK("https://www.google.com/maps/?q=45.5947194440001,-67.329161111", "https://www.google.com/maps/?q=45.5947194440001,-67.329161111")</f>
        <v>https://www.google.com/maps/?q=45.5947194440001,-67.329161111</v>
      </c>
    </row>
    <row r="727" spans="1:8" ht="29" x14ac:dyDescent="0.35">
      <c r="A727" t="s">
        <v>4700</v>
      </c>
      <c r="B727" t="s">
        <v>4701</v>
      </c>
      <c r="C727" t="s">
        <v>4702</v>
      </c>
      <c r="D727" t="s">
        <v>4703</v>
      </c>
      <c r="E727" s="10" t="s">
        <v>28</v>
      </c>
      <c r="F727" s="11" t="s">
        <v>3465</v>
      </c>
      <c r="H727" s="17" t="str">
        <f>HYPERLINK("https://www.google.com/maps/?q=46.2727722220001,-66.6028111109999", "https://www.google.com/maps/?q=46.2727722220001,-66.6028111109999")</f>
        <v>https://www.google.com/maps/?q=46.2727722220001,-66.6028111109999</v>
      </c>
    </row>
    <row r="728" spans="1:8" ht="29" x14ac:dyDescent="0.35">
      <c r="A728" t="s">
        <v>4704</v>
      </c>
      <c r="B728" t="s">
        <v>4705</v>
      </c>
      <c r="C728" t="s">
        <v>4706</v>
      </c>
      <c r="D728" t="s">
        <v>4707</v>
      </c>
      <c r="E728" s="10" t="s">
        <v>28</v>
      </c>
      <c r="F728" s="11" t="s">
        <v>3889</v>
      </c>
      <c r="H728" s="17" t="str">
        <f>HYPERLINK("https://www.google.com/maps/?q=45.3316888890001,-65.708486111", "https://www.google.com/maps/?q=45.3316888890001,-65.708486111")</f>
        <v>https://www.google.com/maps/?q=45.3316888890001,-65.708486111</v>
      </c>
    </row>
    <row r="729" spans="1:8" ht="29" x14ac:dyDescent="0.35">
      <c r="A729" t="s">
        <v>4708</v>
      </c>
      <c r="B729" t="s">
        <v>4709</v>
      </c>
      <c r="C729" t="s">
        <v>4710</v>
      </c>
      <c r="D729" t="s">
        <v>4711</v>
      </c>
      <c r="E729" s="10" t="s">
        <v>28</v>
      </c>
      <c r="F729" s="11" t="s">
        <v>4712</v>
      </c>
      <c r="H729" s="17" t="str">
        <f>HYPERLINK("https://www.google.com/maps/?q=46.095916667,-64.756144444", "https://www.google.com/maps/?q=46.095916667,-64.756144444")</f>
        <v>https://www.google.com/maps/?q=46.095916667,-64.756144444</v>
      </c>
    </row>
    <row r="730" spans="1:8" ht="29" x14ac:dyDescent="0.35">
      <c r="A730" t="s">
        <v>4713</v>
      </c>
      <c r="B730" t="s">
        <v>4714</v>
      </c>
      <c r="C730" t="s">
        <v>4715</v>
      </c>
      <c r="D730" t="s">
        <v>4716</v>
      </c>
      <c r="E730" s="10" t="s">
        <v>50</v>
      </c>
      <c r="F730" s="11" t="s">
        <v>4717</v>
      </c>
      <c r="H730" s="17" t="str">
        <f>HYPERLINK("https://www.google.com/maps/?q=47.188011111,-67.897475", "https://www.google.com/maps/?q=47.188011111,-67.897475")</f>
        <v>https://www.google.com/maps/?q=47.188011111,-67.897475</v>
      </c>
    </row>
    <row r="731" spans="1:8" ht="29" x14ac:dyDescent="0.35">
      <c r="A731" t="s">
        <v>4718</v>
      </c>
      <c r="B731" t="s">
        <v>4719</v>
      </c>
      <c r="C731" t="s">
        <v>4720</v>
      </c>
      <c r="D731" t="s">
        <v>4721</v>
      </c>
      <c r="E731" s="10" t="s">
        <v>28</v>
      </c>
      <c r="F731" s="11" t="s">
        <v>2527</v>
      </c>
      <c r="H731" s="17" t="str">
        <f>HYPERLINK("https://www.google.com/maps/?q=46.453055556,-66.520552778", "https://www.google.com/maps/?q=46.453055556,-66.520552778")</f>
        <v>https://www.google.com/maps/?q=46.453055556,-66.520552778</v>
      </c>
    </row>
    <row r="732" spans="1:8" ht="29" x14ac:dyDescent="0.35">
      <c r="A732" t="s">
        <v>4722</v>
      </c>
      <c r="B732" t="s">
        <v>4723</v>
      </c>
      <c r="C732" t="s">
        <v>4724</v>
      </c>
      <c r="D732" t="s">
        <v>4725</v>
      </c>
      <c r="E732" s="10" t="s">
        <v>28</v>
      </c>
      <c r="F732" s="11" t="s">
        <v>4726</v>
      </c>
      <c r="H732" s="17" t="str">
        <f>HYPERLINK("https://www.google.com/maps/?q=46.0912416670001,-64.816569444", "https://www.google.com/maps/?q=46.0912416670001,-64.816569444")</f>
        <v>https://www.google.com/maps/?q=46.0912416670001,-64.816569444</v>
      </c>
    </row>
    <row r="733" spans="1:8" ht="29" x14ac:dyDescent="0.35">
      <c r="A733" t="s">
        <v>4727</v>
      </c>
      <c r="B733" t="s">
        <v>4728</v>
      </c>
      <c r="C733" t="s">
        <v>4729</v>
      </c>
      <c r="D733" t="s">
        <v>4730</v>
      </c>
      <c r="E733" s="10" t="s">
        <v>28</v>
      </c>
      <c r="F733" s="11" t="s">
        <v>4731</v>
      </c>
      <c r="H733" s="17" t="str">
        <f>HYPERLINK("https://www.google.com/maps/?q=45.2608388890001,-66.064333333", "https://www.google.com/maps/?q=45.2608388890001,-66.064333333")</f>
        <v>https://www.google.com/maps/?q=45.2608388890001,-66.064333333</v>
      </c>
    </row>
    <row r="734" spans="1:8" ht="29" x14ac:dyDescent="0.35">
      <c r="A734" t="s">
        <v>4732</v>
      </c>
      <c r="B734" t="s">
        <v>4733</v>
      </c>
      <c r="C734" t="s">
        <v>4734</v>
      </c>
      <c r="D734" t="s">
        <v>4735</v>
      </c>
      <c r="E734" s="10" t="s">
        <v>28</v>
      </c>
      <c r="F734" s="11" t="s">
        <v>4736</v>
      </c>
      <c r="H734" s="17" t="str">
        <f>HYPERLINK("https://www.google.com/maps/?q=45.9352638890001,-64.467158333", "https://www.google.com/maps/?q=45.9352638890001,-64.467158333")</f>
        <v>https://www.google.com/maps/?q=45.9352638890001,-64.467158333</v>
      </c>
    </row>
    <row r="735" spans="1:8" ht="29" x14ac:dyDescent="0.35">
      <c r="A735" t="s">
        <v>4737</v>
      </c>
      <c r="B735" t="s">
        <v>4738</v>
      </c>
      <c r="C735" t="s">
        <v>4739</v>
      </c>
      <c r="D735" t="s">
        <v>4740</v>
      </c>
      <c r="E735" s="10" t="s">
        <v>50</v>
      </c>
      <c r="F735" s="11" t="s">
        <v>4741</v>
      </c>
      <c r="H735" s="17" t="str">
        <f>HYPERLINK("https://www.google.com/maps/?q=47.646125,-64.8752388889999", "https://www.google.com/maps/?q=47.646125,-64.8752388889999")</f>
        <v>https://www.google.com/maps/?q=47.646125,-64.8752388889999</v>
      </c>
    </row>
    <row r="736" spans="1:8" ht="29" x14ac:dyDescent="0.35">
      <c r="A736" t="s">
        <v>4134</v>
      </c>
      <c r="B736" t="s">
        <v>4742</v>
      </c>
      <c r="C736" t="s">
        <v>4136</v>
      </c>
      <c r="D736" t="s">
        <v>4743</v>
      </c>
      <c r="E736" s="10" t="s">
        <v>50</v>
      </c>
      <c r="F736" s="11" t="s">
        <v>4138</v>
      </c>
      <c r="H736" s="17" t="str">
        <f>HYPERLINK("https://www.google.com/maps/?q=46.5693694440001,-66.130986111", "https://www.google.com/maps/?q=46.5693694440001,-66.130986111")</f>
        <v>https://www.google.com/maps/?q=46.5693694440001,-66.130986111</v>
      </c>
    </row>
    <row r="737" spans="1:8" ht="29" x14ac:dyDescent="0.35">
      <c r="A737" t="s">
        <v>4744</v>
      </c>
      <c r="B737" t="s">
        <v>4745</v>
      </c>
      <c r="C737" t="s">
        <v>4746</v>
      </c>
      <c r="D737" t="s">
        <v>4747</v>
      </c>
      <c r="E737" s="10" t="s">
        <v>66</v>
      </c>
      <c r="F737" s="11" t="s">
        <v>4748</v>
      </c>
      <c r="H737" s="17" t="str">
        <f>HYPERLINK("https://www.google.com/maps/?q=45.92105,-66.7200694439999", "https://www.google.com/maps/?q=45.92105,-66.7200694439999")</f>
        <v>https://www.google.com/maps/?q=45.92105,-66.7200694439999</v>
      </c>
    </row>
    <row r="738" spans="1:8" ht="29" x14ac:dyDescent="0.35">
      <c r="A738" t="s">
        <v>4749</v>
      </c>
      <c r="B738" t="s">
        <v>4750</v>
      </c>
      <c r="C738" t="s">
        <v>4751</v>
      </c>
      <c r="D738" t="s">
        <v>4752</v>
      </c>
      <c r="E738" s="10" t="s">
        <v>66</v>
      </c>
      <c r="F738" s="11" t="s">
        <v>3283</v>
      </c>
      <c r="H738" s="17" t="str">
        <f>HYPERLINK("https://www.google.com/maps/?q=45.946666667,-66.595277778", "https://www.google.com/maps/?q=45.946666667,-66.595277778")</f>
        <v>https://www.google.com/maps/?q=45.946666667,-66.595277778</v>
      </c>
    </row>
    <row r="739" spans="1:8" ht="29" x14ac:dyDescent="0.35">
      <c r="A739" t="s">
        <v>4753</v>
      </c>
      <c r="B739" t="s">
        <v>4754</v>
      </c>
      <c r="C739" t="s">
        <v>4755</v>
      </c>
      <c r="D739" t="s">
        <v>4756</v>
      </c>
      <c r="E739" s="10" t="s">
        <v>17</v>
      </c>
      <c r="F739" s="11" t="s">
        <v>2932</v>
      </c>
      <c r="H739" s="17" t="str">
        <f>HYPERLINK("https://www.google.com/maps/?q=47.5522500000001,-65.09725", "https://www.google.com/maps/?q=47.5522500000001,-65.09725")</f>
        <v>https://www.google.com/maps/?q=47.5522500000001,-65.09725</v>
      </c>
    </row>
    <row r="740" spans="1:8" ht="29" x14ac:dyDescent="0.35">
      <c r="A740" t="s">
        <v>2460</v>
      </c>
      <c r="B740" t="s">
        <v>4757</v>
      </c>
      <c r="C740" t="s">
        <v>2462</v>
      </c>
      <c r="D740" t="s">
        <v>4758</v>
      </c>
      <c r="E740" s="10" t="s">
        <v>17</v>
      </c>
      <c r="F740" s="11" t="s">
        <v>2464</v>
      </c>
      <c r="H740" s="17" t="str">
        <f>HYPERLINK("https://www.google.com/maps/?q=45.169066667,-67.3174583329999", "https://www.google.com/maps/?q=45.169066667,-67.3174583329999")</f>
        <v>https://www.google.com/maps/?q=45.169066667,-67.3174583329999</v>
      </c>
    </row>
    <row r="741" spans="1:8" ht="29" x14ac:dyDescent="0.35">
      <c r="A741" t="s">
        <v>4759</v>
      </c>
      <c r="B741" t="s">
        <v>4760</v>
      </c>
      <c r="C741" t="s">
        <v>4761</v>
      </c>
      <c r="D741" t="s">
        <v>4762</v>
      </c>
      <c r="E741" s="10" t="s">
        <v>50</v>
      </c>
      <c r="F741" s="11" t="s">
        <v>4763</v>
      </c>
      <c r="H741" s="17" t="str">
        <f>HYPERLINK("https://www.google.com/maps/?q=45.2943333330001,-66.079591667", "https://www.google.com/maps/?q=45.2943333330001,-66.079591667")</f>
        <v>https://www.google.com/maps/?q=45.2943333330001,-66.079591667</v>
      </c>
    </row>
    <row r="742" spans="1:8" ht="29" x14ac:dyDescent="0.35">
      <c r="A742" t="s">
        <v>4764</v>
      </c>
      <c r="B742" t="s">
        <v>4765</v>
      </c>
      <c r="C742" t="s">
        <v>4766</v>
      </c>
      <c r="D742" t="s">
        <v>4767</v>
      </c>
      <c r="E742" s="10" t="s">
        <v>50</v>
      </c>
      <c r="F742" s="11" t="s">
        <v>4768</v>
      </c>
      <c r="H742" s="17" t="str">
        <f>HYPERLINK("https://www.google.com/maps/?q=45.676980556,-65.525102778", "https://www.google.com/maps/?q=45.676980556,-65.525102778")</f>
        <v>https://www.google.com/maps/?q=45.676980556,-65.525102778</v>
      </c>
    </row>
    <row r="743" spans="1:8" ht="29" x14ac:dyDescent="0.35">
      <c r="A743" t="s">
        <v>4769</v>
      </c>
      <c r="B743" t="s">
        <v>4770</v>
      </c>
      <c r="C743" t="s">
        <v>4771</v>
      </c>
      <c r="D743" t="s">
        <v>4772</v>
      </c>
      <c r="E743" s="10" t="s">
        <v>50</v>
      </c>
      <c r="F743" s="11" t="s">
        <v>3227</v>
      </c>
      <c r="H743" s="17" t="str">
        <f>HYPERLINK("https://www.google.com/maps/?q=45.269722222,-66.102222222", "https://www.google.com/maps/?q=45.269722222,-66.102222222")</f>
        <v>https://www.google.com/maps/?q=45.269722222,-66.102222222</v>
      </c>
    </row>
    <row r="744" spans="1:8" ht="29" x14ac:dyDescent="0.35">
      <c r="A744" t="s">
        <v>4773</v>
      </c>
      <c r="B744" t="s">
        <v>4774</v>
      </c>
      <c r="C744" t="s">
        <v>4775</v>
      </c>
      <c r="D744" t="s">
        <v>4776</v>
      </c>
      <c r="E744" s="10" t="s">
        <v>50</v>
      </c>
      <c r="F744" s="11" t="s">
        <v>1229</v>
      </c>
      <c r="H744" s="17" t="str">
        <f>HYPERLINK("https://www.google.com/maps/?q=46.0658805560001,-64.712033333", "https://www.google.com/maps/?q=46.0658805560001,-64.712033333")</f>
        <v>https://www.google.com/maps/?q=46.0658805560001,-64.712033333</v>
      </c>
    </row>
    <row r="745" spans="1:8" ht="29" x14ac:dyDescent="0.35">
      <c r="A745" t="s">
        <v>4777</v>
      </c>
      <c r="B745" t="s">
        <v>4778</v>
      </c>
      <c r="C745" t="s">
        <v>4779</v>
      </c>
      <c r="D745" t="s">
        <v>4780</v>
      </c>
      <c r="E745" s="10" t="s">
        <v>50</v>
      </c>
      <c r="F745" s="11" t="s">
        <v>4781</v>
      </c>
      <c r="H745" s="17" t="str">
        <f>HYPERLINK("https://www.google.com/maps/?q=46.0144500000001,-67.1767944439999", "https://www.google.com/maps/?q=46.0144500000001,-67.1767944439999")</f>
        <v>https://www.google.com/maps/?q=46.0144500000001,-67.1767944439999</v>
      </c>
    </row>
    <row r="746" spans="1:8" ht="29" x14ac:dyDescent="0.35">
      <c r="A746" t="s">
        <v>4782</v>
      </c>
      <c r="B746" t="s">
        <v>4783</v>
      </c>
      <c r="C746" t="s">
        <v>4784</v>
      </c>
      <c r="D746" t="s">
        <v>4785</v>
      </c>
      <c r="E746" s="10" t="s">
        <v>50</v>
      </c>
      <c r="F746" s="11" t="s">
        <v>4786</v>
      </c>
      <c r="H746" s="17" t="str">
        <f>HYPERLINK("https://www.google.com/maps/?q=46.4968000000001,-66.319730556", "https://www.google.com/maps/?q=46.4968000000001,-66.319730556")</f>
        <v>https://www.google.com/maps/?q=46.4968000000001,-66.319730556</v>
      </c>
    </row>
    <row r="747" spans="1:8" ht="29" x14ac:dyDescent="0.35">
      <c r="A747" t="s">
        <v>4787</v>
      </c>
      <c r="B747" t="s">
        <v>4788</v>
      </c>
      <c r="C747" t="s">
        <v>4789</v>
      </c>
      <c r="D747" t="s">
        <v>4790</v>
      </c>
      <c r="E747" s="10" t="s">
        <v>66</v>
      </c>
      <c r="F747" s="11" t="s">
        <v>4791</v>
      </c>
      <c r="H747" s="17" t="str">
        <f>HYPERLINK("https://www.google.com/maps/?q=46.1282694440001,-64.85975", "https://www.google.com/maps/?q=46.1282694440001,-64.85975")</f>
        <v>https://www.google.com/maps/?q=46.1282694440001,-64.85975</v>
      </c>
    </row>
    <row r="748" spans="1:8" ht="29" x14ac:dyDescent="0.35">
      <c r="A748" t="s">
        <v>4792</v>
      </c>
      <c r="B748" t="s">
        <v>4793</v>
      </c>
      <c r="C748" t="s">
        <v>4794</v>
      </c>
      <c r="D748" t="s">
        <v>4795</v>
      </c>
      <c r="E748" s="10" t="s">
        <v>1109</v>
      </c>
      <c r="F748" s="11" t="s">
        <v>1514</v>
      </c>
      <c r="H748" s="17" t="str">
        <f>HYPERLINK("https://www.google.com/maps/?q=46.0693055560001,-64.864861111", "https://www.google.com/maps/?q=46.0693055560001,-64.864861111")</f>
        <v>https://www.google.com/maps/?q=46.0693055560001,-64.864861111</v>
      </c>
    </row>
    <row r="749" spans="1:8" ht="29" x14ac:dyDescent="0.35">
      <c r="A749" t="s">
        <v>4796</v>
      </c>
      <c r="B749" t="s">
        <v>4797</v>
      </c>
      <c r="C749" t="s">
        <v>4798</v>
      </c>
      <c r="D749" t="s">
        <v>4799</v>
      </c>
      <c r="E749" s="10" t="s">
        <v>28</v>
      </c>
      <c r="F749" s="11" t="s">
        <v>4800</v>
      </c>
      <c r="H749" s="17" t="str">
        <f>HYPERLINK("https://www.google.com/maps/?q=45.953872222,-66.6448444439999", "https://www.google.com/maps/?q=45.953872222,-66.6448444439999")</f>
        <v>https://www.google.com/maps/?q=45.953872222,-66.6448444439999</v>
      </c>
    </row>
    <row r="750" spans="1:8" ht="29" x14ac:dyDescent="0.35">
      <c r="A750" t="s">
        <v>4801</v>
      </c>
      <c r="B750" t="s">
        <v>4802</v>
      </c>
      <c r="C750" t="s">
        <v>4803</v>
      </c>
      <c r="D750" t="s">
        <v>4804</v>
      </c>
      <c r="E750" s="10" t="s">
        <v>28</v>
      </c>
      <c r="F750" s="11" t="s">
        <v>4805</v>
      </c>
      <c r="H750" s="17" t="str">
        <f>HYPERLINK("https://www.google.com/maps/?q=46.076397222,-64.80225", "https://www.google.com/maps/?q=46.076397222,-64.80225")</f>
        <v>https://www.google.com/maps/?q=46.076397222,-64.80225</v>
      </c>
    </row>
    <row r="751" spans="1:8" ht="29" x14ac:dyDescent="0.35">
      <c r="A751" t="s">
        <v>4806</v>
      </c>
      <c r="B751" t="s">
        <v>4807</v>
      </c>
      <c r="C751" t="s">
        <v>4808</v>
      </c>
      <c r="D751" t="s">
        <v>4809</v>
      </c>
      <c r="E751" s="10" t="s">
        <v>28</v>
      </c>
      <c r="F751" s="11" t="s">
        <v>4810</v>
      </c>
      <c r="H751" s="17" t="str">
        <f>HYPERLINK("https://www.google.com/maps/?q=45.327897222,-65.899055556", "https://www.google.com/maps/?q=45.327897222,-65.899055556")</f>
        <v>https://www.google.com/maps/?q=45.327897222,-65.899055556</v>
      </c>
    </row>
    <row r="752" spans="1:8" ht="29" x14ac:dyDescent="0.35">
      <c r="A752" t="s">
        <v>4811</v>
      </c>
      <c r="B752" t="s">
        <v>4812</v>
      </c>
      <c r="C752" t="s">
        <v>4813</v>
      </c>
      <c r="D752" t="s">
        <v>4814</v>
      </c>
      <c r="E752" s="10" t="s">
        <v>28</v>
      </c>
      <c r="F752" s="11" t="s">
        <v>4815</v>
      </c>
      <c r="H752" s="17" t="str">
        <f>HYPERLINK("https://www.google.com/maps/?q=45.987319444,-66.7771472219999", "https://www.google.com/maps/?q=45.987319444,-66.7771472219999")</f>
        <v>https://www.google.com/maps/?q=45.987319444,-66.7771472219999</v>
      </c>
    </row>
    <row r="753" spans="1:8" ht="29" x14ac:dyDescent="0.35">
      <c r="A753" t="s">
        <v>4816</v>
      </c>
      <c r="B753" t="s">
        <v>4817</v>
      </c>
      <c r="C753" t="s">
        <v>4818</v>
      </c>
      <c r="D753" t="s">
        <v>4819</v>
      </c>
      <c r="E753" s="10" t="s">
        <v>28</v>
      </c>
      <c r="F753" s="11" t="s">
        <v>4820</v>
      </c>
      <c r="H753" s="17" t="str">
        <f>HYPERLINK("https://www.google.com/maps/?q=45.891691667,-66.5627361109999", "https://www.google.com/maps/?q=45.891691667,-66.5627361109999")</f>
        <v>https://www.google.com/maps/?q=45.891691667,-66.5627361109999</v>
      </c>
    </row>
    <row r="754" spans="1:8" ht="29" x14ac:dyDescent="0.35">
      <c r="A754" t="s">
        <v>4821</v>
      </c>
      <c r="B754" t="s">
        <v>4822</v>
      </c>
      <c r="C754" t="s">
        <v>4823</v>
      </c>
      <c r="D754" t="s">
        <v>4824</v>
      </c>
      <c r="E754" s="10" t="s">
        <v>44</v>
      </c>
      <c r="F754" s="11" t="s">
        <v>4825</v>
      </c>
      <c r="H754" s="17" t="str">
        <f>HYPERLINK("https://www.google.com/maps/?q=46.3575277780001,-67.451177778", "https://www.google.com/maps/?q=46.3575277780001,-67.451177778")</f>
        <v>https://www.google.com/maps/?q=46.3575277780001,-67.451177778</v>
      </c>
    </row>
    <row r="755" spans="1:8" ht="29" x14ac:dyDescent="0.35">
      <c r="A755" t="s">
        <v>4826</v>
      </c>
      <c r="B755" t="s">
        <v>4827</v>
      </c>
      <c r="C755" t="s">
        <v>4828</v>
      </c>
      <c r="D755" t="s">
        <v>4829</v>
      </c>
      <c r="E755" s="10" t="s">
        <v>28</v>
      </c>
      <c r="F755" s="11" t="s">
        <v>4343</v>
      </c>
      <c r="H755" s="17" t="str">
        <f>HYPERLINK("https://www.google.com/maps/?q=46.829205556,-65.4479805559999", "https://www.google.com/maps/?q=46.829205556,-65.4479805559999")</f>
        <v>https://www.google.com/maps/?q=46.829205556,-65.4479805559999</v>
      </c>
    </row>
    <row r="756" spans="1:8" ht="29" x14ac:dyDescent="0.35">
      <c r="A756" t="s">
        <v>4830</v>
      </c>
      <c r="B756" t="s">
        <v>4831</v>
      </c>
      <c r="C756" t="s">
        <v>4832</v>
      </c>
      <c r="D756" t="s">
        <v>4833</v>
      </c>
      <c r="E756" s="10" t="s">
        <v>28</v>
      </c>
      <c r="F756" s="11" t="s">
        <v>4834</v>
      </c>
      <c r="H756" s="17" t="str">
        <f>HYPERLINK("https://www.google.com/maps/?q=45.0992000000001,-66.4686", "https://www.google.com/maps/?q=45.0992000000001,-66.4686")</f>
        <v>https://www.google.com/maps/?q=45.0992000000001,-66.4686</v>
      </c>
    </row>
    <row r="757" spans="1:8" ht="29" x14ac:dyDescent="0.35">
      <c r="A757" t="s">
        <v>4835</v>
      </c>
      <c r="B757" t="s">
        <v>4836</v>
      </c>
      <c r="C757" t="s">
        <v>4837</v>
      </c>
      <c r="D757" t="s">
        <v>4838</v>
      </c>
      <c r="E757" s="10" t="s">
        <v>1109</v>
      </c>
      <c r="F757" s="11" t="s">
        <v>4839</v>
      </c>
      <c r="H757" s="17" t="str">
        <f>HYPERLINK("https://www.google.com/maps/?q=47.361277778,-68.338861111", "https://www.google.com/maps/?q=47.361277778,-68.338861111")</f>
        <v>https://www.google.com/maps/?q=47.361277778,-68.338861111</v>
      </c>
    </row>
    <row r="758" spans="1:8" ht="29" x14ac:dyDescent="0.35">
      <c r="A758" t="s">
        <v>4840</v>
      </c>
      <c r="B758" t="s">
        <v>4841</v>
      </c>
      <c r="C758" t="s">
        <v>4842</v>
      </c>
      <c r="D758" t="s">
        <v>4843</v>
      </c>
      <c r="E758" s="10" t="s">
        <v>1109</v>
      </c>
      <c r="F758" s="11" t="s">
        <v>1514</v>
      </c>
      <c r="H758" s="17" t="str">
        <f>HYPERLINK("https://www.google.com/maps/?q=46.0692500000001,-64.864777778", "https://www.google.com/maps/?q=46.0692500000001,-64.864777778")</f>
        <v>https://www.google.com/maps/?q=46.0692500000001,-64.864777778</v>
      </c>
    </row>
    <row r="759" spans="1:8" ht="29" x14ac:dyDescent="0.35">
      <c r="A759" t="s">
        <v>4844</v>
      </c>
      <c r="B759" t="s">
        <v>4845</v>
      </c>
      <c r="C759" t="s">
        <v>4846</v>
      </c>
      <c r="D759" t="s">
        <v>4847</v>
      </c>
      <c r="E759" s="10" t="s">
        <v>1109</v>
      </c>
      <c r="F759" s="11" t="s">
        <v>4848</v>
      </c>
      <c r="H759" s="17" t="str">
        <f>HYPERLINK("https://www.google.com/maps/?q=45.266666667,-66.0825", "https://www.google.com/maps/?q=45.266666667,-66.0825")</f>
        <v>https://www.google.com/maps/?q=45.266666667,-66.0825</v>
      </c>
    </row>
    <row r="760" spans="1:8" ht="29" x14ac:dyDescent="0.35">
      <c r="A760" t="s">
        <v>4849</v>
      </c>
      <c r="B760" t="s">
        <v>4850</v>
      </c>
      <c r="C760" t="s">
        <v>4851</v>
      </c>
      <c r="D760" t="s">
        <v>4852</v>
      </c>
      <c r="E760" s="10" t="s">
        <v>44</v>
      </c>
      <c r="F760" s="11" t="s">
        <v>4343</v>
      </c>
      <c r="H760" s="17" t="str">
        <f>HYPERLINK("https://www.google.com/maps/?q=46.8292111110001,-65.4479916669999", "https://www.google.com/maps/?q=46.8292111110001,-65.4479916669999")</f>
        <v>https://www.google.com/maps/?q=46.8292111110001,-65.4479916669999</v>
      </c>
    </row>
    <row r="761" spans="1:8" ht="29" x14ac:dyDescent="0.35">
      <c r="A761" t="s">
        <v>4853</v>
      </c>
      <c r="B761" t="s">
        <v>4854</v>
      </c>
      <c r="C761" t="s">
        <v>4855</v>
      </c>
      <c r="D761" t="s">
        <v>4856</v>
      </c>
      <c r="E761" s="10" t="s">
        <v>44</v>
      </c>
      <c r="F761" s="11" t="s">
        <v>4857</v>
      </c>
      <c r="H761" s="17" t="str">
        <f>HYPERLINK("https://www.google.com/maps/?q=45.793880556,-66.0381694439999", "https://www.google.com/maps/?q=45.793880556,-66.0381694439999")</f>
        <v>https://www.google.com/maps/?q=45.793880556,-66.0381694439999</v>
      </c>
    </row>
    <row r="762" spans="1:8" ht="29" x14ac:dyDescent="0.35">
      <c r="A762" t="s">
        <v>4858</v>
      </c>
      <c r="B762" t="s">
        <v>4859</v>
      </c>
      <c r="C762" t="s">
        <v>4860</v>
      </c>
      <c r="D762" t="s">
        <v>4861</v>
      </c>
      <c r="E762" s="10" t="s">
        <v>44</v>
      </c>
      <c r="F762" s="11" t="s">
        <v>4862</v>
      </c>
      <c r="H762" s="17" t="str">
        <f>HYPERLINK("https://www.google.com/maps/?q=45.9441027780001,-64.774588889", "https://www.google.com/maps/?q=45.9441027780001,-64.774588889")</f>
        <v>https://www.google.com/maps/?q=45.9441027780001,-64.774588889</v>
      </c>
    </row>
    <row r="763" spans="1:8" ht="29" x14ac:dyDescent="0.35">
      <c r="A763" t="s">
        <v>4863</v>
      </c>
      <c r="B763" t="s">
        <v>4864</v>
      </c>
      <c r="C763" t="s">
        <v>4865</v>
      </c>
      <c r="D763" t="s">
        <v>4866</v>
      </c>
      <c r="E763" s="10" t="s">
        <v>50</v>
      </c>
      <c r="F763" s="11" t="s">
        <v>4867</v>
      </c>
      <c r="H763" s="17" t="str">
        <f>HYPERLINK("https://www.google.com/maps/?q=47.999191667,-66.6278027779999", "https://www.google.com/maps/?q=47.999191667,-66.6278027779999")</f>
        <v>https://www.google.com/maps/?q=47.999191667,-66.6278027779999</v>
      </c>
    </row>
    <row r="764" spans="1:8" ht="29" x14ac:dyDescent="0.35">
      <c r="A764" t="s">
        <v>4868</v>
      </c>
      <c r="B764" t="s">
        <v>4869</v>
      </c>
      <c r="C764" t="s">
        <v>4870</v>
      </c>
      <c r="D764" t="s">
        <v>4871</v>
      </c>
      <c r="E764" s="10" t="s">
        <v>28</v>
      </c>
      <c r="F764" s="11" t="s">
        <v>4872</v>
      </c>
      <c r="H764" s="17" t="str">
        <f>HYPERLINK("https://www.google.com/maps/?q=46.4372388890001,-67.6569", "https://www.google.com/maps/?q=46.4372388890001,-67.6569")</f>
        <v>https://www.google.com/maps/?q=46.4372388890001,-67.6569</v>
      </c>
    </row>
    <row r="765" spans="1:8" ht="29" x14ac:dyDescent="0.35">
      <c r="A765" t="s">
        <v>4873</v>
      </c>
      <c r="B765" t="s">
        <v>4874</v>
      </c>
      <c r="C765" t="s">
        <v>4875</v>
      </c>
      <c r="D765" t="s">
        <v>4876</v>
      </c>
      <c r="E765" s="10" t="s">
        <v>28</v>
      </c>
      <c r="F765" s="11" t="s">
        <v>4877</v>
      </c>
      <c r="H765" s="17" t="str">
        <f>HYPERLINK("https://www.google.com/maps/?q=45.3344916670001,-65.8831249999999", "https://www.google.com/maps/?q=45.3344916670001,-65.8831249999999")</f>
        <v>https://www.google.com/maps/?q=45.3344916670001,-65.8831249999999</v>
      </c>
    </row>
    <row r="766" spans="1:8" ht="29" x14ac:dyDescent="0.35">
      <c r="A766" t="s">
        <v>4878</v>
      </c>
      <c r="B766" t="s">
        <v>4879</v>
      </c>
      <c r="C766" t="s">
        <v>4880</v>
      </c>
      <c r="D766" t="s">
        <v>4881</v>
      </c>
      <c r="E766" s="10" t="s">
        <v>44</v>
      </c>
      <c r="F766" s="11" t="s">
        <v>4882</v>
      </c>
      <c r="H766" s="17" t="str">
        <f>HYPERLINK("https://www.google.com/maps/?q=46.907369444,-65.813230556", "https://www.google.com/maps/?q=46.907369444,-65.813230556")</f>
        <v>https://www.google.com/maps/?q=46.907369444,-65.813230556</v>
      </c>
    </row>
    <row r="767" spans="1:8" ht="29" x14ac:dyDescent="0.35">
      <c r="A767" t="s">
        <v>4883</v>
      </c>
      <c r="B767" t="s">
        <v>4884</v>
      </c>
      <c r="C767" t="s">
        <v>4885</v>
      </c>
      <c r="D767" t="s">
        <v>4886</v>
      </c>
      <c r="E767" s="10" t="s">
        <v>28</v>
      </c>
      <c r="F767" s="11" t="s">
        <v>4887</v>
      </c>
      <c r="H767" s="17" t="str">
        <f>HYPERLINK("https://www.google.com/maps/?q=45.269152778,-66.081652778", "https://www.google.com/maps/?q=45.269152778,-66.081652778")</f>
        <v>https://www.google.com/maps/?q=45.269152778,-66.081652778</v>
      </c>
    </row>
    <row r="768" spans="1:8" ht="29" x14ac:dyDescent="0.35">
      <c r="A768" t="s">
        <v>4888</v>
      </c>
      <c r="B768" t="s">
        <v>4889</v>
      </c>
      <c r="C768" t="s">
        <v>4890</v>
      </c>
      <c r="D768" t="s">
        <v>4891</v>
      </c>
      <c r="E768" s="10" t="s">
        <v>28</v>
      </c>
      <c r="F768" s="11" t="s">
        <v>4892</v>
      </c>
      <c r="H768" s="17" t="str">
        <f>HYPERLINK("https://www.google.com/maps/?q=47.6275305560001,-65.684822222", "https://www.google.com/maps/?q=47.6275305560001,-65.684822222")</f>
        <v>https://www.google.com/maps/?q=47.6275305560001,-65.684822222</v>
      </c>
    </row>
    <row r="769" spans="1:8" ht="29" x14ac:dyDescent="0.35">
      <c r="A769" t="s">
        <v>4893</v>
      </c>
      <c r="B769" t="s">
        <v>4894</v>
      </c>
      <c r="C769" t="s">
        <v>4895</v>
      </c>
      <c r="D769" t="s">
        <v>4896</v>
      </c>
      <c r="E769" s="10" t="s">
        <v>28</v>
      </c>
      <c r="F769" s="11" t="s">
        <v>4897</v>
      </c>
      <c r="H769" s="17" t="str">
        <f>HYPERLINK("https://www.google.com/maps/?q=45.8804805560001,-66.537977778", "https://www.google.com/maps/?q=45.8804805560001,-66.537977778")</f>
        <v>https://www.google.com/maps/?q=45.8804805560001,-66.537977778</v>
      </c>
    </row>
    <row r="770" spans="1:8" ht="29" x14ac:dyDescent="0.35">
      <c r="A770" t="s">
        <v>4898</v>
      </c>
      <c r="B770" t="s">
        <v>4899</v>
      </c>
      <c r="C770" t="s">
        <v>4900</v>
      </c>
      <c r="D770" t="s">
        <v>4901</v>
      </c>
      <c r="E770" s="10" t="s">
        <v>28</v>
      </c>
      <c r="F770" s="11" t="s">
        <v>4902</v>
      </c>
      <c r="H770" s="17" t="str">
        <f>HYPERLINK("https://www.google.com/maps/?q=46.134413889,-64.719072222", "https://www.google.com/maps/?q=46.134413889,-64.719072222")</f>
        <v>https://www.google.com/maps/?q=46.134413889,-64.719072222</v>
      </c>
    </row>
    <row r="771" spans="1:8" ht="29" x14ac:dyDescent="0.35">
      <c r="A771" t="s">
        <v>4903</v>
      </c>
      <c r="B771" t="s">
        <v>4904</v>
      </c>
      <c r="C771" t="s">
        <v>4905</v>
      </c>
      <c r="D771" t="s">
        <v>4906</v>
      </c>
      <c r="E771" s="10" t="s">
        <v>28</v>
      </c>
      <c r="F771" s="11" t="s">
        <v>4907</v>
      </c>
      <c r="H771" s="17" t="str">
        <f>HYPERLINK("https://www.google.com/maps/?q=47.6358416670001,-65.7353388889999", "https://www.google.com/maps/?q=47.6358416670001,-65.7353388889999")</f>
        <v>https://www.google.com/maps/?q=47.6358416670001,-65.7353388889999</v>
      </c>
    </row>
    <row r="772" spans="1:8" ht="29" x14ac:dyDescent="0.35">
      <c r="A772" t="s">
        <v>4908</v>
      </c>
      <c r="B772" t="s">
        <v>4909</v>
      </c>
      <c r="C772" t="s">
        <v>4910</v>
      </c>
      <c r="D772" t="s">
        <v>4911</v>
      </c>
      <c r="E772" s="10" t="s">
        <v>28</v>
      </c>
      <c r="F772" s="11" t="s">
        <v>4912</v>
      </c>
      <c r="H772" s="17" t="str">
        <f>HYPERLINK("https://www.google.com/maps/?q=46.8049972220001,-67.7215555559999", "https://www.google.com/maps/?q=46.8049972220001,-67.7215555559999")</f>
        <v>https://www.google.com/maps/?q=46.8049972220001,-67.7215555559999</v>
      </c>
    </row>
    <row r="773" spans="1:8" ht="29" x14ac:dyDescent="0.35">
      <c r="A773" t="s">
        <v>4913</v>
      </c>
      <c r="B773" t="s">
        <v>4914</v>
      </c>
      <c r="C773" t="s">
        <v>4915</v>
      </c>
      <c r="D773" t="s">
        <v>4916</v>
      </c>
      <c r="E773" s="10" t="s">
        <v>28</v>
      </c>
      <c r="F773" s="11" t="s">
        <v>4917</v>
      </c>
      <c r="H773" s="17" t="str">
        <f>HYPERLINK("https://www.google.com/maps/?q=46.223188889,-64.519033333", "https://www.google.com/maps/?q=46.223188889,-64.519033333")</f>
        <v>https://www.google.com/maps/?q=46.223188889,-64.519033333</v>
      </c>
    </row>
    <row r="774" spans="1:8" ht="29" x14ac:dyDescent="0.35">
      <c r="A774" t="s">
        <v>4918</v>
      </c>
      <c r="B774" t="s">
        <v>4919</v>
      </c>
      <c r="C774" t="s">
        <v>4920</v>
      </c>
      <c r="D774" t="s">
        <v>4921</v>
      </c>
      <c r="E774" s="10" t="s">
        <v>28</v>
      </c>
      <c r="F774" s="11" t="s">
        <v>4922</v>
      </c>
      <c r="H774" s="17" t="str">
        <f>HYPERLINK("https://www.google.com/maps/?q=46.1152000000001,-64.826238889", "https://www.google.com/maps/?q=46.1152000000001,-64.826238889")</f>
        <v>https://www.google.com/maps/?q=46.1152000000001,-64.826238889</v>
      </c>
    </row>
    <row r="775" spans="1:8" ht="29" x14ac:dyDescent="0.35">
      <c r="A775" t="s">
        <v>4923</v>
      </c>
      <c r="B775" t="s">
        <v>4924</v>
      </c>
      <c r="C775" t="s">
        <v>4925</v>
      </c>
      <c r="D775" t="s">
        <v>4926</v>
      </c>
      <c r="E775" s="10" t="s">
        <v>28</v>
      </c>
      <c r="F775" s="11" t="s">
        <v>4927</v>
      </c>
      <c r="H775" s="17" t="str">
        <f>HYPERLINK("https://www.google.com/maps/?q=46.112094444,-64.826891667", "https://www.google.com/maps/?q=46.112094444,-64.826891667")</f>
        <v>https://www.google.com/maps/?q=46.112094444,-64.826891667</v>
      </c>
    </row>
    <row r="776" spans="1:8" ht="29" x14ac:dyDescent="0.35">
      <c r="A776" t="s">
        <v>4928</v>
      </c>
      <c r="B776" t="s">
        <v>4929</v>
      </c>
      <c r="C776" t="s">
        <v>4930</v>
      </c>
      <c r="D776" t="s">
        <v>4931</v>
      </c>
      <c r="E776" s="10" t="s">
        <v>28</v>
      </c>
      <c r="F776" s="11" t="s">
        <v>3775</v>
      </c>
      <c r="H776" s="17" t="str">
        <f>HYPERLINK("https://www.google.com/maps/?q=46.9283,-67.7331", "https://www.google.com/maps/?q=46.9283,-67.7331")</f>
        <v>https://www.google.com/maps/?q=46.9283,-67.7331</v>
      </c>
    </row>
    <row r="777" spans="1:8" ht="29" x14ac:dyDescent="0.35">
      <c r="A777" t="s">
        <v>4932</v>
      </c>
      <c r="B777" t="s">
        <v>4933</v>
      </c>
      <c r="C777" t="s">
        <v>4934</v>
      </c>
      <c r="D777" t="s">
        <v>4935</v>
      </c>
      <c r="E777" s="10" t="s">
        <v>28</v>
      </c>
      <c r="F777" s="11" t="s">
        <v>4936</v>
      </c>
      <c r="H777" s="17" t="str">
        <f>HYPERLINK("https://www.google.com/maps/?q=46.2222,-64.5402999999999", "https://www.google.com/maps/?q=46.2222,-64.5402999999999")</f>
        <v>https://www.google.com/maps/?q=46.2222,-64.5402999999999</v>
      </c>
    </row>
    <row r="778" spans="1:8" ht="29" x14ac:dyDescent="0.35">
      <c r="A778" t="s">
        <v>4937</v>
      </c>
      <c r="B778" t="s">
        <v>4938</v>
      </c>
      <c r="C778" t="s">
        <v>4939</v>
      </c>
      <c r="D778" t="s">
        <v>4940</v>
      </c>
      <c r="E778" s="10" t="s">
        <v>28</v>
      </c>
      <c r="F778" s="11" t="s">
        <v>4941</v>
      </c>
      <c r="H778" s="17" t="str">
        <f>HYPERLINK("https://www.google.com/maps/?q=46.236,-64.458819444", "https://www.google.com/maps/?q=46.236,-64.458819444")</f>
        <v>https://www.google.com/maps/?q=46.236,-64.458819444</v>
      </c>
    </row>
    <row r="779" spans="1:8" ht="29" x14ac:dyDescent="0.35">
      <c r="A779" t="s">
        <v>4942</v>
      </c>
      <c r="B779" t="s">
        <v>4943</v>
      </c>
      <c r="C779" t="s">
        <v>4944</v>
      </c>
      <c r="D779" t="s">
        <v>4945</v>
      </c>
      <c r="E779" s="10" t="s">
        <v>28</v>
      </c>
      <c r="F779" s="11" t="s">
        <v>4946</v>
      </c>
      <c r="H779" s="17" t="str">
        <f>HYPERLINK("https://www.google.com/maps/?q=45.9538833330001,-66.6399361109999", "https://www.google.com/maps/?q=45.9538833330001,-66.6399361109999")</f>
        <v>https://www.google.com/maps/?q=45.9538833330001,-66.6399361109999</v>
      </c>
    </row>
    <row r="780" spans="1:8" ht="29" x14ac:dyDescent="0.35">
      <c r="A780" t="s">
        <v>4947</v>
      </c>
      <c r="B780" t="s">
        <v>4948</v>
      </c>
      <c r="C780" t="s">
        <v>4949</v>
      </c>
      <c r="D780" t="s">
        <v>4950</v>
      </c>
      <c r="E780" s="10" t="s">
        <v>28</v>
      </c>
      <c r="F780" s="11" t="s">
        <v>4951</v>
      </c>
      <c r="H780" s="17" t="str">
        <f>HYPERLINK("https://www.google.com/maps/?q=46.222633333,-64.5215638889999", "https://www.google.com/maps/?q=46.222633333,-64.5215638889999")</f>
        <v>https://www.google.com/maps/?q=46.222633333,-64.5215638889999</v>
      </c>
    </row>
    <row r="781" spans="1:8" ht="29" x14ac:dyDescent="0.35">
      <c r="A781" t="s">
        <v>4952</v>
      </c>
      <c r="B781" t="s">
        <v>4953</v>
      </c>
      <c r="C781" t="s">
        <v>4954</v>
      </c>
      <c r="D781" t="s">
        <v>4955</v>
      </c>
      <c r="E781" s="10" t="s">
        <v>28</v>
      </c>
      <c r="F781" s="11" t="s">
        <v>4956</v>
      </c>
      <c r="H781" s="17" t="str">
        <f>HYPERLINK("https://www.google.com/maps/?q=45.8922916670001,-64.373508333", "https://www.google.com/maps/?q=45.8922916670001,-64.373508333")</f>
        <v>https://www.google.com/maps/?q=45.8922916670001,-64.373508333</v>
      </c>
    </row>
    <row r="782" spans="1:8" ht="29" x14ac:dyDescent="0.35">
      <c r="A782" t="s">
        <v>4957</v>
      </c>
      <c r="B782" t="s">
        <v>4958</v>
      </c>
      <c r="C782" t="s">
        <v>4959</v>
      </c>
      <c r="D782" t="s">
        <v>4960</v>
      </c>
      <c r="E782" s="10" t="s">
        <v>28</v>
      </c>
      <c r="F782" s="11" t="s">
        <v>4961</v>
      </c>
      <c r="H782" s="17" t="str">
        <f>HYPERLINK("https://www.google.com/maps/?q=47.355425,-68.223375", "https://www.google.com/maps/?q=47.355425,-68.223375")</f>
        <v>https://www.google.com/maps/?q=47.355425,-68.223375</v>
      </c>
    </row>
    <row r="783" spans="1:8" ht="29" x14ac:dyDescent="0.35">
      <c r="A783" t="s">
        <v>4962</v>
      </c>
      <c r="B783" t="s">
        <v>4963</v>
      </c>
      <c r="C783" t="s">
        <v>4964</v>
      </c>
      <c r="D783" t="s">
        <v>4965</v>
      </c>
      <c r="E783" s="10" t="s">
        <v>28</v>
      </c>
      <c r="F783" s="11" t="s">
        <v>4966</v>
      </c>
      <c r="H783" s="17" t="str">
        <f>HYPERLINK("https://www.google.com/maps/?q=46.262244444,-66.736069444", "https://www.google.com/maps/?q=46.262244444,-66.736069444")</f>
        <v>https://www.google.com/maps/?q=46.262244444,-66.736069444</v>
      </c>
    </row>
    <row r="784" spans="1:8" ht="29" x14ac:dyDescent="0.35">
      <c r="A784" t="s">
        <v>4967</v>
      </c>
      <c r="B784" t="s">
        <v>4968</v>
      </c>
      <c r="C784" t="s">
        <v>4969</v>
      </c>
      <c r="D784" t="s">
        <v>4970</v>
      </c>
      <c r="E784" s="10" t="s">
        <v>50</v>
      </c>
      <c r="F784" s="11" t="s">
        <v>3741</v>
      </c>
      <c r="H784" s="17" t="str">
        <f>HYPERLINK("https://www.google.com/maps/?q=47.7253000000001,-64.730294444", "https://www.google.com/maps/?q=47.7253000000001,-64.730294444")</f>
        <v>https://www.google.com/maps/?q=47.7253000000001,-64.730294444</v>
      </c>
    </row>
    <row r="785" spans="1:8" ht="29" x14ac:dyDescent="0.35">
      <c r="A785" t="s">
        <v>4971</v>
      </c>
      <c r="B785" t="s">
        <v>4972</v>
      </c>
      <c r="C785" t="s">
        <v>4973</v>
      </c>
      <c r="D785" t="s">
        <v>4974</v>
      </c>
      <c r="E785" s="10" t="s">
        <v>28</v>
      </c>
      <c r="F785" s="11" t="s">
        <v>4975</v>
      </c>
      <c r="H785" s="17" t="str">
        <f>HYPERLINK("https://www.google.com/maps/?q=45.8886000000001,-66.5767", "https://www.google.com/maps/?q=45.8886000000001,-66.5767")</f>
        <v>https://www.google.com/maps/?q=45.8886000000001,-66.5767</v>
      </c>
    </row>
    <row r="786" spans="1:8" ht="29" x14ac:dyDescent="0.35">
      <c r="A786" t="s">
        <v>4976</v>
      </c>
      <c r="B786" t="s">
        <v>4977</v>
      </c>
      <c r="C786" t="s">
        <v>4978</v>
      </c>
      <c r="D786" t="s">
        <v>4979</v>
      </c>
      <c r="E786" s="10" t="s">
        <v>28</v>
      </c>
      <c r="F786" s="11" t="s">
        <v>4980</v>
      </c>
      <c r="H786" s="17" t="str">
        <f>HYPERLINK("https://www.google.com/maps/?q=45.3140527780001,-66.024333333", "https://www.google.com/maps/?q=45.3140527780001,-66.024333333")</f>
        <v>https://www.google.com/maps/?q=45.3140527780001,-66.024333333</v>
      </c>
    </row>
    <row r="787" spans="1:8" ht="29" x14ac:dyDescent="0.35">
      <c r="A787" t="s">
        <v>4981</v>
      </c>
      <c r="B787" t="s">
        <v>4982</v>
      </c>
      <c r="C787" t="s">
        <v>4983</v>
      </c>
      <c r="D787" t="s">
        <v>4984</v>
      </c>
      <c r="E787" s="10" t="s">
        <v>195</v>
      </c>
      <c r="F787" s="11" t="s">
        <v>4985</v>
      </c>
      <c r="H787" s="17" t="str">
        <f>HYPERLINK("https://www.google.com/maps/?q=46.111738889,-64.871741667", "https://www.google.com/maps/?q=46.111738889,-64.871741667")</f>
        <v>https://www.google.com/maps/?q=46.111738889,-64.871741667</v>
      </c>
    </row>
    <row r="788" spans="1:8" ht="29" x14ac:dyDescent="0.35">
      <c r="A788" t="s">
        <v>4986</v>
      </c>
      <c r="B788" t="s">
        <v>4987</v>
      </c>
      <c r="C788" t="s">
        <v>4988</v>
      </c>
      <c r="D788" t="s">
        <v>4989</v>
      </c>
      <c r="E788" s="10" t="s">
        <v>195</v>
      </c>
      <c r="F788" s="11" t="s">
        <v>4990</v>
      </c>
      <c r="H788" s="17" t="str">
        <f>HYPERLINK("https://www.google.com/maps/?q=46.3144055560001,-64.679219444", "https://www.google.com/maps/?q=46.3144055560001,-64.679219444")</f>
        <v>https://www.google.com/maps/?q=46.3144055560001,-64.679219444</v>
      </c>
    </row>
    <row r="789" spans="1:8" ht="29" x14ac:dyDescent="0.35">
      <c r="A789" t="s">
        <v>4059</v>
      </c>
      <c r="B789" t="s">
        <v>4991</v>
      </c>
      <c r="C789" t="s">
        <v>4061</v>
      </c>
      <c r="D789" t="s">
        <v>4992</v>
      </c>
      <c r="E789" s="10" t="s">
        <v>461</v>
      </c>
      <c r="F789" s="11" t="s">
        <v>3119</v>
      </c>
      <c r="H789" s="17" t="str">
        <f>HYPERLINK("https://www.google.com/maps/?q=45.9925388890001,-66.628947222", "https://www.google.com/maps/?q=45.9925388890001,-66.628947222")</f>
        <v>https://www.google.com/maps/?q=45.9925388890001,-66.628947222</v>
      </c>
    </row>
    <row r="790" spans="1:8" ht="29" x14ac:dyDescent="0.35">
      <c r="A790" t="s">
        <v>4993</v>
      </c>
      <c r="B790" t="s">
        <v>4994</v>
      </c>
      <c r="C790" t="s">
        <v>4995</v>
      </c>
      <c r="D790" t="s">
        <v>4996</v>
      </c>
      <c r="E790" s="10" t="s">
        <v>50</v>
      </c>
      <c r="F790" s="11" t="s">
        <v>4997</v>
      </c>
      <c r="H790" s="17" t="str">
        <f>HYPERLINK("https://www.google.com/maps/?q=46.0214111110001,-64.548069444", "https://www.google.com/maps/?q=46.0214111110001,-64.548069444")</f>
        <v>https://www.google.com/maps/?q=46.0214111110001,-64.548069444</v>
      </c>
    </row>
    <row r="791" spans="1:8" ht="29" x14ac:dyDescent="0.35">
      <c r="A791" t="s">
        <v>4998</v>
      </c>
      <c r="B791" t="s">
        <v>4999</v>
      </c>
      <c r="C791" t="s">
        <v>5000</v>
      </c>
      <c r="D791" t="s">
        <v>5001</v>
      </c>
      <c r="E791" s="10" t="s">
        <v>66</v>
      </c>
      <c r="F791" s="11" t="s">
        <v>1890</v>
      </c>
      <c r="H791" s="17" t="str">
        <f>HYPERLINK("https://www.google.com/maps/?q=46.070105556,-64.764955556", "https://www.google.com/maps/?q=46.070105556,-64.764955556")</f>
        <v>https://www.google.com/maps/?q=46.070105556,-64.764955556</v>
      </c>
    </row>
    <row r="792" spans="1:8" ht="29" x14ac:dyDescent="0.35">
      <c r="A792" t="s">
        <v>5002</v>
      </c>
      <c r="B792" t="s">
        <v>5003</v>
      </c>
      <c r="C792" t="s">
        <v>5004</v>
      </c>
      <c r="D792" t="s">
        <v>5005</v>
      </c>
      <c r="E792" s="10" t="s">
        <v>66</v>
      </c>
      <c r="F792" s="11" t="s">
        <v>5006</v>
      </c>
      <c r="H792" s="17" t="str">
        <f>HYPERLINK("https://www.google.com/maps/?q=45.871633333,-64.2682166669999", "https://www.google.com/maps/?q=45.871633333,-64.2682166669999")</f>
        <v>https://www.google.com/maps/?q=45.871633333,-64.2682166669999</v>
      </c>
    </row>
    <row r="793" spans="1:8" ht="29" x14ac:dyDescent="0.35">
      <c r="A793" t="s">
        <v>5007</v>
      </c>
      <c r="B793" t="s">
        <v>5008</v>
      </c>
      <c r="C793" t="s">
        <v>5009</v>
      </c>
      <c r="D793" t="s">
        <v>5010</v>
      </c>
      <c r="E793" s="10" t="s">
        <v>66</v>
      </c>
      <c r="F793" s="11" t="s">
        <v>4504</v>
      </c>
      <c r="H793" s="17" t="str">
        <f>HYPERLINK("https://www.google.com/maps/?q=45.9408916670001,-66.671416667", "https://www.google.com/maps/?q=45.9408916670001,-66.671416667")</f>
        <v>https://www.google.com/maps/?q=45.9408916670001,-66.671416667</v>
      </c>
    </row>
    <row r="794" spans="1:8" ht="29" x14ac:dyDescent="0.35">
      <c r="A794" t="s">
        <v>5011</v>
      </c>
      <c r="B794" t="s">
        <v>5012</v>
      </c>
      <c r="C794" t="s">
        <v>5013</v>
      </c>
      <c r="D794" t="s">
        <v>5014</v>
      </c>
      <c r="E794" s="10" t="s">
        <v>66</v>
      </c>
      <c r="F794" s="11" t="s">
        <v>2483</v>
      </c>
      <c r="H794" s="17" t="str">
        <f>HYPERLINK("https://www.google.com/maps/?q=45.9461111110001,-66.643", "https://www.google.com/maps/?q=45.9461111110001,-66.643")</f>
        <v>https://www.google.com/maps/?q=45.9461111110001,-66.643</v>
      </c>
    </row>
    <row r="795" spans="1:8" ht="29" x14ac:dyDescent="0.35">
      <c r="A795" t="s">
        <v>5015</v>
      </c>
      <c r="B795" t="s">
        <v>5016</v>
      </c>
      <c r="C795" t="s">
        <v>5017</v>
      </c>
      <c r="D795" t="s">
        <v>5018</v>
      </c>
      <c r="E795" s="10" t="s">
        <v>17</v>
      </c>
      <c r="F795" s="11" t="s">
        <v>3458</v>
      </c>
      <c r="H795" s="17" t="str">
        <f>HYPERLINK("https://www.google.com/maps/?q=46.8419000000001,-65.7847", "https://www.google.com/maps/?q=46.8419000000001,-65.7847")</f>
        <v>https://www.google.com/maps/?q=46.8419000000001,-65.7847</v>
      </c>
    </row>
    <row r="796" spans="1:8" ht="29" x14ac:dyDescent="0.35">
      <c r="A796" t="s">
        <v>5019</v>
      </c>
      <c r="B796" t="s">
        <v>5020</v>
      </c>
      <c r="C796" t="s">
        <v>5021</v>
      </c>
      <c r="D796" t="s">
        <v>5022</v>
      </c>
      <c r="E796" s="10" t="s">
        <v>17</v>
      </c>
      <c r="F796" s="11" t="s">
        <v>2108</v>
      </c>
      <c r="H796" s="17" t="str">
        <f>HYPERLINK("https://www.google.com/maps/?q=47.2681944440001,-65.106416667", "https://www.google.com/maps/?q=47.2681944440001,-65.106416667")</f>
        <v>https://www.google.com/maps/?q=47.2681944440001,-65.106416667</v>
      </c>
    </row>
    <row r="797" spans="1:8" ht="29" x14ac:dyDescent="0.35">
      <c r="A797" t="s">
        <v>2658</v>
      </c>
      <c r="B797" t="s">
        <v>5023</v>
      </c>
      <c r="C797" t="s">
        <v>2660</v>
      </c>
      <c r="D797" t="s">
        <v>5024</v>
      </c>
      <c r="E797" s="10" t="s">
        <v>17</v>
      </c>
      <c r="F797" s="11" t="s">
        <v>2662</v>
      </c>
      <c r="H797" s="17" t="str">
        <f>HYPERLINK("https://www.google.com/maps/?q=47.318055556,-68.091944444", "https://www.google.com/maps/?q=47.318055556,-68.091944444")</f>
        <v>https://www.google.com/maps/?q=47.318055556,-68.091944444</v>
      </c>
    </row>
    <row r="798" spans="1:8" ht="29" x14ac:dyDescent="0.35">
      <c r="A798" t="s">
        <v>5025</v>
      </c>
      <c r="B798" t="s">
        <v>2543</v>
      </c>
      <c r="C798" t="s">
        <v>5026</v>
      </c>
      <c r="D798" t="s">
        <v>2545</v>
      </c>
      <c r="E798" s="10" t="s">
        <v>17</v>
      </c>
      <c r="F798" s="11" t="s">
        <v>2546</v>
      </c>
      <c r="H798" s="17" t="str">
        <f>HYPERLINK("https://www.google.com/maps/?q=47.415138889,-68.264277778", "https://www.google.com/maps/?q=47.415138889,-68.264277778")</f>
        <v>https://www.google.com/maps/?q=47.415138889,-68.264277778</v>
      </c>
    </row>
    <row r="799" spans="1:8" ht="29" x14ac:dyDescent="0.35">
      <c r="A799" t="s">
        <v>5027</v>
      </c>
      <c r="B799" t="s">
        <v>5028</v>
      </c>
      <c r="C799" t="s">
        <v>5029</v>
      </c>
      <c r="D799" t="s">
        <v>5030</v>
      </c>
      <c r="E799" s="10" t="s">
        <v>50</v>
      </c>
      <c r="F799" s="11" t="s">
        <v>2098</v>
      </c>
      <c r="H799" s="17" t="str">
        <f>HYPERLINK("https://www.google.com/maps/?q=46.1114166670001,-64.777433333", "https://www.google.com/maps/?q=46.1114166670001,-64.777433333")</f>
        <v>https://www.google.com/maps/?q=46.1114166670001,-64.777433333</v>
      </c>
    </row>
    <row r="800" spans="1:8" ht="29" x14ac:dyDescent="0.35">
      <c r="A800" t="s">
        <v>5031</v>
      </c>
      <c r="B800" t="s">
        <v>1541</v>
      </c>
      <c r="C800" t="s">
        <v>5032</v>
      </c>
      <c r="D800" t="s">
        <v>1543</v>
      </c>
      <c r="E800" s="10" t="s">
        <v>50</v>
      </c>
      <c r="F800" s="11" t="s">
        <v>1544</v>
      </c>
      <c r="H800" s="17" t="str">
        <f>HYPERLINK("https://www.google.com/maps/?q=46.1404027780001,-67.5982999999999", "https://www.google.com/maps/?q=46.1404027780001,-67.5982999999999")</f>
        <v>https://www.google.com/maps/?q=46.1404027780001,-67.5982999999999</v>
      </c>
    </row>
    <row r="801" spans="1:8" ht="29" x14ac:dyDescent="0.35">
      <c r="A801" t="s">
        <v>5033</v>
      </c>
      <c r="B801" t="s">
        <v>5034</v>
      </c>
      <c r="C801" t="s">
        <v>5035</v>
      </c>
      <c r="D801" t="s">
        <v>5036</v>
      </c>
      <c r="E801" s="10" t="s">
        <v>50</v>
      </c>
      <c r="F801" s="11" t="s">
        <v>1662</v>
      </c>
      <c r="H801" s="17" t="str">
        <f>HYPERLINK("https://www.google.com/maps/?q=45.093072222,-66.4552277779999", "https://www.google.com/maps/?q=45.093072222,-66.4552277779999")</f>
        <v>https://www.google.com/maps/?q=45.093072222,-66.4552277779999</v>
      </c>
    </row>
    <row r="802" spans="1:8" ht="29" x14ac:dyDescent="0.35">
      <c r="A802" t="s">
        <v>5037</v>
      </c>
      <c r="B802" t="s">
        <v>5038</v>
      </c>
      <c r="C802" t="s">
        <v>5039</v>
      </c>
      <c r="D802" t="s">
        <v>5040</v>
      </c>
      <c r="E802" s="10" t="s">
        <v>28</v>
      </c>
      <c r="F802" s="11" t="s">
        <v>5041</v>
      </c>
      <c r="H802" s="17" t="str">
        <f>HYPERLINK("https://www.google.com/maps/?q=46.1632333330001,-64.5454583329999", "https://www.google.com/maps/?q=46.1632333330001,-64.5454583329999")</f>
        <v>https://www.google.com/maps/?q=46.1632333330001,-64.5454583329999</v>
      </c>
    </row>
    <row r="803" spans="1:8" ht="29" x14ac:dyDescent="0.35">
      <c r="A803" t="s">
        <v>5042</v>
      </c>
      <c r="B803" t="s">
        <v>5043</v>
      </c>
      <c r="C803" t="s">
        <v>5044</v>
      </c>
      <c r="D803" t="s">
        <v>5045</v>
      </c>
      <c r="E803" s="10" t="s">
        <v>66</v>
      </c>
      <c r="F803" s="11" t="s">
        <v>5046</v>
      </c>
      <c r="H803" s="17" t="str">
        <f>HYPERLINK("https://www.google.com/maps/?q=45.273688889,-65.991330556", "https://www.google.com/maps/?q=45.273688889,-65.991330556")</f>
        <v>https://www.google.com/maps/?q=45.273688889,-65.991330556</v>
      </c>
    </row>
    <row r="804" spans="1:8" ht="29" x14ac:dyDescent="0.35">
      <c r="A804" t="s">
        <v>5047</v>
      </c>
      <c r="B804" t="s">
        <v>5048</v>
      </c>
      <c r="C804" t="s">
        <v>5049</v>
      </c>
      <c r="D804" t="s">
        <v>5050</v>
      </c>
      <c r="E804" s="10" t="s">
        <v>66</v>
      </c>
      <c r="F804" s="11" t="s">
        <v>2050</v>
      </c>
      <c r="H804" s="17" t="str">
        <f>HYPERLINK("https://www.google.com/maps/?q=46.0957000000001,-64.8219999999999", "https://www.google.com/maps/?q=46.0957000000001,-64.8219999999999")</f>
        <v>https://www.google.com/maps/?q=46.0957000000001,-64.8219999999999</v>
      </c>
    </row>
    <row r="805" spans="1:8" ht="29" x14ac:dyDescent="0.35">
      <c r="A805" t="s">
        <v>5051</v>
      </c>
      <c r="B805" t="s">
        <v>5052</v>
      </c>
      <c r="C805" t="s">
        <v>5053</v>
      </c>
      <c r="D805" t="s">
        <v>5054</v>
      </c>
      <c r="E805" s="10" t="s">
        <v>1109</v>
      </c>
      <c r="F805" s="11" t="s">
        <v>5055</v>
      </c>
      <c r="H805" s="17" t="str">
        <f>HYPERLINK("https://www.google.com/maps/?q=46.143611111,-64.902222222", "https://www.google.com/maps/?q=46.143611111,-64.902222222")</f>
        <v>https://www.google.com/maps/?q=46.143611111,-64.902222222</v>
      </c>
    </row>
    <row r="806" spans="1:8" ht="29" x14ac:dyDescent="0.35">
      <c r="A806" t="s">
        <v>5056</v>
      </c>
      <c r="B806" t="s">
        <v>5057</v>
      </c>
      <c r="C806" t="s">
        <v>5058</v>
      </c>
      <c r="D806" t="s">
        <v>5059</v>
      </c>
      <c r="E806" s="10" t="s">
        <v>28</v>
      </c>
      <c r="F806" s="11" t="s">
        <v>5060</v>
      </c>
      <c r="H806" s="17" t="str">
        <f>HYPERLINK("https://www.google.com/maps/?q=45.9361500000001,-66.6666861109999", "https://www.google.com/maps/?q=45.9361500000001,-66.6666861109999")</f>
        <v>https://www.google.com/maps/?q=45.9361500000001,-66.6666861109999</v>
      </c>
    </row>
    <row r="807" spans="1:8" ht="29" x14ac:dyDescent="0.35">
      <c r="A807" t="s">
        <v>5061</v>
      </c>
      <c r="B807" t="s">
        <v>5062</v>
      </c>
      <c r="C807" t="s">
        <v>5063</v>
      </c>
      <c r="D807" t="s">
        <v>5064</v>
      </c>
      <c r="E807" s="10" t="s">
        <v>28</v>
      </c>
      <c r="F807" s="11" t="s">
        <v>5065</v>
      </c>
      <c r="H807" s="17" t="str">
        <f>HYPERLINK("https://www.google.com/maps/?q=45.978166667,-66.708380556", "https://www.google.com/maps/?q=45.978166667,-66.708380556")</f>
        <v>https://www.google.com/maps/?q=45.978166667,-66.708380556</v>
      </c>
    </row>
    <row r="808" spans="1:8" ht="29" x14ac:dyDescent="0.35">
      <c r="A808" t="s">
        <v>5066</v>
      </c>
      <c r="B808" t="s">
        <v>5067</v>
      </c>
      <c r="C808" t="s">
        <v>5068</v>
      </c>
      <c r="D808" t="s">
        <v>5069</v>
      </c>
      <c r="E808" s="10" t="s">
        <v>28</v>
      </c>
      <c r="F808" s="11" t="s">
        <v>3609</v>
      </c>
      <c r="H808" s="17" t="str">
        <f>HYPERLINK("https://www.google.com/maps/?q=45.8813000000001,-66.580397222", "https://www.google.com/maps/?q=45.8813000000001,-66.580397222")</f>
        <v>https://www.google.com/maps/?q=45.8813000000001,-66.580397222</v>
      </c>
    </row>
    <row r="809" spans="1:8" ht="29" x14ac:dyDescent="0.35">
      <c r="A809" t="s">
        <v>5070</v>
      </c>
      <c r="B809" t="s">
        <v>5071</v>
      </c>
      <c r="C809" t="s">
        <v>5072</v>
      </c>
      <c r="D809" t="s">
        <v>5073</v>
      </c>
      <c r="E809" s="10" t="s">
        <v>28</v>
      </c>
      <c r="F809" s="11" t="s">
        <v>5074</v>
      </c>
      <c r="H809" s="17" t="str">
        <f>HYPERLINK("https://www.google.com/maps/?q=46.0929833330001,-64.774630556", "https://www.google.com/maps/?q=46.0929833330001,-64.774630556")</f>
        <v>https://www.google.com/maps/?q=46.0929833330001,-64.774630556</v>
      </c>
    </row>
    <row r="810" spans="1:8" ht="29" x14ac:dyDescent="0.35">
      <c r="A810" t="s">
        <v>5075</v>
      </c>
      <c r="B810" t="s">
        <v>5076</v>
      </c>
      <c r="C810" t="s">
        <v>5077</v>
      </c>
      <c r="D810" t="s">
        <v>5078</v>
      </c>
      <c r="E810" s="10" t="s">
        <v>44</v>
      </c>
      <c r="F810" s="11" t="s">
        <v>5079</v>
      </c>
      <c r="H810" s="17" t="str">
        <f>HYPERLINK("https://www.google.com/maps/?q=45.5833361110001,-65.794075", "https://www.google.com/maps/?q=45.5833361110001,-65.794075")</f>
        <v>https://www.google.com/maps/?q=45.5833361110001,-65.794075</v>
      </c>
    </row>
    <row r="811" spans="1:8" ht="29" x14ac:dyDescent="0.35">
      <c r="A811" t="s">
        <v>5080</v>
      </c>
      <c r="B811" t="s">
        <v>5081</v>
      </c>
      <c r="C811" t="s">
        <v>5082</v>
      </c>
      <c r="D811" t="s">
        <v>5083</v>
      </c>
      <c r="E811" s="10" t="s">
        <v>17</v>
      </c>
      <c r="F811" s="11" t="s">
        <v>2937</v>
      </c>
      <c r="H811" s="17" t="str">
        <f>HYPERLINK("https://www.google.com/maps/?q=46.6033333330001,-64.8199999999999", "https://www.google.com/maps/?q=46.6033333330001,-64.8199999999999")</f>
        <v>https://www.google.com/maps/?q=46.6033333330001,-64.8199999999999</v>
      </c>
    </row>
    <row r="812" spans="1:8" ht="29" x14ac:dyDescent="0.35">
      <c r="A812" t="s">
        <v>5084</v>
      </c>
      <c r="B812" t="s">
        <v>5085</v>
      </c>
      <c r="C812" t="s">
        <v>5086</v>
      </c>
      <c r="D812" t="s">
        <v>5087</v>
      </c>
      <c r="E812" s="10" t="s">
        <v>1109</v>
      </c>
      <c r="F812" s="11" t="s">
        <v>1514</v>
      </c>
      <c r="H812" s="17" t="str">
        <f>HYPERLINK("https://www.google.com/maps/?q=46.0776666670001,-64.8509722219999", "https://www.google.com/maps/?q=46.0776666670001,-64.8509722219999")</f>
        <v>https://www.google.com/maps/?q=46.0776666670001,-64.8509722219999</v>
      </c>
    </row>
    <row r="813" spans="1:8" ht="29" x14ac:dyDescent="0.35">
      <c r="A813" t="s">
        <v>5088</v>
      </c>
      <c r="B813" t="s">
        <v>5089</v>
      </c>
      <c r="C813" t="s">
        <v>5090</v>
      </c>
      <c r="D813" t="s">
        <v>5091</v>
      </c>
      <c r="E813" s="10" t="s">
        <v>1109</v>
      </c>
      <c r="F813" s="11" t="s">
        <v>5092</v>
      </c>
      <c r="H813" s="17" t="str">
        <f>HYPERLINK("https://www.google.com/maps/?q=45.515833333,-65.836388889", "https://www.google.com/maps/?q=45.515833333,-65.836388889")</f>
        <v>https://www.google.com/maps/?q=45.515833333,-65.836388889</v>
      </c>
    </row>
    <row r="814" spans="1:8" ht="29" x14ac:dyDescent="0.35">
      <c r="A814" t="s">
        <v>5093</v>
      </c>
      <c r="B814" t="s">
        <v>5094</v>
      </c>
      <c r="C814" t="s">
        <v>5095</v>
      </c>
      <c r="D814" t="s">
        <v>5096</v>
      </c>
      <c r="E814" s="10" t="s">
        <v>44</v>
      </c>
      <c r="F814" s="11" t="s">
        <v>5097</v>
      </c>
      <c r="H814" s="17" t="str">
        <f>HYPERLINK("https://www.google.com/maps/?q=46.539819444,-65.0618805559999", "https://www.google.com/maps/?q=46.539819444,-65.0618805559999")</f>
        <v>https://www.google.com/maps/?q=46.539819444,-65.0618805559999</v>
      </c>
    </row>
    <row r="815" spans="1:8" ht="29" x14ac:dyDescent="0.35">
      <c r="A815" t="s">
        <v>5098</v>
      </c>
      <c r="B815" t="s">
        <v>5099</v>
      </c>
      <c r="C815" t="s">
        <v>5100</v>
      </c>
      <c r="D815" t="s">
        <v>5101</v>
      </c>
      <c r="E815" s="10" t="s">
        <v>44</v>
      </c>
      <c r="F815" s="11" t="s">
        <v>5102</v>
      </c>
      <c r="H815" s="17" t="str">
        <f>HYPERLINK("https://www.google.com/maps/?q=45.6936055560001,-66.1235972219999", "https://www.google.com/maps/?q=45.6936055560001,-66.1235972219999")</f>
        <v>https://www.google.com/maps/?q=45.6936055560001,-66.1235972219999</v>
      </c>
    </row>
    <row r="816" spans="1:8" ht="29" x14ac:dyDescent="0.35">
      <c r="A816" t="s">
        <v>5103</v>
      </c>
      <c r="B816" t="s">
        <v>5104</v>
      </c>
      <c r="C816" t="s">
        <v>5105</v>
      </c>
      <c r="D816" t="s">
        <v>5106</v>
      </c>
      <c r="E816" s="10" t="s">
        <v>28</v>
      </c>
      <c r="F816" s="11" t="s">
        <v>5107</v>
      </c>
      <c r="H816" s="17" t="str">
        <f>HYPERLINK("https://www.google.com/maps/?q=45.2732111110001,-66.063258333", "https://www.google.com/maps/?q=45.2732111110001,-66.063258333")</f>
        <v>https://www.google.com/maps/?q=45.2732111110001,-66.063258333</v>
      </c>
    </row>
    <row r="817" spans="1:8" ht="29" x14ac:dyDescent="0.35">
      <c r="A817" t="s">
        <v>5108</v>
      </c>
      <c r="B817" t="s">
        <v>5109</v>
      </c>
      <c r="C817" t="s">
        <v>5110</v>
      </c>
      <c r="D817" t="s">
        <v>5111</v>
      </c>
      <c r="E817" s="10" t="s">
        <v>50</v>
      </c>
      <c r="F817" s="11" t="s">
        <v>2288</v>
      </c>
      <c r="H817" s="17" t="str">
        <f>HYPERLINK("https://www.google.com/maps/?q=45.9646111110001,-66.8630277779999", "https://www.google.com/maps/?q=45.9646111110001,-66.8630277779999")</f>
        <v>https://www.google.com/maps/?q=45.9646111110001,-66.8630277779999</v>
      </c>
    </row>
    <row r="818" spans="1:8" ht="29" x14ac:dyDescent="0.35">
      <c r="A818" t="s">
        <v>5112</v>
      </c>
      <c r="B818" t="s">
        <v>5113</v>
      </c>
      <c r="C818" t="s">
        <v>5114</v>
      </c>
      <c r="D818" t="s">
        <v>5115</v>
      </c>
      <c r="E818" s="10" t="s">
        <v>50</v>
      </c>
      <c r="F818" s="11" t="s">
        <v>5116</v>
      </c>
      <c r="H818" s="17" t="str">
        <f>HYPERLINK("https://www.google.com/maps/?q=45.680777778,-66.453694444", "https://www.google.com/maps/?q=45.680777778,-66.453694444")</f>
        <v>https://www.google.com/maps/?q=45.680777778,-66.453694444</v>
      </c>
    </row>
    <row r="819" spans="1:8" ht="29" x14ac:dyDescent="0.35">
      <c r="A819" t="s">
        <v>5117</v>
      </c>
      <c r="B819" t="s">
        <v>5118</v>
      </c>
      <c r="C819" t="s">
        <v>5119</v>
      </c>
      <c r="D819" t="s">
        <v>5120</v>
      </c>
      <c r="E819" s="10" t="s">
        <v>50</v>
      </c>
      <c r="F819" s="11" t="s">
        <v>5121</v>
      </c>
      <c r="H819" s="17" t="str">
        <f>HYPERLINK("https://www.google.com/maps/?q=46.9117555560001,-67.743336111", "https://www.google.com/maps/?q=46.9117555560001,-67.743336111")</f>
        <v>https://www.google.com/maps/?q=46.9117555560001,-67.743336111</v>
      </c>
    </row>
    <row r="820" spans="1:8" ht="29" x14ac:dyDescent="0.35">
      <c r="A820" t="s">
        <v>5122</v>
      </c>
      <c r="B820" t="s">
        <v>5123</v>
      </c>
      <c r="C820" t="s">
        <v>5124</v>
      </c>
      <c r="D820" t="s">
        <v>5125</v>
      </c>
      <c r="E820" s="10" t="s">
        <v>28</v>
      </c>
      <c r="F820" s="11" t="s">
        <v>5126</v>
      </c>
      <c r="H820" s="17" t="str">
        <f>HYPERLINK("https://www.google.com/maps/?q=45.933516667,-66.635719444", "https://www.google.com/maps/?q=45.933516667,-66.635719444")</f>
        <v>https://www.google.com/maps/?q=45.933516667,-66.635719444</v>
      </c>
    </row>
    <row r="821" spans="1:8" ht="29" x14ac:dyDescent="0.35">
      <c r="A821" t="s">
        <v>5127</v>
      </c>
      <c r="B821" t="s">
        <v>5128</v>
      </c>
      <c r="C821" t="s">
        <v>5129</v>
      </c>
      <c r="D821" t="s">
        <v>5130</v>
      </c>
      <c r="E821" s="10" t="s">
        <v>28</v>
      </c>
      <c r="F821" s="11" t="s">
        <v>5131</v>
      </c>
      <c r="H821" s="17" t="str">
        <f>HYPERLINK("https://www.google.com/maps/?q=45.073222222,-67.043708333", "https://www.google.com/maps/?q=45.073222222,-67.043708333")</f>
        <v>https://www.google.com/maps/?q=45.073222222,-67.043708333</v>
      </c>
    </row>
    <row r="822" spans="1:8" ht="29" x14ac:dyDescent="0.35">
      <c r="A822" t="s">
        <v>2895</v>
      </c>
      <c r="B822" t="s">
        <v>5132</v>
      </c>
      <c r="C822" t="s">
        <v>2897</v>
      </c>
      <c r="D822" t="s">
        <v>5133</v>
      </c>
      <c r="E822" s="10" t="s">
        <v>44</v>
      </c>
      <c r="F822" s="11" t="s">
        <v>2927</v>
      </c>
      <c r="H822" s="17" t="str">
        <f>HYPERLINK("https://www.google.com/maps/?q=46.922797222,-65.2270861109999", "https://www.google.com/maps/?q=46.922797222,-65.2270861109999")</f>
        <v>https://www.google.com/maps/?q=46.922797222,-65.2270861109999</v>
      </c>
    </row>
    <row r="823" spans="1:8" ht="29" x14ac:dyDescent="0.35">
      <c r="A823" t="s">
        <v>5134</v>
      </c>
      <c r="B823" t="s">
        <v>5135</v>
      </c>
      <c r="C823" t="s">
        <v>5136</v>
      </c>
      <c r="D823" t="s">
        <v>5137</v>
      </c>
      <c r="E823" s="10" t="s">
        <v>28</v>
      </c>
      <c r="F823" s="11" t="s">
        <v>5138</v>
      </c>
      <c r="H823" s="17" t="str">
        <f>HYPERLINK("https://www.google.com/maps/?q=47.639219444,-65.7361333329999", "https://www.google.com/maps/?q=47.639219444,-65.7361333329999")</f>
        <v>https://www.google.com/maps/?q=47.639219444,-65.7361333329999</v>
      </c>
    </row>
    <row r="824" spans="1:8" ht="29" x14ac:dyDescent="0.35">
      <c r="A824" t="s">
        <v>5139</v>
      </c>
      <c r="B824" t="s">
        <v>5140</v>
      </c>
      <c r="C824" t="s">
        <v>5141</v>
      </c>
      <c r="D824" t="s">
        <v>5142</v>
      </c>
      <c r="E824" s="10" t="s">
        <v>28</v>
      </c>
      <c r="F824" s="11" t="s">
        <v>4657</v>
      </c>
      <c r="H824" s="17" t="str">
        <f>HYPERLINK("https://www.google.com/maps/?q=45.8706361110001,-66.580475", "https://www.google.com/maps/?q=45.8706361110001,-66.580475")</f>
        <v>https://www.google.com/maps/?q=45.8706361110001,-66.580475</v>
      </c>
    </row>
    <row r="825" spans="1:8" ht="29" x14ac:dyDescent="0.35">
      <c r="A825" t="s">
        <v>5143</v>
      </c>
      <c r="B825" t="s">
        <v>5144</v>
      </c>
      <c r="C825" t="s">
        <v>5145</v>
      </c>
      <c r="D825" t="s">
        <v>5146</v>
      </c>
      <c r="E825" s="10" t="s">
        <v>28</v>
      </c>
      <c r="F825" s="11" t="s">
        <v>5147</v>
      </c>
      <c r="H825" s="17" t="str">
        <f>HYPERLINK("https://www.google.com/maps/?q=45.884561111,-66.688872222", "https://www.google.com/maps/?q=45.884561111,-66.688872222")</f>
        <v>https://www.google.com/maps/?q=45.884561111,-66.688872222</v>
      </c>
    </row>
    <row r="826" spans="1:8" ht="29" x14ac:dyDescent="0.35">
      <c r="A826" t="s">
        <v>5148</v>
      </c>
      <c r="B826" t="s">
        <v>5149</v>
      </c>
      <c r="C826" t="s">
        <v>5150</v>
      </c>
      <c r="D826" t="s">
        <v>5151</v>
      </c>
      <c r="E826" s="10" t="s">
        <v>50</v>
      </c>
      <c r="F826" s="11" t="s">
        <v>2395</v>
      </c>
      <c r="H826" s="17" t="str">
        <f>HYPERLINK("https://www.google.com/maps/?q=47.510158333,-64.924894444", "https://www.google.com/maps/?q=47.510158333,-64.924894444")</f>
        <v>https://www.google.com/maps/?q=47.510158333,-64.924894444</v>
      </c>
    </row>
    <row r="827" spans="1:8" ht="29" x14ac:dyDescent="0.35">
      <c r="A827" t="s">
        <v>5152</v>
      </c>
      <c r="B827" t="s">
        <v>5153</v>
      </c>
      <c r="C827" t="s">
        <v>5154</v>
      </c>
      <c r="D827" t="s">
        <v>5155</v>
      </c>
      <c r="E827" s="10" t="s">
        <v>28</v>
      </c>
      <c r="F827" s="11" t="s">
        <v>5156</v>
      </c>
      <c r="H827" s="17" t="str">
        <f>HYPERLINK("https://www.google.com/maps/?q=46.8225277780001,-64.935777778", "https://www.google.com/maps/?q=46.8225277780001,-64.935777778")</f>
        <v>https://www.google.com/maps/?q=46.8225277780001,-64.935777778</v>
      </c>
    </row>
    <row r="828" spans="1:8" ht="29" x14ac:dyDescent="0.35">
      <c r="A828" t="s">
        <v>5157</v>
      </c>
      <c r="B828" t="s">
        <v>5158</v>
      </c>
      <c r="C828" t="s">
        <v>5159</v>
      </c>
      <c r="D828" t="s">
        <v>5160</v>
      </c>
      <c r="E828" s="10" t="s">
        <v>28</v>
      </c>
      <c r="F828" s="11" t="s">
        <v>5161</v>
      </c>
      <c r="H828" s="17" t="str">
        <f>HYPERLINK("https://www.google.com/maps/?q=47.887138889,-65.979219444", "https://www.google.com/maps/?q=47.887138889,-65.979219444")</f>
        <v>https://www.google.com/maps/?q=47.887138889,-65.979219444</v>
      </c>
    </row>
    <row r="829" spans="1:8" ht="29" x14ac:dyDescent="0.35">
      <c r="A829" t="s">
        <v>5162</v>
      </c>
      <c r="B829" t="s">
        <v>5163</v>
      </c>
      <c r="C829" t="s">
        <v>5164</v>
      </c>
      <c r="D829" t="s">
        <v>5165</v>
      </c>
      <c r="E829" s="10" t="s">
        <v>28</v>
      </c>
      <c r="F829" s="11" t="s">
        <v>5166</v>
      </c>
      <c r="H829" s="17" t="str">
        <f>HYPERLINK("https://www.google.com/maps/?q=47.3587555560001,-68.243088889", "https://www.google.com/maps/?q=47.3587555560001,-68.243088889")</f>
        <v>https://www.google.com/maps/?q=47.3587555560001,-68.243088889</v>
      </c>
    </row>
    <row r="830" spans="1:8" ht="29" x14ac:dyDescent="0.35">
      <c r="A830" t="s">
        <v>5167</v>
      </c>
      <c r="B830" t="s">
        <v>5168</v>
      </c>
      <c r="C830" t="s">
        <v>5169</v>
      </c>
      <c r="D830" t="s">
        <v>5170</v>
      </c>
      <c r="E830" s="10" t="s">
        <v>28</v>
      </c>
      <c r="F830" s="11" t="s">
        <v>5171</v>
      </c>
      <c r="H830" s="17" t="str">
        <f>HYPERLINK("https://www.google.com/maps/?q=47.6312722220001,-65.743625", "https://www.google.com/maps/?q=47.6312722220001,-65.743625")</f>
        <v>https://www.google.com/maps/?q=47.6312722220001,-65.743625</v>
      </c>
    </row>
    <row r="831" spans="1:8" ht="29" x14ac:dyDescent="0.35">
      <c r="A831" t="s">
        <v>5172</v>
      </c>
      <c r="B831" t="s">
        <v>5173</v>
      </c>
      <c r="C831" t="s">
        <v>5174</v>
      </c>
      <c r="D831" t="s">
        <v>5175</v>
      </c>
      <c r="E831" s="10" t="s">
        <v>28</v>
      </c>
      <c r="F831" s="11" t="s">
        <v>5176</v>
      </c>
      <c r="H831" s="17" t="str">
        <f>HYPERLINK("https://www.google.com/maps/?q=47.694969444,-65.702830556", "https://www.google.com/maps/?q=47.694969444,-65.702830556")</f>
        <v>https://www.google.com/maps/?q=47.694969444,-65.702830556</v>
      </c>
    </row>
    <row r="832" spans="1:8" ht="29" x14ac:dyDescent="0.35">
      <c r="A832" t="s">
        <v>5177</v>
      </c>
      <c r="B832" t="s">
        <v>5178</v>
      </c>
      <c r="C832" t="s">
        <v>5179</v>
      </c>
      <c r="D832" t="s">
        <v>5180</v>
      </c>
      <c r="E832" s="10" t="s">
        <v>28</v>
      </c>
      <c r="F832" s="11" t="s">
        <v>5181</v>
      </c>
      <c r="H832" s="17" t="str">
        <f>HYPERLINK("https://www.google.com/maps/?q=46.1186083330001,-66.774441667", "https://www.google.com/maps/?q=46.1186083330001,-66.774441667")</f>
        <v>https://www.google.com/maps/?q=46.1186083330001,-66.774441667</v>
      </c>
    </row>
    <row r="833" spans="1:8" ht="29" x14ac:dyDescent="0.35">
      <c r="A833" t="s">
        <v>5182</v>
      </c>
      <c r="B833" t="s">
        <v>5183</v>
      </c>
      <c r="C833" t="s">
        <v>5184</v>
      </c>
      <c r="D833" t="s">
        <v>5185</v>
      </c>
      <c r="E833" s="10" t="s">
        <v>50</v>
      </c>
      <c r="F833" s="11" t="s">
        <v>5186</v>
      </c>
      <c r="H833" s="17" t="str">
        <f>HYPERLINK("https://www.google.com/maps/?q=45.853497222,-66.5696027779999", "https://www.google.com/maps/?q=45.853497222,-66.5696027779999")</f>
        <v>https://www.google.com/maps/?q=45.853497222,-66.5696027779999</v>
      </c>
    </row>
    <row r="834" spans="1:8" ht="29" x14ac:dyDescent="0.35">
      <c r="A834" t="s">
        <v>5187</v>
      </c>
      <c r="B834" t="s">
        <v>5188</v>
      </c>
      <c r="C834" t="s">
        <v>5189</v>
      </c>
      <c r="D834" t="s">
        <v>5190</v>
      </c>
      <c r="E834" s="10" t="s">
        <v>66</v>
      </c>
      <c r="F834" s="11" t="s">
        <v>5191</v>
      </c>
      <c r="H834" s="17" t="str">
        <f>HYPERLINK("https://www.google.com/maps/?q=45.9606805560001,-66.641361111", "https://www.google.com/maps/?q=45.9606805560001,-66.641361111")</f>
        <v>https://www.google.com/maps/?q=45.9606805560001,-66.641361111</v>
      </c>
    </row>
    <row r="835" spans="1:8" ht="29" x14ac:dyDescent="0.35">
      <c r="A835" t="s">
        <v>5192</v>
      </c>
      <c r="B835" t="s">
        <v>5193</v>
      </c>
      <c r="C835" t="s">
        <v>5194</v>
      </c>
      <c r="D835" t="s">
        <v>5195</v>
      </c>
      <c r="E835" s="10" t="s">
        <v>66</v>
      </c>
      <c r="F835" s="11" t="s">
        <v>2786</v>
      </c>
      <c r="H835" s="17" t="str">
        <f>HYPERLINK("https://www.google.com/maps/?q=45.8422,-66.0513999999999", "https://www.google.com/maps/?q=45.8422,-66.0513999999999")</f>
        <v>https://www.google.com/maps/?q=45.8422,-66.0513999999999</v>
      </c>
    </row>
    <row r="836" spans="1:8" ht="29" x14ac:dyDescent="0.35">
      <c r="A836" t="s">
        <v>5196</v>
      </c>
      <c r="B836" t="s">
        <v>5197</v>
      </c>
      <c r="C836" t="s">
        <v>5198</v>
      </c>
      <c r="D836" t="s">
        <v>5199</v>
      </c>
      <c r="E836" s="10" t="s">
        <v>66</v>
      </c>
      <c r="F836" s="11" t="s">
        <v>5200</v>
      </c>
      <c r="H836" s="17" t="str">
        <f>HYPERLINK("https://www.google.com/maps/?q=45.2502500000001,-66.0996", "https://www.google.com/maps/?q=45.2502500000001,-66.0996")</f>
        <v>https://www.google.com/maps/?q=45.2502500000001,-66.0996</v>
      </c>
    </row>
    <row r="837" spans="1:8" ht="29" x14ac:dyDescent="0.35">
      <c r="A837" t="s">
        <v>5201</v>
      </c>
      <c r="B837" t="s">
        <v>5202</v>
      </c>
      <c r="C837" t="s">
        <v>5203</v>
      </c>
      <c r="D837" t="s">
        <v>5204</v>
      </c>
      <c r="E837" s="10" t="s">
        <v>66</v>
      </c>
      <c r="F837" s="11" t="s">
        <v>1328</v>
      </c>
      <c r="H837" s="17" t="str">
        <f>HYPERLINK("https://www.google.com/maps/?q=45.8958305560001,-66.5916694439999", "https://www.google.com/maps/?q=45.8958305560001,-66.5916694439999")</f>
        <v>https://www.google.com/maps/?q=45.8958305560001,-66.5916694439999</v>
      </c>
    </row>
    <row r="838" spans="1:8" ht="29" x14ac:dyDescent="0.35">
      <c r="A838" t="s">
        <v>2235</v>
      </c>
      <c r="B838" t="s">
        <v>5205</v>
      </c>
      <c r="C838" t="s">
        <v>2237</v>
      </c>
      <c r="D838" t="s">
        <v>5206</v>
      </c>
      <c r="E838" s="10" t="s">
        <v>17</v>
      </c>
      <c r="F838" s="11" t="s">
        <v>2239</v>
      </c>
      <c r="H838" s="17" t="str">
        <f>HYPERLINK("https://www.google.com/maps/?q=47.1803,-67.9028", "https://www.google.com/maps/?q=47.1803,-67.9028")</f>
        <v>https://www.google.com/maps/?q=47.1803,-67.9028</v>
      </c>
    </row>
    <row r="839" spans="1:8" ht="29" x14ac:dyDescent="0.35">
      <c r="A839" t="s">
        <v>2368</v>
      </c>
      <c r="B839" t="s">
        <v>5207</v>
      </c>
      <c r="C839" t="s">
        <v>2370</v>
      </c>
      <c r="D839" t="s">
        <v>5208</v>
      </c>
      <c r="E839" s="10" t="s">
        <v>17</v>
      </c>
      <c r="F839" s="11" t="s">
        <v>2372</v>
      </c>
      <c r="H839" s="17" t="str">
        <f>HYPERLINK("https://www.google.com/maps/?q=47.0977777780001,-65.735277778", "https://www.google.com/maps/?q=47.0977777780001,-65.735277778")</f>
        <v>https://www.google.com/maps/?q=47.0977777780001,-65.735277778</v>
      </c>
    </row>
    <row r="840" spans="1:8" ht="29" x14ac:dyDescent="0.35">
      <c r="A840" t="s">
        <v>5209</v>
      </c>
      <c r="B840" t="s">
        <v>5210</v>
      </c>
      <c r="C840" t="s">
        <v>5211</v>
      </c>
      <c r="D840" t="s">
        <v>5212</v>
      </c>
      <c r="E840" s="10" t="s">
        <v>17</v>
      </c>
      <c r="F840" s="11" t="s">
        <v>2864</v>
      </c>
      <c r="H840" s="17" t="str">
        <f>HYPERLINK("https://www.google.com/maps/?q=47.9944,-66.7053", "https://www.google.com/maps/?q=47.9944,-66.7053")</f>
        <v>https://www.google.com/maps/?q=47.9944,-66.7053</v>
      </c>
    </row>
    <row r="841" spans="1:8" ht="29" x14ac:dyDescent="0.35">
      <c r="A841" t="s">
        <v>5213</v>
      </c>
      <c r="B841" t="s">
        <v>4425</v>
      </c>
      <c r="C841" t="s">
        <v>5214</v>
      </c>
      <c r="D841" t="s">
        <v>4427</v>
      </c>
      <c r="E841" s="10" t="s">
        <v>17</v>
      </c>
      <c r="F841" s="11" t="s">
        <v>4428</v>
      </c>
      <c r="H841" s="17" t="str">
        <f>HYPERLINK("https://www.google.com/maps/?q=46.51,-66.2368999999999", "https://www.google.com/maps/?q=46.51,-66.2368999999999")</f>
        <v>https://www.google.com/maps/?q=46.51,-66.2368999999999</v>
      </c>
    </row>
    <row r="842" spans="1:8" ht="29" x14ac:dyDescent="0.35">
      <c r="A842" t="s">
        <v>5215</v>
      </c>
      <c r="B842" t="s">
        <v>5216</v>
      </c>
      <c r="C842" t="s">
        <v>5217</v>
      </c>
      <c r="D842" t="s">
        <v>5218</v>
      </c>
      <c r="E842" s="10" t="s">
        <v>50</v>
      </c>
      <c r="F842" s="11" t="s">
        <v>5219</v>
      </c>
      <c r="H842" s="17" t="str">
        <f>HYPERLINK("https://www.google.com/maps/?q=46.0894666670001,-64.773652778", "https://www.google.com/maps/?q=46.0894666670001,-64.773652778")</f>
        <v>https://www.google.com/maps/?q=46.0894666670001,-64.773652778</v>
      </c>
    </row>
    <row r="843" spans="1:8" ht="29" x14ac:dyDescent="0.35">
      <c r="A843" t="s">
        <v>5220</v>
      </c>
      <c r="B843" t="s">
        <v>5221</v>
      </c>
      <c r="C843" t="s">
        <v>5222</v>
      </c>
      <c r="D843" t="s">
        <v>5223</v>
      </c>
      <c r="E843" s="10" t="s">
        <v>50</v>
      </c>
      <c r="F843" s="11" t="s">
        <v>5224</v>
      </c>
      <c r="H843" s="17" t="str">
        <f>HYPERLINK("https://www.google.com/maps/?q=45.92465,-67.1215861109999", "https://www.google.com/maps/?q=45.92465,-67.1215861109999")</f>
        <v>https://www.google.com/maps/?q=45.92465,-67.1215861109999</v>
      </c>
    </row>
    <row r="844" spans="1:8" ht="29" x14ac:dyDescent="0.35">
      <c r="A844" t="s">
        <v>2220</v>
      </c>
      <c r="B844" t="s">
        <v>5225</v>
      </c>
      <c r="C844" t="s">
        <v>2222</v>
      </c>
      <c r="D844" t="s">
        <v>5226</v>
      </c>
      <c r="E844" s="10" t="s">
        <v>50</v>
      </c>
      <c r="F844" s="11" t="s">
        <v>2224</v>
      </c>
      <c r="H844" s="17" t="str">
        <f>HYPERLINK("https://www.google.com/maps/?q=45.8903,-66.6425", "https://www.google.com/maps/?q=45.8903,-66.6425")</f>
        <v>https://www.google.com/maps/?q=45.8903,-66.6425</v>
      </c>
    </row>
    <row r="845" spans="1:8" ht="29" x14ac:dyDescent="0.35">
      <c r="A845" t="s">
        <v>5227</v>
      </c>
      <c r="B845" t="s">
        <v>5228</v>
      </c>
      <c r="C845" t="s">
        <v>5229</v>
      </c>
      <c r="D845" t="s">
        <v>5230</v>
      </c>
      <c r="E845" s="10" t="s">
        <v>50</v>
      </c>
      <c r="F845" s="11" t="s">
        <v>4073</v>
      </c>
      <c r="H845" s="17" t="str">
        <f>HYPERLINK("https://www.google.com/maps/?q=46.385291667,-64.665280556", "https://www.google.com/maps/?q=46.385291667,-64.665280556")</f>
        <v>https://www.google.com/maps/?q=46.385291667,-64.665280556</v>
      </c>
    </row>
    <row r="846" spans="1:8" ht="29" x14ac:dyDescent="0.35">
      <c r="A846" t="s">
        <v>5231</v>
      </c>
      <c r="B846" t="s">
        <v>5232</v>
      </c>
      <c r="C846" t="s">
        <v>5233</v>
      </c>
      <c r="D846" t="s">
        <v>5234</v>
      </c>
      <c r="E846" s="10" t="s">
        <v>50</v>
      </c>
      <c r="F846" s="11" t="s">
        <v>5235</v>
      </c>
      <c r="H846" s="17" t="str">
        <f>HYPERLINK("https://www.google.com/maps/?q=45.680444444,-67.052666667", "https://www.google.com/maps/?q=45.680444444,-67.052666667")</f>
        <v>https://www.google.com/maps/?q=45.680444444,-67.052666667</v>
      </c>
    </row>
    <row r="847" spans="1:8" ht="29" x14ac:dyDescent="0.35">
      <c r="A847" t="s">
        <v>5236</v>
      </c>
      <c r="B847" t="s">
        <v>5237</v>
      </c>
      <c r="C847" t="s">
        <v>5238</v>
      </c>
      <c r="D847" t="s">
        <v>5239</v>
      </c>
      <c r="E847" s="10" t="s">
        <v>1109</v>
      </c>
      <c r="F847" s="11" t="s">
        <v>5240</v>
      </c>
      <c r="H847" s="17" t="str">
        <f>HYPERLINK("https://www.google.com/maps/?q=47.3610555560001,-68.3386944439999", "https://www.google.com/maps/?q=47.3610555560001,-68.3386944439999")</f>
        <v>https://www.google.com/maps/?q=47.3610555560001,-68.3386944439999</v>
      </c>
    </row>
    <row r="848" spans="1:8" ht="29" x14ac:dyDescent="0.35">
      <c r="A848" t="s">
        <v>5241</v>
      </c>
      <c r="B848" t="s">
        <v>5242</v>
      </c>
      <c r="C848" t="s">
        <v>5243</v>
      </c>
      <c r="D848" t="s">
        <v>5244</v>
      </c>
      <c r="E848" s="10" t="s">
        <v>1109</v>
      </c>
      <c r="F848" s="11" t="s">
        <v>4736</v>
      </c>
      <c r="H848" s="17" t="str">
        <f>HYPERLINK("https://www.google.com/maps/?q=45.9352777780001,-64.467777778", "https://www.google.com/maps/?q=45.9352777780001,-64.467777778")</f>
        <v>https://www.google.com/maps/?q=45.9352777780001,-64.467777778</v>
      </c>
    </row>
    <row r="849" spans="1:8" ht="29" x14ac:dyDescent="0.35">
      <c r="A849" t="s">
        <v>5245</v>
      </c>
      <c r="B849" t="s">
        <v>5246</v>
      </c>
      <c r="C849" t="s">
        <v>5247</v>
      </c>
      <c r="D849" t="s">
        <v>5248</v>
      </c>
      <c r="E849" s="10" t="s">
        <v>1109</v>
      </c>
      <c r="F849" s="11" t="s">
        <v>4839</v>
      </c>
      <c r="H849" s="17" t="str">
        <f>HYPERLINK("https://www.google.com/maps/?q=47.3610833330001,-68.338888889", "https://www.google.com/maps/?q=47.3610833330001,-68.338888889")</f>
        <v>https://www.google.com/maps/?q=47.3610833330001,-68.338888889</v>
      </c>
    </row>
    <row r="850" spans="1:8" ht="29" x14ac:dyDescent="0.35">
      <c r="A850" t="s">
        <v>5249</v>
      </c>
      <c r="B850" t="s">
        <v>5250</v>
      </c>
      <c r="C850" t="s">
        <v>5251</v>
      </c>
      <c r="D850" t="s">
        <v>5252</v>
      </c>
      <c r="E850" s="10" t="s">
        <v>1109</v>
      </c>
      <c r="F850" s="11" t="s">
        <v>1514</v>
      </c>
      <c r="H850" s="17" t="str">
        <f>HYPERLINK("https://www.google.com/maps/?q=46.081361111,-64.848416667", "https://www.google.com/maps/?q=46.081361111,-64.848416667")</f>
        <v>https://www.google.com/maps/?q=46.081361111,-64.848416667</v>
      </c>
    </row>
    <row r="851" spans="1:8" ht="29" x14ac:dyDescent="0.35">
      <c r="A851" t="s">
        <v>5253</v>
      </c>
      <c r="B851" t="s">
        <v>5254</v>
      </c>
      <c r="C851" t="s">
        <v>5255</v>
      </c>
      <c r="D851" t="s">
        <v>5256</v>
      </c>
      <c r="E851" s="10" t="s">
        <v>28</v>
      </c>
      <c r="F851" s="11" t="s">
        <v>5257</v>
      </c>
      <c r="H851" s="17" t="str">
        <f>HYPERLINK("https://www.google.com/maps/?q=45.3333138890001,-65.9139472219999", "https://www.google.com/maps/?q=45.3333138890001,-65.9139472219999")</f>
        <v>https://www.google.com/maps/?q=45.3333138890001,-65.9139472219999</v>
      </c>
    </row>
    <row r="852" spans="1:8" ht="29" x14ac:dyDescent="0.35">
      <c r="A852" t="s">
        <v>5258</v>
      </c>
      <c r="B852" t="s">
        <v>5259</v>
      </c>
      <c r="C852" t="s">
        <v>5260</v>
      </c>
      <c r="D852" t="s">
        <v>5261</v>
      </c>
      <c r="E852" s="10" t="s">
        <v>28</v>
      </c>
      <c r="F852" s="11" t="s">
        <v>5262</v>
      </c>
      <c r="H852" s="17" t="str">
        <f>HYPERLINK("https://www.google.com/maps/?q=45.9791777780001,-66.6595972219999", "https://www.google.com/maps/?q=45.9791777780001,-66.6595972219999")</f>
        <v>https://www.google.com/maps/?q=45.9791777780001,-66.6595972219999</v>
      </c>
    </row>
    <row r="853" spans="1:8" ht="29" x14ac:dyDescent="0.35">
      <c r="A853" t="s">
        <v>5263</v>
      </c>
      <c r="B853" t="s">
        <v>5264</v>
      </c>
      <c r="C853" t="s">
        <v>5265</v>
      </c>
      <c r="D853" t="s">
        <v>5266</v>
      </c>
      <c r="E853" s="10" t="s">
        <v>44</v>
      </c>
      <c r="F853" s="11" t="s">
        <v>5267</v>
      </c>
      <c r="H853" s="17" t="str">
        <f>HYPERLINK("https://www.google.com/maps/?q=46.6288888890001,-67.780280556", "https://www.google.com/maps/?q=46.6288888890001,-67.780280556")</f>
        <v>https://www.google.com/maps/?q=46.6288888890001,-67.780280556</v>
      </c>
    </row>
    <row r="854" spans="1:8" ht="29" x14ac:dyDescent="0.35">
      <c r="A854" t="s">
        <v>5268</v>
      </c>
      <c r="B854" t="s">
        <v>5269</v>
      </c>
      <c r="C854" t="s">
        <v>5270</v>
      </c>
      <c r="D854" t="s">
        <v>5271</v>
      </c>
      <c r="E854" s="10" t="s">
        <v>17</v>
      </c>
      <c r="F854" s="11" t="s">
        <v>1917</v>
      </c>
      <c r="H854" s="17" t="str">
        <f>HYPERLINK("https://www.google.com/maps/?q=47.451111111,-68.3853333329999", "https://www.google.com/maps/?q=47.451111111,-68.3853333329999")</f>
        <v>https://www.google.com/maps/?q=47.451111111,-68.3853333329999</v>
      </c>
    </row>
    <row r="855" spans="1:8" ht="29" x14ac:dyDescent="0.35">
      <c r="A855" t="s">
        <v>5272</v>
      </c>
      <c r="B855" t="s">
        <v>5273</v>
      </c>
      <c r="C855" t="s">
        <v>5274</v>
      </c>
      <c r="D855" t="s">
        <v>5275</v>
      </c>
      <c r="E855" s="10" t="s">
        <v>1109</v>
      </c>
      <c r="F855" s="11" t="s">
        <v>5276</v>
      </c>
      <c r="H855" s="17" t="str">
        <f>HYPERLINK("https://www.google.com/maps/?q=46.4091666670001,-66.915555556", "https://www.google.com/maps/?q=46.4091666670001,-66.915555556")</f>
        <v>https://www.google.com/maps/?q=46.4091666670001,-66.915555556</v>
      </c>
    </row>
    <row r="856" spans="1:8" ht="29" x14ac:dyDescent="0.35">
      <c r="A856" t="s">
        <v>5277</v>
      </c>
      <c r="B856" t="s">
        <v>5278</v>
      </c>
      <c r="C856" t="s">
        <v>5279</v>
      </c>
      <c r="D856" t="s">
        <v>5280</v>
      </c>
      <c r="E856" s="10" t="s">
        <v>1109</v>
      </c>
      <c r="F856" s="11" t="s">
        <v>5281</v>
      </c>
      <c r="H856" s="17" t="str">
        <f>HYPERLINK("https://www.google.com/maps/?q=47.0008333330001,-67.592222222", "https://www.google.com/maps/?q=47.0008333330001,-67.592222222")</f>
        <v>https://www.google.com/maps/?q=47.0008333330001,-67.592222222</v>
      </c>
    </row>
    <row r="857" spans="1:8" ht="29" x14ac:dyDescent="0.35">
      <c r="A857" t="s">
        <v>5282</v>
      </c>
      <c r="B857" t="s">
        <v>1511</v>
      </c>
      <c r="C857" t="s">
        <v>5283</v>
      </c>
      <c r="D857" t="s">
        <v>1513</v>
      </c>
      <c r="E857" s="10" t="s">
        <v>1109</v>
      </c>
      <c r="F857" s="11" t="s">
        <v>1514</v>
      </c>
      <c r="H857" s="17" t="str">
        <f>HYPERLINK("https://www.google.com/maps/?q=46.071888889,-64.8671944439999", "https://www.google.com/maps/?q=46.071888889,-64.8671944439999")</f>
        <v>https://www.google.com/maps/?q=46.071888889,-64.8671944439999</v>
      </c>
    </row>
    <row r="858" spans="1:8" ht="29" x14ac:dyDescent="0.35">
      <c r="A858" t="s">
        <v>5284</v>
      </c>
      <c r="B858" t="s">
        <v>5285</v>
      </c>
      <c r="C858" t="s">
        <v>5286</v>
      </c>
      <c r="D858" t="s">
        <v>5287</v>
      </c>
      <c r="E858" s="10" t="s">
        <v>1109</v>
      </c>
      <c r="F858" s="11" t="s">
        <v>3405</v>
      </c>
      <c r="H858" s="17" t="str">
        <f>HYPERLINK("https://www.google.com/maps/?q=46.1506666670001,-66.042333333", "https://www.google.com/maps/?q=46.1506666670001,-66.042333333")</f>
        <v>https://www.google.com/maps/?q=46.1506666670001,-66.042333333</v>
      </c>
    </row>
    <row r="859" spans="1:8" ht="29" x14ac:dyDescent="0.35">
      <c r="A859" t="s">
        <v>5288</v>
      </c>
      <c r="B859" t="s">
        <v>5289</v>
      </c>
      <c r="C859" t="s">
        <v>5290</v>
      </c>
      <c r="D859" t="s">
        <v>5291</v>
      </c>
      <c r="E859" s="10" t="s">
        <v>44</v>
      </c>
      <c r="F859" s="11" t="s">
        <v>5292</v>
      </c>
      <c r="H859" s="17" t="str">
        <f>HYPERLINK("https://www.google.com/maps/?q=45.8116444440001,-67.578583333", "https://www.google.com/maps/?q=45.8116444440001,-67.578583333")</f>
        <v>https://www.google.com/maps/?q=45.8116444440001,-67.578583333</v>
      </c>
    </row>
    <row r="860" spans="1:8" ht="29" x14ac:dyDescent="0.35">
      <c r="A860" t="s">
        <v>5293</v>
      </c>
      <c r="B860" t="s">
        <v>5294</v>
      </c>
      <c r="C860" t="s">
        <v>5295</v>
      </c>
      <c r="D860" t="s">
        <v>5296</v>
      </c>
      <c r="E860" s="10" t="s">
        <v>44</v>
      </c>
      <c r="F860" s="11" t="s">
        <v>5297</v>
      </c>
      <c r="H860" s="17" t="str">
        <f>HYPERLINK("https://www.google.com/maps/?q=45.6115722220001,-65.98425", "https://www.google.com/maps/?q=45.6115722220001,-65.98425")</f>
        <v>https://www.google.com/maps/?q=45.6115722220001,-65.98425</v>
      </c>
    </row>
    <row r="861" spans="1:8" ht="29" x14ac:dyDescent="0.35">
      <c r="A861" t="s">
        <v>5298</v>
      </c>
      <c r="B861" t="s">
        <v>5299</v>
      </c>
      <c r="C861" t="s">
        <v>5300</v>
      </c>
      <c r="D861" t="s">
        <v>5301</v>
      </c>
      <c r="E861" s="10" t="s">
        <v>44</v>
      </c>
      <c r="F861" s="11" t="s">
        <v>5302</v>
      </c>
      <c r="H861" s="17" t="str">
        <f>HYPERLINK("https://www.google.com/maps/?q=46.7539,-67.7112611109999", "https://www.google.com/maps/?q=46.7539,-67.7112611109999")</f>
        <v>https://www.google.com/maps/?q=46.7539,-67.7112611109999</v>
      </c>
    </row>
    <row r="862" spans="1:8" ht="29" x14ac:dyDescent="0.35">
      <c r="A862" t="s">
        <v>1113</v>
      </c>
      <c r="B862" t="s">
        <v>5303</v>
      </c>
      <c r="C862" t="s">
        <v>1114</v>
      </c>
      <c r="D862" t="s">
        <v>5304</v>
      </c>
      <c r="E862" s="10" t="s">
        <v>50</v>
      </c>
      <c r="F862" s="11" t="s">
        <v>2454</v>
      </c>
      <c r="H862" s="17" t="str">
        <f>HYPERLINK("https://www.google.com/maps/?q=46.1041638890001,-64.901108333", "https://www.google.com/maps/?q=46.1041638890001,-64.901108333")</f>
        <v>https://www.google.com/maps/?q=46.1041638890001,-64.901108333</v>
      </c>
    </row>
    <row r="863" spans="1:8" ht="29" x14ac:dyDescent="0.35">
      <c r="A863" t="s">
        <v>5305</v>
      </c>
      <c r="B863" t="s">
        <v>5306</v>
      </c>
      <c r="C863" t="s">
        <v>5307</v>
      </c>
      <c r="D863" t="s">
        <v>5308</v>
      </c>
      <c r="E863" s="10" t="s">
        <v>28</v>
      </c>
      <c r="F863" s="11" t="s">
        <v>5309</v>
      </c>
      <c r="H863" s="17" t="str">
        <f>HYPERLINK("https://www.google.com/maps/?q=46.026852778,-66.696980556", "https://www.google.com/maps/?q=46.026852778,-66.696980556")</f>
        <v>https://www.google.com/maps/?q=46.026852778,-66.696980556</v>
      </c>
    </row>
    <row r="864" spans="1:8" ht="29" x14ac:dyDescent="0.35">
      <c r="A864" t="s">
        <v>5310</v>
      </c>
      <c r="B864" t="s">
        <v>5311</v>
      </c>
      <c r="C864" t="s">
        <v>5312</v>
      </c>
      <c r="D864" t="s">
        <v>5313</v>
      </c>
      <c r="E864" s="10" t="s">
        <v>28</v>
      </c>
      <c r="F864" s="11" t="s">
        <v>5314</v>
      </c>
      <c r="H864" s="17" t="str">
        <f>HYPERLINK("https://www.google.com/maps/?q=46.090408333,-64.7721999999999", "https://www.google.com/maps/?q=46.090408333,-64.7721999999999")</f>
        <v>https://www.google.com/maps/?q=46.090408333,-64.7721999999999</v>
      </c>
    </row>
    <row r="865" spans="1:8" ht="29" x14ac:dyDescent="0.35">
      <c r="A865" t="s">
        <v>5315</v>
      </c>
      <c r="B865" t="s">
        <v>5316</v>
      </c>
      <c r="C865" t="s">
        <v>5317</v>
      </c>
      <c r="D865" t="s">
        <v>5318</v>
      </c>
      <c r="E865" s="10" t="s">
        <v>28</v>
      </c>
      <c r="F865" s="11" t="s">
        <v>5319</v>
      </c>
      <c r="H865" s="17" t="str">
        <f>HYPERLINK("https://www.google.com/maps/?q=45.268466667,-66.059833333", "https://www.google.com/maps/?q=45.268466667,-66.059833333")</f>
        <v>https://www.google.com/maps/?q=45.268466667,-66.059833333</v>
      </c>
    </row>
    <row r="866" spans="1:8" ht="29" x14ac:dyDescent="0.35">
      <c r="A866" t="s">
        <v>5320</v>
      </c>
      <c r="B866" t="s">
        <v>5321</v>
      </c>
      <c r="C866" t="s">
        <v>5322</v>
      </c>
      <c r="D866" t="s">
        <v>5323</v>
      </c>
      <c r="E866" s="10" t="s">
        <v>28</v>
      </c>
      <c r="F866" s="11" t="s">
        <v>5324</v>
      </c>
      <c r="H866" s="17" t="str">
        <f>HYPERLINK("https://www.google.com/maps/?q=45.990908333,-66.766888889", "https://www.google.com/maps/?q=45.990908333,-66.766888889")</f>
        <v>https://www.google.com/maps/?q=45.990908333,-66.766888889</v>
      </c>
    </row>
    <row r="867" spans="1:8" ht="29" x14ac:dyDescent="0.35">
      <c r="A867" t="s">
        <v>5325</v>
      </c>
      <c r="B867" t="s">
        <v>5326</v>
      </c>
      <c r="C867" t="s">
        <v>5327</v>
      </c>
      <c r="D867" t="s">
        <v>5328</v>
      </c>
      <c r="E867" s="10" t="s">
        <v>28</v>
      </c>
      <c r="F867" s="11" t="s">
        <v>4936</v>
      </c>
      <c r="H867" s="17" t="str">
        <f>HYPERLINK("https://www.google.com/maps/?q=46.2227777780001,-64.5393999999999", "https://www.google.com/maps/?q=46.2227777780001,-64.5393999999999")</f>
        <v>https://www.google.com/maps/?q=46.2227777780001,-64.5393999999999</v>
      </c>
    </row>
    <row r="868" spans="1:8" ht="29" x14ac:dyDescent="0.35">
      <c r="A868" t="s">
        <v>5329</v>
      </c>
      <c r="B868" t="s">
        <v>5330</v>
      </c>
      <c r="C868" t="s">
        <v>5331</v>
      </c>
      <c r="D868" t="s">
        <v>5332</v>
      </c>
      <c r="E868" s="10" t="s">
        <v>28</v>
      </c>
      <c r="F868" s="11" t="s">
        <v>5333</v>
      </c>
      <c r="H868" s="17" t="str">
        <f>HYPERLINK("https://www.google.com/maps/?q=46.448755556,-67.613783333", "https://www.google.com/maps/?q=46.448755556,-67.613783333")</f>
        <v>https://www.google.com/maps/?q=46.448755556,-67.613783333</v>
      </c>
    </row>
    <row r="869" spans="1:8" ht="29" x14ac:dyDescent="0.35">
      <c r="A869" t="s">
        <v>5334</v>
      </c>
      <c r="B869" t="s">
        <v>5335</v>
      </c>
      <c r="C869" t="s">
        <v>5336</v>
      </c>
      <c r="D869" t="s">
        <v>5337</v>
      </c>
      <c r="E869" s="10" t="s">
        <v>28</v>
      </c>
      <c r="F869" s="11" t="s">
        <v>5338</v>
      </c>
      <c r="H869" s="17" t="str">
        <f>HYPERLINK("https://www.google.com/maps/?q=45.272169444,-66.0616805559999", "https://www.google.com/maps/?q=45.272169444,-66.0616805559999")</f>
        <v>https://www.google.com/maps/?q=45.272169444,-66.0616805559999</v>
      </c>
    </row>
    <row r="870" spans="1:8" ht="29" x14ac:dyDescent="0.35">
      <c r="A870" t="s">
        <v>5339</v>
      </c>
      <c r="B870" t="s">
        <v>5340</v>
      </c>
      <c r="C870" t="s">
        <v>5341</v>
      </c>
      <c r="D870" t="s">
        <v>5342</v>
      </c>
      <c r="E870" s="10" t="s">
        <v>28</v>
      </c>
      <c r="F870" s="11" t="s">
        <v>5343</v>
      </c>
      <c r="H870" s="17" t="str">
        <f>HYPERLINK("https://www.google.com/maps/?q=45.255938889,-66.0934861109999", "https://www.google.com/maps/?q=45.255938889,-66.0934861109999")</f>
        <v>https://www.google.com/maps/?q=45.255938889,-66.0934861109999</v>
      </c>
    </row>
    <row r="871" spans="1:8" ht="29" x14ac:dyDescent="0.35">
      <c r="A871" t="s">
        <v>5344</v>
      </c>
      <c r="B871" t="s">
        <v>5345</v>
      </c>
      <c r="C871" t="s">
        <v>5346</v>
      </c>
      <c r="D871" t="s">
        <v>5347</v>
      </c>
      <c r="E871" s="10" t="s">
        <v>28</v>
      </c>
      <c r="F871" s="11" t="s">
        <v>5348</v>
      </c>
      <c r="H871" s="17" t="str">
        <f>HYPERLINK("https://www.google.com/maps/?q=45.9844555560001,-66.656888889", "https://www.google.com/maps/?q=45.9844555560001,-66.656888889")</f>
        <v>https://www.google.com/maps/?q=45.9844555560001,-66.656888889</v>
      </c>
    </row>
    <row r="872" spans="1:8" ht="29" x14ac:dyDescent="0.35">
      <c r="A872" t="s">
        <v>5349</v>
      </c>
      <c r="B872" t="s">
        <v>5350</v>
      </c>
      <c r="C872" t="s">
        <v>5351</v>
      </c>
      <c r="D872" t="s">
        <v>5352</v>
      </c>
      <c r="E872" s="10" t="s">
        <v>28</v>
      </c>
      <c r="F872" s="11" t="s">
        <v>4848</v>
      </c>
      <c r="H872" s="17" t="str">
        <f>HYPERLINK("https://www.google.com/maps/?q=45.2680333330001,-66.0820138889999", "https://www.google.com/maps/?q=45.2680333330001,-66.0820138889999")</f>
        <v>https://www.google.com/maps/?q=45.2680333330001,-66.0820138889999</v>
      </c>
    </row>
    <row r="873" spans="1:8" ht="29" x14ac:dyDescent="0.35">
      <c r="A873" t="s">
        <v>5353</v>
      </c>
      <c r="B873" t="s">
        <v>5354</v>
      </c>
      <c r="C873" t="s">
        <v>5355</v>
      </c>
      <c r="D873" t="s">
        <v>5356</v>
      </c>
      <c r="E873" s="10" t="s">
        <v>28</v>
      </c>
      <c r="F873" s="11" t="s">
        <v>5357</v>
      </c>
      <c r="H873" s="17" t="str">
        <f>HYPERLINK("https://www.google.com/maps/?q=45.4175111110001,-65.952691667", "https://www.google.com/maps/?q=45.4175111110001,-65.952691667")</f>
        <v>https://www.google.com/maps/?q=45.4175111110001,-65.952691667</v>
      </c>
    </row>
    <row r="874" spans="1:8" ht="29" x14ac:dyDescent="0.35">
      <c r="A874" t="s">
        <v>5358</v>
      </c>
      <c r="B874" t="s">
        <v>5359</v>
      </c>
      <c r="C874" t="s">
        <v>5360</v>
      </c>
      <c r="D874" t="s">
        <v>5361</v>
      </c>
      <c r="E874" s="10" t="s">
        <v>28</v>
      </c>
      <c r="F874" s="11" t="s">
        <v>5362</v>
      </c>
      <c r="H874" s="17" t="str">
        <f>HYPERLINK("https://www.google.com/maps/?q=46.0506972220001,-65.0617", "https://www.google.com/maps/?q=46.0506972220001,-65.0617")</f>
        <v>https://www.google.com/maps/?q=46.0506972220001,-65.0617</v>
      </c>
    </row>
    <row r="875" spans="1:8" ht="29" x14ac:dyDescent="0.35">
      <c r="A875" t="s">
        <v>5363</v>
      </c>
      <c r="B875" t="s">
        <v>5364</v>
      </c>
      <c r="C875" t="s">
        <v>5365</v>
      </c>
      <c r="D875" t="s">
        <v>5366</v>
      </c>
      <c r="E875" s="10" t="s">
        <v>28</v>
      </c>
      <c r="F875" s="11" t="s">
        <v>2766</v>
      </c>
      <c r="H875" s="17" t="str">
        <f>HYPERLINK("https://www.google.com/maps/?q=45.9606694440001,-64.1918777779999", "https://www.google.com/maps/?q=45.9606694440001,-64.1918777779999")</f>
        <v>https://www.google.com/maps/?q=45.9606694440001,-64.1918777779999</v>
      </c>
    </row>
    <row r="876" spans="1:8" ht="29" x14ac:dyDescent="0.35">
      <c r="A876" t="s">
        <v>5367</v>
      </c>
      <c r="B876" t="s">
        <v>5368</v>
      </c>
      <c r="C876" t="s">
        <v>5369</v>
      </c>
      <c r="D876" t="s">
        <v>5370</v>
      </c>
      <c r="E876" s="10" t="s">
        <v>28</v>
      </c>
      <c r="F876" s="11" t="s">
        <v>5371</v>
      </c>
      <c r="H876" s="17" t="str">
        <f>HYPERLINK("https://www.google.com/maps/?q=46.5340194440001,-67.3033583329999", "https://www.google.com/maps/?q=46.5340194440001,-67.3033583329999")</f>
        <v>https://www.google.com/maps/?q=46.5340194440001,-67.3033583329999</v>
      </c>
    </row>
    <row r="877" spans="1:8" ht="29" x14ac:dyDescent="0.35">
      <c r="A877" t="s">
        <v>3105</v>
      </c>
      <c r="B877" t="s">
        <v>5372</v>
      </c>
      <c r="C877" t="s">
        <v>3107</v>
      </c>
      <c r="D877" t="s">
        <v>5373</v>
      </c>
      <c r="E877" s="10" t="s">
        <v>50</v>
      </c>
      <c r="F877" s="11" t="s">
        <v>3109</v>
      </c>
      <c r="H877" s="17" t="str">
        <f>HYPERLINK("https://www.google.com/maps/?q=47.9581000000001,-66.2413999999999", "https://www.google.com/maps/?q=47.9581000000001,-66.2413999999999")</f>
        <v>https://www.google.com/maps/?q=47.9581000000001,-66.2413999999999</v>
      </c>
    </row>
    <row r="878" spans="1:8" ht="29" x14ac:dyDescent="0.35">
      <c r="A878" t="s">
        <v>5374</v>
      </c>
      <c r="B878" t="s">
        <v>5375</v>
      </c>
      <c r="C878" t="s">
        <v>5376</v>
      </c>
      <c r="D878" t="s">
        <v>5377</v>
      </c>
      <c r="E878" s="10" t="s">
        <v>28</v>
      </c>
      <c r="F878" s="11" t="s">
        <v>5378</v>
      </c>
      <c r="H878" s="17" t="str">
        <f>HYPERLINK("https://www.google.com/maps/?q=47.9025,-66.1086", "https://www.google.com/maps/?q=47.9025,-66.1086")</f>
        <v>https://www.google.com/maps/?q=47.9025,-66.1086</v>
      </c>
    </row>
    <row r="879" spans="1:8" ht="29" x14ac:dyDescent="0.35">
      <c r="A879" t="s">
        <v>5379</v>
      </c>
      <c r="B879" t="s">
        <v>5380</v>
      </c>
      <c r="C879" t="s">
        <v>5381</v>
      </c>
      <c r="D879" t="s">
        <v>5382</v>
      </c>
      <c r="E879" s="10" t="s">
        <v>50</v>
      </c>
      <c r="F879" s="11" t="s">
        <v>5383</v>
      </c>
      <c r="H879" s="17" t="str">
        <f>HYPERLINK("https://www.google.com/maps/?q=46.1057777780001,-66.047611111", "https://www.google.com/maps/?q=46.1057777780001,-66.047611111")</f>
        <v>https://www.google.com/maps/?q=46.1057777780001,-66.047611111</v>
      </c>
    </row>
    <row r="880" spans="1:8" ht="29" x14ac:dyDescent="0.35">
      <c r="A880" t="s">
        <v>5384</v>
      </c>
      <c r="B880" t="s">
        <v>5385</v>
      </c>
      <c r="C880" t="s">
        <v>5386</v>
      </c>
      <c r="D880" t="s">
        <v>5387</v>
      </c>
      <c r="E880" s="10" t="s">
        <v>66</v>
      </c>
      <c r="F880" s="11" t="s">
        <v>4179</v>
      </c>
      <c r="H880" s="17" t="str">
        <f>HYPERLINK("https://www.google.com/maps/?q=45.2535111110001,-66.0802805559999", "https://www.google.com/maps/?q=45.2535111110001,-66.0802805559999")</f>
        <v>https://www.google.com/maps/?q=45.2535111110001,-66.0802805559999</v>
      </c>
    </row>
    <row r="881" spans="1:8" ht="29" x14ac:dyDescent="0.35">
      <c r="A881" t="s">
        <v>5388</v>
      </c>
      <c r="B881" t="s">
        <v>5389</v>
      </c>
      <c r="C881" t="s">
        <v>5390</v>
      </c>
      <c r="D881" t="s">
        <v>5391</v>
      </c>
      <c r="E881" s="10" t="s">
        <v>66</v>
      </c>
      <c r="F881" s="11" t="s">
        <v>4220</v>
      </c>
      <c r="H881" s="17" t="str">
        <f>HYPERLINK("https://www.google.com/maps/?q=45.4276305560001,-65.96635", "https://www.google.com/maps/?q=45.4276305560001,-65.96635")</f>
        <v>https://www.google.com/maps/?q=45.4276305560001,-65.96635</v>
      </c>
    </row>
    <row r="882" spans="1:8" ht="29" x14ac:dyDescent="0.35">
      <c r="A882" t="s">
        <v>5392</v>
      </c>
      <c r="B882" t="s">
        <v>5393</v>
      </c>
      <c r="C882" t="s">
        <v>5394</v>
      </c>
      <c r="D882" t="s">
        <v>5395</v>
      </c>
      <c r="E882" s="10" t="s">
        <v>66</v>
      </c>
      <c r="F882" s="11" t="s">
        <v>5396</v>
      </c>
      <c r="H882" s="17" t="str">
        <f>HYPERLINK("https://www.google.com/maps/?q=45.777661111,-65.318988889", "https://www.google.com/maps/?q=45.777661111,-65.318988889")</f>
        <v>https://www.google.com/maps/?q=45.777661111,-65.318988889</v>
      </c>
    </row>
    <row r="883" spans="1:8" ht="29" x14ac:dyDescent="0.35">
      <c r="A883" t="s">
        <v>5397</v>
      </c>
      <c r="B883" t="s">
        <v>5398</v>
      </c>
      <c r="C883" t="s">
        <v>5399</v>
      </c>
      <c r="D883" t="s">
        <v>5400</v>
      </c>
      <c r="E883" s="10" t="s">
        <v>1125</v>
      </c>
      <c r="F883" s="11" t="s">
        <v>5401</v>
      </c>
      <c r="H883" s="17" t="str">
        <f>HYPERLINK("https://www.google.com/maps/?q=45.9003222220001,-66.591319444", "https://www.google.com/maps/?q=45.9003222220001,-66.591319444")</f>
        <v>https://www.google.com/maps/?q=45.9003222220001,-66.591319444</v>
      </c>
    </row>
    <row r="884" spans="1:8" ht="29" x14ac:dyDescent="0.35">
      <c r="A884" t="s">
        <v>5402</v>
      </c>
      <c r="B884" t="s">
        <v>5403</v>
      </c>
      <c r="C884" t="s">
        <v>5404</v>
      </c>
      <c r="D884" t="s">
        <v>5405</v>
      </c>
      <c r="E884" s="10" t="s">
        <v>17</v>
      </c>
      <c r="F884" s="11" t="s">
        <v>3336</v>
      </c>
      <c r="H884" s="17" t="str">
        <f>HYPERLINK("https://www.google.com/maps/?q=47.3636388890001,-68.327805556", "https://www.google.com/maps/?q=47.3636388890001,-68.327805556")</f>
        <v>https://www.google.com/maps/?q=47.3636388890001,-68.327805556</v>
      </c>
    </row>
    <row r="885" spans="1:8" ht="29" x14ac:dyDescent="0.35">
      <c r="A885" t="s">
        <v>5406</v>
      </c>
      <c r="B885" t="s">
        <v>5407</v>
      </c>
      <c r="C885" t="s">
        <v>5408</v>
      </c>
      <c r="D885" t="s">
        <v>5409</v>
      </c>
      <c r="E885" s="10" t="s">
        <v>50</v>
      </c>
      <c r="F885" s="11" t="s">
        <v>5410</v>
      </c>
      <c r="H885" s="17" t="str">
        <f>HYPERLINK("https://www.google.com/maps/?q=46.1265333330001,-64.8674833329999", "https://www.google.com/maps/?q=46.1265333330001,-64.8674833329999")</f>
        <v>https://www.google.com/maps/?q=46.1265333330001,-64.8674833329999</v>
      </c>
    </row>
    <row r="886" spans="1:8" ht="29" x14ac:dyDescent="0.35">
      <c r="A886" t="s">
        <v>5411</v>
      </c>
      <c r="B886" t="s">
        <v>5412</v>
      </c>
      <c r="C886" t="s">
        <v>5413</v>
      </c>
      <c r="D886" t="s">
        <v>5414</v>
      </c>
      <c r="E886" s="10" t="s">
        <v>50</v>
      </c>
      <c r="F886" s="11" t="s">
        <v>5415</v>
      </c>
      <c r="H886" s="17" t="str">
        <f>HYPERLINK("https://www.google.com/maps/?q=47.6506805560001,-67.342580556", "https://www.google.com/maps/?q=47.6506805560001,-67.342580556")</f>
        <v>https://www.google.com/maps/?q=47.6506805560001,-67.342580556</v>
      </c>
    </row>
    <row r="887" spans="1:8" ht="29" x14ac:dyDescent="0.35">
      <c r="A887" t="s">
        <v>5416</v>
      </c>
      <c r="B887" t="s">
        <v>5417</v>
      </c>
      <c r="C887" t="s">
        <v>5418</v>
      </c>
      <c r="D887" t="s">
        <v>5419</v>
      </c>
      <c r="E887" s="10" t="s">
        <v>28</v>
      </c>
      <c r="F887" s="11" t="s">
        <v>4038</v>
      </c>
      <c r="H887" s="17" t="str">
        <f>HYPERLINK("https://www.google.com/maps/?q=46.1042333330001,-64.7378555559999", "https://www.google.com/maps/?q=46.1042333330001,-64.7378555559999")</f>
        <v>https://www.google.com/maps/?q=46.1042333330001,-64.7378555559999</v>
      </c>
    </row>
    <row r="888" spans="1:8" ht="29" x14ac:dyDescent="0.35">
      <c r="A888" t="s">
        <v>5420</v>
      </c>
      <c r="B888" t="s">
        <v>5421</v>
      </c>
      <c r="C888" t="s">
        <v>5422</v>
      </c>
      <c r="D888" t="s">
        <v>5423</v>
      </c>
      <c r="E888" s="10" t="s">
        <v>1109</v>
      </c>
      <c r="F888" s="11" t="s">
        <v>1514</v>
      </c>
      <c r="H888" s="17" t="str">
        <f>HYPERLINK("https://www.google.com/maps/?q=46.077194444,-64.854472222", "https://www.google.com/maps/?q=46.077194444,-64.854472222")</f>
        <v>https://www.google.com/maps/?q=46.077194444,-64.854472222</v>
      </c>
    </row>
    <row r="889" spans="1:8" ht="29" x14ac:dyDescent="0.35">
      <c r="A889" t="s">
        <v>5424</v>
      </c>
      <c r="B889" t="s">
        <v>5425</v>
      </c>
      <c r="C889" t="s">
        <v>5426</v>
      </c>
      <c r="D889" t="s">
        <v>5427</v>
      </c>
      <c r="E889" s="10" t="s">
        <v>28</v>
      </c>
      <c r="F889" s="11" t="s">
        <v>5428</v>
      </c>
      <c r="H889" s="17" t="str">
        <f>HYPERLINK("https://www.google.com/maps/?q=46.096391667,-64.74355", "https://www.google.com/maps/?q=46.096391667,-64.74355")</f>
        <v>https://www.google.com/maps/?q=46.096391667,-64.74355</v>
      </c>
    </row>
    <row r="890" spans="1:8" ht="29" x14ac:dyDescent="0.35">
      <c r="A890" t="s">
        <v>5429</v>
      </c>
      <c r="B890" t="s">
        <v>5430</v>
      </c>
      <c r="C890" t="s">
        <v>5431</v>
      </c>
      <c r="D890" t="s">
        <v>5432</v>
      </c>
      <c r="E890" s="10" t="s">
        <v>44</v>
      </c>
      <c r="F890" s="11" t="s">
        <v>5433</v>
      </c>
      <c r="H890" s="17" t="str">
        <f>HYPERLINK("https://www.google.com/maps/?q=45.813688889,-65.0393", "https://www.google.com/maps/?q=45.813688889,-65.0393")</f>
        <v>https://www.google.com/maps/?q=45.813688889,-65.0393</v>
      </c>
    </row>
    <row r="891" spans="1:8" ht="29" x14ac:dyDescent="0.35">
      <c r="A891" t="s">
        <v>5434</v>
      </c>
      <c r="B891" t="s">
        <v>5435</v>
      </c>
      <c r="C891" t="s">
        <v>5436</v>
      </c>
      <c r="D891" t="s">
        <v>5437</v>
      </c>
      <c r="E891" s="10" t="s">
        <v>44</v>
      </c>
      <c r="F891" s="11" t="s">
        <v>5438</v>
      </c>
      <c r="H891" s="17" t="str">
        <f>HYPERLINK("https://www.google.com/maps/?q=46.047480556,-64.096522222", "https://www.google.com/maps/?q=46.047480556,-64.096522222")</f>
        <v>https://www.google.com/maps/?q=46.047480556,-64.096522222</v>
      </c>
    </row>
    <row r="892" spans="1:8" ht="29" x14ac:dyDescent="0.35">
      <c r="A892" t="s">
        <v>5439</v>
      </c>
      <c r="B892" t="s">
        <v>5440</v>
      </c>
      <c r="C892" t="s">
        <v>5441</v>
      </c>
      <c r="D892" t="s">
        <v>5442</v>
      </c>
      <c r="E892" s="10" t="s">
        <v>44</v>
      </c>
      <c r="F892" s="11" t="s">
        <v>5443</v>
      </c>
      <c r="H892" s="17" t="str">
        <f>HYPERLINK("https://www.google.com/maps/?q=45.453505556,-66.1564083329999", "https://www.google.com/maps/?q=45.453505556,-66.1564083329999")</f>
        <v>https://www.google.com/maps/?q=45.453505556,-66.1564083329999</v>
      </c>
    </row>
    <row r="893" spans="1:8" ht="29" x14ac:dyDescent="0.35">
      <c r="A893" t="s">
        <v>5444</v>
      </c>
      <c r="B893" t="s">
        <v>5445</v>
      </c>
      <c r="C893" t="s">
        <v>5446</v>
      </c>
      <c r="D893" t="s">
        <v>5447</v>
      </c>
      <c r="E893" s="10" t="s">
        <v>50</v>
      </c>
      <c r="F893" s="11" t="s">
        <v>5448</v>
      </c>
      <c r="H893" s="17" t="str">
        <f>HYPERLINK("https://www.google.com/maps/?q=45.1976111110001,-66.2039", "https://www.google.com/maps/?q=45.1976111110001,-66.2039")</f>
        <v>https://www.google.com/maps/?q=45.1976111110001,-66.2039</v>
      </c>
    </row>
    <row r="894" spans="1:8" ht="29" x14ac:dyDescent="0.35">
      <c r="A894" t="s">
        <v>5449</v>
      </c>
      <c r="B894" t="s">
        <v>5450</v>
      </c>
      <c r="C894" t="s">
        <v>5451</v>
      </c>
      <c r="D894" t="s">
        <v>5452</v>
      </c>
      <c r="E894" s="10" t="s">
        <v>50</v>
      </c>
      <c r="F894" s="11" t="s">
        <v>5453</v>
      </c>
      <c r="H894" s="17" t="str">
        <f>HYPERLINK("https://www.google.com/maps/?q=47.0411111110001,-67.7197305559999", "https://www.google.com/maps/?q=47.0411111110001,-67.7197305559999")</f>
        <v>https://www.google.com/maps/?q=47.0411111110001,-67.7197305559999</v>
      </c>
    </row>
    <row r="895" spans="1:8" ht="29" x14ac:dyDescent="0.35">
      <c r="A895" t="s">
        <v>5454</v>
      </c>
      <c r="B895" t="s">
        <v>5455</v>
      </c>
      <c r="C895" t="s">
        <v>5456</v>
      </c>
      <c r="D895" t="s">
        <v>5457</v>
      </c>
      <c r="E895" s="10" t="s">
        <v>28</v>
      </c>
      <c r="F895" s="11" t="s">
        <v>5458</v>
      </c>
      <c r="H895" s="17" t="str">
        <f>HYPERLINK("https://www.google.com/maps/?q=47.003052778,-65.541458333", "https://www.google.com/maps/?q=47.003052778,-65.541458333")</f>
        <v>https://www.google.com/maps/?q=47.003052778,-65.541458333</v>
      </c>
    </row>
    <row r="896" spans="1:8" ht="29" x14ac:dyDescent="0.35">
      <c r="A896" t="s">
        <v>5459</v>
      </c>
      <c r="B896" t="s">
        <v>5460</v>
      </c>
      <c r="C896" t="s">
        <v>5461</v>
      </c>
      <c r="D896" t="s">
        <v>5462</v>
      </c>
      <c r="E896" s="10" t="s">
        <v>28</v>
      </c>
      <c r="F896" s="11" t="s">
        <v>5463</v>
      </c>
      <c r="H896" s="17" t="str">
        <f>HYPERLINK("https://www.google.com/maps/?q=45.3877000000001,-65.9971138889999", "https://www.google.com/maps/?q=45.3877000000001,-65.9971138889999")</f>
        <v>https://www.google.com/maps/?q=45.3877000000001,-65.9971138889999</v>
      </c>
    </row>
    <row r="897" spans="1:8" ht="29" x14ac:dyDescent="0.35">
      <c r="A897" t="s">
        <v>5464</v>
      </c>
      <c r="B897" t="s">
        <v>5465</v>
      </c>
      <c r="C897" t="s">
        <v>5466</v>
      </c>
      <c r="D897" t="s">
        <v>5467</v>
      </c>
      <c r="E897" s="10" t="s">
        <v>28</v>
      </c>
      <c r="F897" s="11" t="s">
        <v>5468</v>
      </c>
      <c r="H897" s="17" t="str">
        <f>HYPERLINK("https://www.google.com/maps/?q=46.0625250000001,-64.7958166669999", "https://www.google.com/maps/?q=46.0625250000001,-64.7958166669999")</f>
        <v>https://www.google.com/maps/?q=46.0625250000001,-64.7958166669999</v>
      </c>
    </row>
    <row r="898" spans="1:8" ht="29" x14ac:dyDescent="0.35">
      <c r="A898" t="s">
        <v>5469</v>
      </c>
      <c r="B898" t="s">
        <v>5470</v>
      </c>
      <c r="C898" t="s">
        <v>5471</v>
      </c>
      <c r="D898" t="s">
        <v>5472</v>
      </c>
      <c r="E898" s="10" t="s">
        <v>28</v>
      </c>
      <c r="F898" s="11" t="s">
        <v>5473</v>
      </c>
      <c r="H898" s="17" t="str">
        <f>HYPERLINK("https://www.google.com/maps/?q=45.2866083330001,-66.01075", "https://www.google.com/maps/?q=45.2866083330001,-66.01075")</f>
        <v>https://www.google.com/maps/?q=45.2866083330001,-66.01075</v>
      </c>
    </row>
    <row r="899" spans="1:8" ht="29" x14ac:dyDescent="0.35">
      <c r="A899" t="s">
        <v>5474</v>
      </c>
      <c r="B899" t="s">
        <v>5475</v>
      </c>
      <c r="C899" t="s">
        <v>5476</v>
      </c>
      <c r="D899" t="s">
        <v>5477</v>
      </c>
      <c r="E899" s="10" t="s">
        <v>28</v>
      </c>
      <c r="F899" s="11" t="s">
        <v>5478</v>
      </c>
      <c r="H899" s="17" t="str">
        <f>HYPERLINK("https://www.google.com/maps/?q=45.9419,-66.633880556", "https://www.google.com/maps/?q=45.9419,-66.633880556")</f>
        <v>https://www.google.com/maps/?q=45.9419,-66.633880556</v>
      </c>
    </row>
    <row r="900" spans="1:8" ht="29" x14ac:dyDescent="0.35">
      <c r="A900" t="s">
        <v>5479</v>
      </c>
      <c r="B900" t="s">
        <v>5480</v>
      </c>
      <c r="C900" t="s">
        <v>5481</v>
      </c>
      <c r="D900" t="s">
        <v>5482</v>
      </c>
      <c r="E900" s="10" t="s">
        <v>28</v>
      </c>
      <c r="F900" s="11" t="s">
        <v>5483</v>
      </c>
      <c r="H900" s="17" t="str">
        <f>HYPERLINK("https://www.google.com/maps/?q=46.1288222220001,-64.752411111", "https://www.google.com/maps/?q=46.1288222220001,-64.752411111")</f>
        <v>https://www.google.com/maps/?q=46.1288222220001,-64.752411111</v>
      </c>
    </row>
    <row r="901" spans="1:8" ht="29" x14ac:dyDescent="0.35">
      <c r="A901" t="s">
        <v>5484</v>
      </c>
      <c r="B901" t="s">
        <v>5485</v>
      </c>
      <c r="C901" t="s">
        <v>5486</v>
      </c>
      <c r="D901" t="s">
        <v>5487</v>
      </c>
      <c r="E901" s="10" t="s">
        <v>28</v>
      </c>
      <c r="F901" s="11" t="s">
        <v>5488</v>
      </c>
      <c r="H901" s="17" t="str">
        <f>HYPERLINK("https://www.google.com/maps/?q=47.747519444,-65.076477778", "https://www.google.com/maps/?q=47.747519444,-65.076477778")</f>
        <v>https://www.google.com/maps/?q=47.747519444,-65.076477778</v>
      </c>
    </row>
    <row r="902" spans="1:8" ht="29" x14ac:dyDescent="0.35">
      <c r="A902" t="s">
        <v>5489</v>
      </c>
      <c r="B902" t="s">
        <v>5490</v>
      </c>
      <c r="C902" t="s">
        <v>5491</v>
      </c>
      <c r="D902" t="s">
        <v>5492</v>
      </c>
      <c r="E902" s="10" t="s">
        <v>28</v>
      </c>
      <c r="F902" s="11" t="s">
        <v>1804</v>
      </c>
      <c r="H902" s="17" t="str">
        <f>HYPERLINK("https://www.google.com/maps/?q=45.8293972220001,-65.7479999999999", "https://www.google.com/maps/?q=45.8293972220001,-65.7479999999999")</f>
        <v>https://www.google.com/maps/?q=45.8293972220001,-65.7479999999999</v>
      </c>
    </row>
    <row r="903" spans="1:8" ht="29" x14ac:dyDescent="0.35">
      <c r="A903" t="s">
        <v>5493</v>
      </c>
      <c r="B903" t="s">
        <v>5494</v>
      </c>
      <c r="C903" t="s">
        <v>5495</v>
      </c>
      <c r="D903" t="s">
        <v>5496</v>
      </c>
      <c r="E903" s="10" t="s">
        <v>28</v>
      </c>
      <c r="F903" s="11" t="s">
        <v>5497</v>
      </c>
      <c r="H903" s="17" t="str">
        <f>HYPERLINK("https://www.google.com/maps/?q=46.067005556,-64.796169444", "https://www.google.com/maps/?q=46.067005556,-64.796169444")</f>
        <v>https://www.google.com/maps/?q=46.067005556,-64.796169444</v>
      </c>
    </row>
    <row r="904" spans="1:8" ht="29" x14ac:dyDescent="0.35">
      <c r="A904" t="s">
        <v>5498</v>
      </c>
      <c r="B904" t="s">
        <v>5499</v>
      </c>
      <c r="C904" t="s">
        <v>5500</v>
      </c>
      <c r="D904" t="s">
        <v>5501</v>
      </c>
      <c r="E904" s="10" t="s">
        <v>28</v>
      </c>
      <c r="F904" s="11" t="s">
        <v>5502</v>
      </c>
      <c r="H904" s="17" t="str">
        <f>HYPERLINK("https://www.google.com/maps/?q=45.2793500000001,-66.057636111", "https://www.google.com/maps/?q=45.2793500000001,-66.057636111")</f>
        <v>https://www.google.com/maps/?q=45.2793500000001,-66.057636111</v>
      </c>
    </row>
    <row r="905" spans="1:8" ht="29" x14ac:dyDescent="0.35">
      <c r="A905" t="s">
        <v>5503</v>
      </c>
      <c r="B905" t="s">
        <v>5504</v>
      </c>
      <c r="C905" t="s">
        <v>5505</v>
      </c>
      <c r="D905" t="s">
        <v>5506</v>
      </c>
      <c r="E905" s="10" t="s">
        <v>28</v>
      </c>
      <c r="F905" s="11" t="s">
        <v>5507</v>
      </c>
      <c r="H905" s="17" t="str">
        <f>HYPERLINK("https://www.google.com/maps/?q=46.0996805560001,-64.790486111", "https://www.google.com/maps/?q=46.0996805560001,-64.790486111")</f>
        <v>https://www.google.com/maps/?q=46.0996805560001,-64.790486111</v>
      </c>
    </row>
    <row r="906" spans="1:8" ht="29" x14ac:dyDescent="0.35">
      <c r="A906" t="s">
        <v>5508</v>
      </c>
      <c r="B906" t="s">
        <v>5509</v>
      </c>
      <c r="C906" t="s">
        <v>5510</v>
      </c>
      <c r="D906" t="s">
        <v>5511</v>
      </c>
      <c r="E906" s="10" t="s">
        <v>28</v>
      </c>
      <c r="F906" s="11" t="s">
        <v>5512</v>
      </c>
      <c r="H906" s="17" t="str">
        <f>HYPERLINK("https://www.google.com/maps/?q=46.1100500000001,-64.825958333", "https://www.google.com/maps/?q=46.1100500000001,-64.825958333")</f>
        <v>https://www.google.com/maps/?q=46.1100500000001,-64.825958333</v>
      </c>
    </row>
    <row r="907" spans="1:8" ht="29" x14ac:dyDescent="0.35">
      <c r="A907" t="s">
        <v>5513</v>
      </c>
      <c r="B907" t="s">
        <v>5514</v>
      </c>
      <c r="C907" t="s">
        <v>5515</v>
      </c>
      <c r="D907" t="s">
        <v>5516</v>
      </c>
      <c r="E907" s="10" t="s">
        <v>28</v>
      </c>
      <c r="F907" s="11" t="s">
        <v>5517</v>
      </c>
      <c r="H907" s="17" t="str">
        <f>HYPERLINK("https://www.google.com/maps/?q=46.0972555560001,-64.777325", "https://www.google.com/maps/?q=46.0972555560001,-64.777325")</f>
        <v>https://www.google.com/maps/?q=46.0972555560001,-64.777325</v>
      </c>
    </row>
    <row r="908" spans="1:8" ht="29" x14ac:dyDescent="0.35">
      <c r="A908" t="s">
        <v>5518</v>
      </c>
      <c r="B908" t="s">
        <v>5519</v>
      </c>
      <c r="C908" t="s">
        <v>5520</v>
      </c>
      <c r="D908" t="s">
        <v>5521</v>
      </c>
      <c r="E908" s="10" t="s">
        <v>28</v>
      </c>
      <c r="F908" s="11" t="s">
        <v>5522</v>
      </c>
      <c r="H908" s="17" t="str">
        <f>HYPERLINK("https://www.google.com/maps/?q=46.1138,-64.827483333", "https://www.google.com/maps/?q=46.1138,-64.827483333")</f>
        <v>https://www.google.com/maps/?q=46.1138,-64.827483333</v>
      </c>
    </row>
    <row r="909" spans="1:8" ht="29" x14ac:dyDescent="0.35">
      <c r="A909" t="s">
        <v>5523</v>
      </c>
      <c r="B909" t="s">
        <v>5524</v>
      </c>
      <c r="C909" t="s">
        <v>5525</v>
      </c>
      <c r="D909" t="s">
        <v>5526</v>
      </c>
      <c r="E909" s="10" t="s">
        <v>28</v>
      </c>
      <c r="F909" s="11" t="s">
        <v>5527</v>
      </c>
      <c r="H909" s="17" t="str">
        <f>HYPERLINK("https://www.google.com/maps/?q=46.276627778,-66.7463999999999", "https://www.google.com/maps/?q=46.276627778,-66.7463999999999")</f>
        <v>https://www.google.com/maps/?q=46.276627778,-66.7463999999999</v>
      </c>
    </row>
    <row r="910" spans="1:8" ht="29" x14ac:dyDescent="0.35">
      <c r="A910" t="s">
        <v>5528</v>
      </c>
      <c r="B910" t="s">
        <v>5529</v>
      </c>
      <c r="C910" t="s">
        <v>5530</v>
      </c>
      <c r="D910" t="s">
        <v>5531</v>
      </c>
      <c r="E910" s="10" t="s">
        <v>28</v>
      </c>
      <c r="F910" s="11" t="s">
        <v>5532</v>
      </c>
      <c r="H910" s="17" t="str">
        <f>HYPERLINK("https://www.google.com/maps/?q=46.0714472220001,-64.768658333", "https://www.google.com/maps/?q=46.0714472220001,-64.768658333")</f>
        <v>https://www.google.com/maps/?q=46.0714472220001,-64.768658333</v>
      </c>
    </row>
    <row r="911" spans="1:8" ht="29" x14ac:dyDescent="0.35">
      <c r="A911" t="s">
        <v>5533</v>
      </c>
      <c r="B911" t="s">
        <v>5534</v>
      </c>
      <c r="C911" t="s">
        <v>5535</v>
      </c>
      <c r="D911" t="s">
        <v>5536</v>
      </c>
      <c r="E911" s="10" t="s">
        <v>28</v>
      </c>
      <c r="F911" s="11" t="s">
        <v>5235</v>
      </c>
      <c r="H911" s="17" t="str">
        <f>HYPERLINK("https://www.google.com/maps/?q=45.680508333,-67.052422222", "https://www.google.com/maps/?q=45.680508333,-67.052422222")</f>
        <v>https://www.google.com/maps/?q=45.680508333,-67.052422222</v>
      </c>
    </row>
    <row r="912" spans="1:8" ht="29" x14ac:dyDescent="0.35">
      <c r="A912" t="s">
        <v>5537</v>
      </c>
      <c r="B912" t="s">
        <v>5538</v>
      </c>
      <c r="C912" t="s">
        <v>5539</v>
      </c>
      <c r="D912" t="s">
        <v>5540</v>
      </c>
      <c r="E912" s="10" t="s">
        <v>28</v>
      </c>
      <c r="F912" s="11" t="s">
        <v>5541</v>
      </c>
      <c r="H912" s="17" t="str">
        <f>HYPERLINK("https://www.google.com/maps/?q=45.8113805560001,-67.578327778", "https://www.google.com/maps/?q=45.8113805560001,-67.578327778")</f>
        <v>https://www.google.com/maps/?q=45.8113805560001,-67.578327778</v>
      </c>
    </row>
    <row r="913" spans="1:8" ht="29" x14ac:dyDescent="0.35">
      <c r="A913" t="s">
        <v>5542</v>
      </c>
      <c r="B913" t="s">
        <v>5543</v>
      </c>
      <c r="C913" t="s">
        <v>5544</v>
      </c>
      <c r="D913" t="s">
        <v>5545</v>
      </c>
      <c r="E913" s="10" t="s">
        <v>28</v>
      </c>
      <c r="F913" s="11" t="s">
        <v>3756</v>
      </c>
      <c r="H913" s="17" t="str">
        <f>HYPERLINK("https://www.google.com/maps/?q=46.115363889,-64.772919444", "https://www.google.com/maps/?q=46.115363889,-64.772919444")</f>
        <v>https://www.google.com/maps/?q=46.115363889,-64.772919444</v>
      </c>
    </row>
    <row r="914" spans="1:8" ht="29" x14ac:dyDescent="0.35">
      <c r="A914" t="s">
        <v>5546</v>
      </c>
      <c r="B914" t="s">
        <v>5547</v>
      </c>
      <c r="C914" t="s">
        <v>5548</v>
      </c>
      <c r="D914" t="s">
        <v>5549</v>
      </c>
      <c r="E914" s="10" t="s">
        <v>195</v>
      </c>
      <c r="F914" s="11" t="s">
        <v>5550</v>
      </c>
      <c r="H914" s="17" t="str">
        <f>HYPERLINK("https://www.google.com/maps/?q=46.125194444,-64.678825", "https://www.google.com/maps/?q=46.125194444,-64.678825")</f>
        <v>https://www.google.com/maps/?q=46.125194444,-64.678825</v>
      </c>
    </row>
    <row r="915" spans="1:8" ht="29" x14ac:dyDescent="0.35">
      <c r="A915" t="s">
        <v>5551</v>
      </c>
      <c r="B915" t="s">
        <v>5552</v>
      </c>
      <c r="C915" t="s">
        <v>5553</v>
      </c>
      <c r="D915" t="s">
        <v>5554</v>
      </c>
      <c r="E915" s="10" t="s">
        <v>50</v>
      </c>
      <c r="F915" s="11" t="s">
        <v>5555</v>
      </c>
      <c r="H915" s="17" t="str">
        <f>HYPERLINK("https://www.google.com/maps/?q=45.9854,-66.697016667", "https://www.google.com/maps/?q=45.9854,-66.697016667")</f>
        <v>https://www.google.com/maps/?q=45.9854,-66.697016667</v>
      </c>
    </row>
    <row r="916" spans="1:8" ht="29" x14ac:dyDescent="0.35">
      <c r="A916" t="s">
        <v>5556</v>
      </c>
      <c r="B916" t="s">
        <v>5557</v>
      </c>
      <c r="C916" t="s">
        <v>5558</v>
      </c>
      <c r="D916" t="s">
        <v>5559</v>
      </c>
      <c r="E916" s="10" t="s">
        <v>50</v>
      </c>
      <c r="F916" s="11" t="s">
        <v>5560</v>
      </c>
      <c r="H916" s="17" t="str">
        <f>HYPERLINK("https://www.google.com/maps/?q=46.1355611110001,-64.736580556", "https://www.google.com/maps/?q=46.1355611110001,-64.736580556")</f>
        <v>https://www.google.com/maps/?q=46.1355611110001,-64.736580556</v>
      </c>
    </row>
    <row r="917" spans="1:8" ht="29" x14ac:dyDescent="0.35">
      <c r="A917" t="s">
        <v>5561</v>
      </c>
      <c r="B917" t="s">
        <v>5562</v>
      </c>
      <c r="C917" t="s">
        <v>5563</v>
      </c>
      <c r="D917" t="s">
        <v>5564</v>
      </c>
      <c r="E917" s="10" t="s">
        <v>50</v>
      </c>
      <c r="F917" s="11" t="s">
        <v>2573</v>
      </c>
      <c r="H917" s="17" t="str">
        <f>HYPERLINK("https://www.google.com/maps/?q=45.312575,-65.965594444", "https://www.google.com/maps/?q=45.312575,-65.965594444")</f>
        <v>https://www.google.com/maps/?q=45.312575,-65.965594444</v>
      </c>
    </row>
    <row r="918" spans="1:8" ht="29" x14ac:dyDescent="0.35">
      <c r="A918" t="s">
        <v>5565</v>
      </c>
      <c r="B918" t="s">
        <v>5566</v>
      </c>
      <c r="C918" t="s">
        <v>5567</v>
      </c>
      <c r="D918" t="s">
        <v>5568</v>
      </c>
      <c r="E918" s="10" t="s">
        <v>66</v>
      </c>
      <c r="F918" s="11" t="s">
        <v>1717</v>
      </c>
      <c r="H918" s="17" t="str">
        <f>HYPERLINK("https://www.google.com/maps/?q=46.0930555560001,-63.961666667", "https://www.google.com/maps/?q=46.0930555560001,-63.961666667")</f>
        <v>https://www.google.com/maps/?q=46.0930555560001,-63.961666667</v>
      </c>
    </row>
    <row r="919" spans="1:8" ht="29" x14ac:dyDescent="0.35">
      <c r="A919" t="s">
        <v>5569</v>
      </c>
      <c r="B919" t="s">
        <v>5570</v>
      </c>
      <c r="C919" t="s">
        <v>5571</v>
      </c>
      <c r="D919" t="s">
        <v>5572</v>
      </c>
      <c r="E919" s="10" t="s">
        <v>66</v>
      </c>
      <c r="F919" s="11" t="s">
        <v>2621</v>
      </c>
      <c r="H919" s="17" t="str">
        <f>HYPERLINK("https://www.google.com/maps/?q=46.1188888890001,-64.8419388889999", "https://www.google.com/maps/?q=46.1188888890001,-64.8419388889999")</f>
        <v>https://www.google.com/maps/?q=46.1188888890001,-64.8419388889999</v>
      </c>
    </row>
    <row r="920" spans="1:8" ht="29" x14ac:dyDescent="0.35">
      <c r="A920" t="s">
        <v>5573</v>
      </c>
      <c r="B920" t="s">
        <v>5574</v>
      </c>
      <c r="C920" t="s">
        <v>5575</v>
      </c>
      <c r="D920" t="s">
        <v>5576</v>
      </c>
      <c r="E920" s="10" t="s">
        <v>66</v>
      </c>
      <c r="F920" s="11" t="s">
        <v>5577</v>
      </c>
      <c r="H920" s="17" t="str">
        <f>HYPERLINK("https://www.google.com/maps/?q=45.8944000000001,-65.909538889", "https://www.google.com/maps/?q=45.8944000000001,-65.909538889")</f>
        <v>https://www.google.com/maps/?q=45.8944000000001,-65.909538889</v>
      </c>
    </row>
    <row r="921" spans="1:8" ht="29" x14ac:dyDescent="0.35">
      <c r="A921" t="s">
        <v>2299</v>
      </c>
      <c r="B921" t="s">
        <v>5578</v>
      </c>
      <c r="C921" t="s">
        <v>2301</v>
      </c>
      <c r="D921" t="s">
        <v>5579</v>
      </c>
      <c r="E921" s="10" t="s">
        <v>66</v>
      </c>
      <c r="F921" s="11" t="s">
        <v>2303</v>
      </c>
      <c r="H921" s="17" t="str">
        <f>HYPERLINK("https://www.google.com/maps/?q=45.9283,-65.2153", "https://www.google.com/maps/?q=45.9283,-65.2153")</f>
        <v>https://www.google.com/maps/?q=45.9283,-65.2153</v>
      </c>
    </row>
    <row r="922" spans="1:8" ht="29" x14ac:dyDescent="0.35">
      <c r="A922" t="s">
        <v>5580</v>
      </c>
      <c r="B922" t="s">
        <v>5581</v>
      </c>
      <c r="C922" t="s">
        <v>5582</v>
      </c>
      <c r="D922" t="s">
        <v>5583</v>
      </c>
      <c r="E922" s="10" t="s">
        <v>17</v>
      </c>
      <c r="F922" s="11" t="s">
        <v>2273</v>
      </c>
      <c r="H922" s="17" t="str">
        <f>HYPERLINK("https://www.google.com/maps/?q=47.615388889,-65.6129722219999", "https://www.google.com/maps/?q=47.615388889,-65.6129722219999")</f>
        <v>https://www.google.com/maps/?q=47.615388889,-65.6129722219999</v>
      </c>
    </row>
    <row r="923" spans="1:8" ht="29" x14ac:dyDescent="0.35">
      <c r="A923" t="s">
        <v>5584</v>
      </c>
      <c r="B923" t="s">
        <v>5585</v>
      </c>
      <c r="C923" t="s">
        <v>5586</v>
      </c>
      <c r="D923" t="s">
        <v>5587</v>
      </c>
      <c r="E923" s="10" t="s">
        <v>17</v>
      </c>
      <c r="F923" s="11" t="s">
        <v>2405</v>
      </c>
      <c r="H923" s="17" t="str">
        <f>HYPERLINK("https://www.google.com/maps/?q=44.7102611110001,-66.746622222", "https://www.google.com/maps/?q=44.7102611110001,-66.746622222")</f>
        <v>https://www.google.com/maps/?q=44.7102611110001,-66.746622222</v>
      </c>
    </row>
    <row r="924" spans="1:8" ht="29" x14ac:dyDescent="0.35">
      <c r="A924" t="s">
        <v>5588</v>
      </c>
      <c r="B924" t="s">
        <v>5589</v>
      </c>
      <c r="C924" t="s">
        <v>5590</v>
      </c>
      <c r="D924" t="s">
        <v>5591</v>
      </c>
      <c r="E924" s="10" t="s">
        <v>17</v>
      </c>
      <c r="F924" s="11" t="s">
        <v>3099</v>
      </c>
      <c r="G924" s="17"/>
      <c r="H924" s="17" t="str">
        <f>HYPERLINK("https://www.google.com/maps/?q=46.9785000000001,-67.512666667", "https://www.google.com/maps/?q=46.9785000000001,-67.512666667")</f>
        <v>https://www.google.com/maps/?q=46.9785000000001,-67.512666667</v>
      </c>
    </row>
    <row r="925" spans="1:8" ht="29" x14ac:dyDescent="0.35">
      <c r="A925" t="s">
        <v>5592</v>
      </c>
      <c r="B925" t="s">
        <v>5593</v>
      </c>
      <c r="C925" t="s">
        <v>5594</v>
      </c>
      <c r="D925" t="s">
        <v>5595</v>
      </c>
      <c r="E925" s="10" t="s">
        <v>50</v>
      </c>
      <c r="F925" s="11" t="s">
        <v>5596</v>
      </c>
      <c r="H925" s="17" t="str">
        <f>HYPERLINK("https://www.google.com/maps/?q=45.8521500000001,-66.4742138889999", "https://www.google.com/maps/?q=45.8521500000001,-66.4742138889999")</f>
        <v>https://www.google.com/maps/?q=45.8521500000001,-66.4742138889999</v>
      </c>
    </row>
    <row r="926" spans="1:8" ht="29" x14ac:dyDescent="0.35">
      <c r="A926" t="s">
        <v>5597</v>
      </c>
      <c r="B926" t="s">
        <v>5598</v>
      </c>
      <c r="C926" t="s">
        <v>5599</v>
      </c>
      <c r="D926" t="s">
        <v>5600</v>
      </c>
      <c r="E926" s="10" t="s">
        <v>50</v>
      </c>
      <c r="F926" s="11" t="s">
        <v>5601</v>
      </c>
      <c r="H926" s="17" t="str">
        <f>HYPERLINK("https://www.google.com/maps/?q=46.7675194440001,-65.859447222", "https://www.google.com/maps/?q=46.7675194440001,-65.859447222")</f>
        <v>https://www.google.com/maps/?q=46.7675194440001,-65.859447222</v>
      </c>
    </row>
    <row r="927" spans="1:8" ht="29" x14ac:dyDescent="0.35">
      <c r="A927" t="s">
        <v>5602</v>
      </c>
      <c r="B927" t="s">
        <v>5603</v>
      </c>
      <c r="C927" t="s">
        <v>5604</v>
      </c>
      <c r="D927" t="s">
        <v>5605</v>
      </c>
      <c r="E927" s="10" t="s">
        <v>1109</v>
      </c>
      <c r="F927" s="11" t="s">
        <v>5240</v>
      </c>
      <c r="H927" s="17" t="str">
        <f>HYPERLINK("https://www.google.com/maps/?q=47.3611111110001,-68.338583333", "https://www.google.com/maps/?q=47.3611111110001,-68.338583333")</f>
        <v>https://www.google.com/maps/?q=47.3611111110001,-68.338583333</v>
      </c>
    </row>
    <row r="928" spans="1:8" ht="29" x14ac:dyDescent="0.35">
      <c r="A928" t="s">
        <v>5606</v>
      </c>
      <c r="B928" t="s">
        <v>5607</v>
      </c>
      <c r="C928" t="s">
        <v>5608</v>
      </c>
      <c r="D928" t="s">
        <v>5609</v>
      </c>
      <c r="E928" s="10" t="s">
        <v>1109</v>
      </c>
      <c r="F928" s="11" t="s">
        <v>5610</v>
      </c>
      <c r="H928" s="17" t="str">
        <f>HYPERLINK("https://www.google.com/maps/?q=45.2911111110001,-66.046944444", "https://www.google.com/maps/?q=45.2911111110001,-66.046944444")</f>
        <v>https://www.google.com/maps/?q=45.2911111110001,-66.046944444</v>
      </c>
    </row>
    <row r="929" spans="1:8" ht="29" x14ac:dyDescent="0.35">
      <c r="A929" t="s">
        <v>5611</v>
      </c>
      <c r="B929" t="s">
        <v>5612</v>
      </c>
      <c r="C929" t="s">
        <v>5613</v>
      </c>
      <c r="D929" t="s">
        <v>5614</v>
      </c>
      <c r="E929" s="10" t="s">
        <v>28</v>
      </c>
      <c r="F929" s="11" t="s">
        <v>5615</v>
      </c>
      <c r="H929" s="17" t="str">
        <f>HYPERLINK("https://www.google.com/maps/?q=45.9339722220001,-66.661763889", "https://www.google.com/maps/?q=45.9339722220001,-66.661763889")</f>
        <v>https://www.google.com/maps/?q=45.9339722220001,-66.661763889</v>
      </c>
    </row>
    <row r="930" spans="1:8" ht="29" x14ac:dyDescent="0.35">
      <c r="A930" t="s">
        <v>5616</v>
      </c>
      <c r="B930" t="s">
        <v>5617</v>
      </c>
      <c r="C930" t="s">
        <v>5618</v>
      </c>
      <c r="D930" t="s">
        <v>5619</v>
      </c>
      <c r="E930" s="10" t="s">
        <v>28</v>
      </c>
      <c r="F930" s="11" t="s">
        <v>5620</v>
      </c>
      <c r="H930" s="17" t="str">
        <f>HYPERLINK("https://www.google.com/maps/?q=45.970030556,-66.632033333", "https://www.google.com/maps/?q=45.970030556,-66.632033333")</f>
        <v>https://www.google.com/maps/?q=45.970030556,-66.632033333</v>
      </c>
    </row>
    <row r="931" spans="1:8" ht="29" x14ac:dyDescent="0.35">
      <c r="A931" t="s">
        <v>5621</v>
      </c>
      <c r="B931" t="s">
        <v>5622</v>
      </c>
      <c r="C931" t="s">
        <v>5623</v>
      </c>
      <c r="D931" t="s">
        <v>5624</v>
      </c>
      <c r="E931" s="10" t="s">
        <v>44</v>
      </c>
      <c r="F931" s="11" t="s">
        <v>5625</v>
      </c>
      <c r="H931" s="17" t="str">
        <f>HYPERLINK("https://www.google.com/maps/?q=45.702363889,-66.676444444", "https://www.google.com/maps/?q=45.702363889,-66.676444444")</f>
        <v>https://www.google.com/maps/?q=45.702363889,-66.676444444</v>
      </c>
    </row>
    <row r="932" spans="1:8" ht="29" x14ac:dyDescent="0.35">
      <c r="A932" t="s">
        <v>5626</v>
      </c>
      <c r="B932" t="s">
        <v>5627</v>
      </c>
      <c r="C932" t="s">
        <v>5628</v>
      </c>
      <c r="D932" t="s">
        <v>5629</v>
      </c>
      <c r="E932" s="10" t="s">
        <v>1109</v>
      </c>
      <c r="F932" s="11" t="s">
        <v>5630</v>
      </c>
      <c r="H932" s="17" t="str">
        <f>HYPERLINK("https://www.google.com/maps/?q=46.1702777780001,-66.112222222", "https://www.google.com/maps/?q=46.1702777780001,-66.112222222")</f>
        <v>https://www.google.com/maps/?q=46.1702777780001,-66.112222222</v>
      </c>
    </row>
    <row r="933" spans="1:8" ht="29" x14ac:dyDescent="0.35">
      <c r="A933" t="s">
        <v>5631</v>
      </c>
      <c r="B933" t="s">
        <v>5632</v>
      </c>
      <c r="C933" t="s">
        <v>5633</v>
      </c>
      <c r="D933" t="s">
        <v>5634</v>
      </c>
      <c r="E933" s="10" t="s">
        <v>44</v>
      </c>
      <c r="F933" s="11" t="s">
        <v>5235</v>
      </c>
      <c r="H933" s="17" t="str">
        <f>HYPERLINK("https://www.google.com/maps/?q=45.680511111,-67.052425", "https://www.google.com/maps/?q=45.680511111,-67.052425")</f>
        <v>https://www.google.com/maps/?q=45.680511111,-67.052425</v>
      </c>
    </row>
    <row r="934" spans="1:8" ht="29" x14ac:dyDescent="0.35">
      <c r="A934" t="s">
        <v>5635</v>
      </c>
      <c r="B934" t="s">
        <v>5636</v>
      </c>
      <c r="C934" t="s">
        <v>5637</v>
      </c>
      <c r="D934" t="s">
        <v>5638</v>
      </c>
      <c r="E934" s="10" t="s">
        <v>50</v>
      </c>
      <c r="F934" s="11" t="s">
        <v>1462</v>
      </c>
      <c r="H934" s="17" t="str">
        <f>HYPERLINK("https://www.google.com/maps/?q=45.961480556,-66.643277778", "https://www.google.com/maps/?q=45.961480556,-66.643277778")</f>
        <v>https://www.google.com/maps/?q=45.961480556,-66.643277778</v>
      </c>
    </row>
    <row r="935" spans="1:8" ht="29" x14ac:dyDescent="0.35">
      <c r="A935" t="s">
        <v>5639</v>
      </c>
      <c r="B935" t="s">
        <v>5640</v>
      </c>
      <c r="C935" t="s">
        <v>5641</v>
      </c>
      <c r="D935" t="s">
        <v>5642</v>
      </c>
      <c r="E935" s="10" t="s">
        <v>50</v>
      </c>
      <c r="F935" s="11" t="s">
        <v>2016</v>
      </c>
      <c r="H935" s="17" t="str">
        <f>HYPERLINK("https://www.google.com/maps/?q=47.251425,-65.3801444439999", "https://www.google.com/maps/?q=47.251425,-65.3801444439999")</f>
        <v>https://www.google.com/maps/?q=47.251425,-65.3801444439999</v>
      </c>
    </row>
    <row r="936" spans="1:8" ht="29" x14ac:dyDescent="0.35">
      <c r="A936" t="s">
        <v>5643</v>
      </c>
      <c r="B936" t="s">
        <v>5644</v>
      </c>
      <c r="C936" t="s">
        <v>5645</v>
      </c>
      <c r="D936" t="s">
        <v>5646</v>
      </c>
      <c r="E936" s="10" t="s">
        <v>50</v>
      </c>
      <c r="F936" s="11" t="s">
        <v>3283</v>
      </c>
      <c r="H936" s="17" t="str">
        <f>HYPERLINK("https://www.google.com/maps/?q=45.946705556,-66.595291667", "https://www.google.com/maps/?q=45.946705556,-66.595291667")</f>
        <v>https://www.google.com/maps/?q=45.946705556,-66.595291667</v>
      </c>
    </row>
    <row r="937" spans="1:8" ht="29" x14ac:dyDescent="0.35">
      <c r="A937" t="s">
        <v>5647</v>
      </c>
      <c r="B937" t="s">
        <v>5648</v>
      </c>
      <c r="C937" t="s">
        <v>5649</v>
      </c>
      <c r="D937" t="s">
        <v>5650</v>
      </c>
      <c r="E937" s="10" t="s">
        <v>28</v>
      </c>
      <c r="F937" s="11" t="s">
        <v>5651</v>
      </c>
      <c r="H937" s="17" t="str">
        <f>HYPERLINK("https://www.google.com/maps/?q=45.928897222,-66.636188889", "https://www.google.com/maps/?q=45.928897222,-66.636188889")</f>
        <v>https://www.google.com/maps/?q=45.928897222,-66.636188889</v>
      </c>
    </row>
    <row r="938" spans="1:8" ht="29" x14ac:dyDescent="0.35">
      <c r="A938" t="s">
        <v>5652</v>
      </c>
      <c r="B938" t="s">
        <v>5653</v>
      </c>
      <c r="C938" t="s">
        <v>5654</v>
      </c>
      <c r="D938" t="s">
        <v>5655</v>
      </c>
      <c r="E938" s="10" t="s">
        <v>28</v>
      </c>
      <c r="F938" s="11" t="s">
        <v>5488</v>
      </c>
      <c r="H938" s="17" t="str">
        <f>HYPERLINK("https://www.google.com/maps/?q=47.7447333330001,-65.0782305559999", "https://www.google.com/maps/?q=47.7447333330001,-65.0782305559999")</f>
        <v>https://www.google.com/maps/?q=47.7447333330001,-65.0782305559999</v>
      </c>
    </row>
    <row r="939" spans="1:8" ht="29" x14ac:dyDescent="0.35">
      <c r="A939" t="s">
        <v>5656</v>
      </c>
      <c r="B939" t="s">
        <v>5657</v>
      </c>
      <c r="C939" t="s">
        <v>5658</v>
      </c>
      <c r="D939" t="s">
        <v>5659</v>
      </c>
      <c r="E939" s="10" t="s">
        <v>28</v>
      </c>
      <c r="F939" s="11" t="s">
        <v>5660</v>
      </c>
      <c r="H939" s="17" t="str">
        <f>HYPERLINK("https://www.google.com/maps/?q=46.240069444,-64.528597222", "https://www.google.com/maps/?q=46.240069444,-64.528597222")</f>
        <v>https://www.google.com/maps/?q=46.240069444,-64.528597222</v>
      </c>
    </row>
    <row r="940" spans="1:8" ht="29" x14ac:dyDescent="0.35">
      <c r="A940" t="s">
        <v>5661</v>
      </c>
      <c r="B940" t="s">
        <v>5662</v>
      </c>
      <c r="C940" t="s">
        <v>5663</v>
      </c>
      <c r="D940" t="s">
        <v>5664</v>
      </c>
      <c r="E940" s="10" t="s">
        <v>28</v>
      </c>
      <c r="F940" s="11" t="s">
        <v>5665</v>
      </c>
      <c r="H940" s="17" t="str">
        <f>HYPERLINK("https://www.google.com/maps/?q=46.230794444,-64.2891222219999", "https://www.google.com/maps/?q=46.230794444,-64.2891222219999")</f>
        <v>https://www.google.com/maps/?q=46.230794444,-64.2891222219999</v>
      </c>
    </row>
    <row r="941" spans="1:8" ht="29" x14ac:dyDescent="0.35">
      <c r="A941" t="s">
        <v>5666</v>
      </c>
      <c r="B941" t="s">
        <v>5667</v>
      </c>
      <c r="C941" t="s">
        <v>5668</v>
      </c>
      <c r="D941" t="s">
        <v>5669</v>
      </c>
      <c r="E941" s="10" t="s">
        <v>44</v>
      </c>
      <c r="F941" s="11" t="s">
        <v>5670</v>
      </c>
      <c r="H941" s="17" t="str">
        <f>HYPERLINK("https://www.google.com/maps/?q=47.462711111,-65.483947222", "https://www.google.com/maps/?q=47.462711111,-65.483947222")</f>
        <v>https://www.google.com/maps/?q=47.462711111,-65.483947222</v>
      </c>
    </row>
    <row r="942" spans="1:8" ht="29" x14ac:dyDescent="0.35">
      <c r="A942" t="s">
        <v>5671</v>
      </c>
      <c r="B942" t="s">
        <v>5672</v>
      </c>
      <c r="C942" t="s">
        <v>5673</v>
      </c>
      <c r="D942" t="s">
        <v>5674</v>
      </c>
      <c r="E942" s="10" t="s">
        <v>28</v>
      </c>
      <c r="F942" s="11" t="s">
        <v>5675</v>
      </c>
      <c r="H942" s="17" t="str">
        <f>HYPERLINK("https://www.google.com/maps/?q=46.222597222,-64.505588889", "https://www.google.com/maps/?q=46.222597222,-64.505588889")</f>
        <v>https://www.google.com/maps/?q=46.222597222,-64.505588889</v>
      </c>
    </row>
    <row r="943" spans="1:8" ht="29" x14ac:dyDescent="0.35">
      <c r="A943" t="s">
        <v>5676</v>
      </c>
      <c r="B943" t="s">
        <v>5677</v>
      </c>
      <c r="C943" t="s">
        <v>5678</v>
      </c>
      <c r="D943" t="s">
        <v>5679</v>
      </c>
      <c r="E943" s="10" t="s">
        <v>28</v>
      </c>
      <c r="F943" s="11" t="s">
        <v>5680</v>
      </c>
      <c r="H943" s="17" t="str">
        <f>HYPERLINK("https://www.google.com/maps/?q=45.9638722220001,-66.645991667", "https://www.google.com/maps/?q=45.9638722220001,-66.645991667")</f>
        <v>https://www.google.com/maps/?q=45.9638722220001,-66.645991667</v>
      </c>
    </row>
    <row r="944" spans="1:8" ht="29" x14ac:dyDescent="0.35">
      <c r="A944" t="s">
        <v>5681</v>
      </c>
      <c r="B944" t="s">
        <v>5682</v>
      </c>
      <c r="C944" t="s">
        <v>5683</v>
      </c>
      <c r="D944" t="s">
        <v>5684</v>
      </c>
      <c r="E944" s="10" t="s">
        <v>28</v>
      </c>
      <c r="F944" s="11" t="s">
        <v>5685</v>
      </c>
      <c r="H944" s="17" t="str">
        <f>HYPERLINK("https://www.google.com/maps/?q=45.937533333,-66.6340222219999", "https://www.google.com/maps/?q=45.937533333,-66.6340222219999")</f>
        <v>https://www.google.com/maps/?q=45.937533333,-66.6340222219999</v>
      </c>
    </row>
    <row r="945" spans="1:8" ht="29" x14ac:dyDescent="0.35">
      <c r="A945" t="s">
        <v>5686</v>
      </c>
      <c r="B945" t="s">
        <v>5687</v>
      </c>
      <c r="C945" t="s">
        <v>5688</v>
      </c>
      <c r="D945" t="s">
        <v>5689</v>
      </c>
      <c r="E945" s="10" t="s">
        <v>28</v>
      </c>
      <c r="F945" s="11" t="s">
        <v>5690</v>
      </c>
      <c r="H945" s="17" t="str">
        <f>HYPERLINK("https://www.google.com/maps/?q=45.680058333,-65.3819", "https://www.google.com/maps/?q=45.680058333,-65.3819")</f>
        <v>https://www.google.com/maps/?q=45.680058333,-65.3819</v>
      </c>
    </row>
    <row r="946" spans="1:8" ht="29" x14ac:dyDescent="0.35">
      <c r="A946" t="s">
        <v>5691</v>
      </c>
      <c r="B946" t="s">
        <v>5692</v>
      </c>
      <c r="C946" t="s">
        <v>5693</v>
      </c>
      <c r="D946" t="s">
        <v>5694</v>
      </c>
      <c r="E946" s="10" t="s">
        <v>28</v>
      </c>
      <c r="F946" s="11" t="s">
        <v>5695</v>
      </c>
      <c r="H946" s="17" t="str">
        <f>HYPERLINK("https://www.google.com/maps/?q=46.7148777780001,-67.005327778", "https://www.google.com/maps/?q=46.7148777780001,-67.005327778")</f>
        <v>https://www.google.com/maps/?q=46.7148777780001,-67.005327778</v>
      </c>
    </row>
    <row r="947" spans="1:8" ht="29" x14ac:dyDescent="0.35">
      <c r="A947" t="s">
        <v>5696</v>
      </c>
      <c r="B947" t="s">
        <v>5697</v>
      </c>
      <c r="C947" t="s">
        <v>5698</v>
      </c>
      <c r="D947" t="s">
        <v>5699</v>
      </c>
      <c r="E947" s="10" t="s">
        <v>28</v>
      </c>
      <c r="F947" s="11" t="s">
        <v>5700</v>
      </c>
      <c r="H947" s="17" t="str">
        <f>HYPERLINK("https://www.google.com/maps/?q=45.960077778,-66.639544444", "https://www.google.com/maps/?q=45.960077778,-66.639544444")</f>
        <v>https://www.google.com/maps/?q=45.960077778,-66.639544444</v>
      </c>
    </row>
    <row r="948" spans="1:8" ht="29" x14ac:dyDescent="0.35">
      <c r="A948" t="s">
        <v>5701</v>
      </c>
      <c r="B948" t="s">
        <v>5702</v>
      </c>
      <c r="C948" t="s">
        <v>5703</v>
      </c>
      <c r="D948" t="s">
        <v>5704</v>
      </c>
      <c r="E948" s="10" t="s">
        <v>28</v>
      </c>
      <c r="F948" s="11" t="s">
        <v>5705</v>
      </c>
      <c r="H948" s="17" t="str">
        <f>HYPERLINK("https://www.google.com/maps/?q=44.890594444,-66.9268999999999", "https://www.google.com/maps/?q=44.890594444,-66.9268999999999")</f>
        <v>https://www.google.com/maps/?q=44.890594444,-66.9268999999999</v>
      </c>
    </row>
    <row r="949" spans="1:8" ht="29" x14ac:dyDescent="0.35">
      <c r="A949" t="s">
        <v>5706</v>
      </c>
      <c r="B949" t="s">
        <v>5707</v>
      </c>
      <c r="C949" t="s">
        <v>5708</v>
      </c>
      <c r="D949" t="s">
        <v>5709</v>
      </c>
      <c r="E949" s="10" t="s">
        <v>50</v>
      </c>
      <c r="F949" s="11" t="s">
        <v>1245</v>
      </c>
      <c r="H949" s="17" t="str">
        <f>HYPERLINK("https://www.google.com/maps/?q=46.0871000000001,-64.810794444", "https://www.google.com/maps/?q=46.0871000000001,-64.810794444")</f>
        <v>https://www.google.com/maps/?q=46.0871000000001,-64.810794444</v>
      </c>
    </row>
    <row r="950" spans="1:8" ht="29" x14ac:dyDescent="0.35">
      <c r="A950" t="s">
        <v>5710</v>
      </c>
      <c r="B950" t="s">
        <v>5711</v>
      </c>
      <c r="C950" t="s">
        <v>5712</v>
      </c>
      <c r="D950" t="s">
        <v>5713</v>
      </c>
      <c r="E950" s="10" t="s">
        <v>28</v>
      </c>
      <c r="F950" s="11" t="s">
        <v>5714</v>
      </c>
      <c r="H950" s="17" t="str">
        <f>HYPERLINK("https://www.google.com/maps/?q=46.109330556,-64.863572222", "https://www.google.com/maps/?q=46.109330556,-64.863572222")</f>
        <v>https://www.google.com/maps/?q=46.109330556,-64.863572222</v>
      </c>
    </row>
    <row r="951" spans="1:8" ht="29" x14ac:dyDescent="0.35">
      <c r="A951" t="s">
        <v>5715</v>
      </c>
      <c r="B951" t="s">
        <v>2207</v>
      </c>
      <c r="C951" t="s">
        <v>5716</v>
      </c>
      <c r="D951" t="s">
        <v>2209</v>
      </c>
      <c r="E951" s="10" t="s">
        <v>1112</v>
      </c>
      <c r="F951" s="11" t="s">
        <v>1844</v>
      </c>
      <c r="H951" s="17" t="str">
        <f>HYPERLINK("https://www.google.com/maps/?q=45.2742027780001,-66.0611083329999", "https://www.google.com/maps/?q=45.2742027780001,-66.0611083329999")</f>
        <v>https://www.google.com/maps/?q=45.2742027780001,-66.0611083329999</v>
      </c>
    </row>
    <row r="952" spans="1:8" ht="29" x14ac:dyDescent="0.35">
      <c r="A952" t="s">
        <v>5717</v>
      </c>
      <c r="B952" t="s">
        <v>5718</v>
      </c>
      <c r="C952" t="s">
        <v>5719</v>
      </c>
      <c r="D952" t="s">
        <v>5720</v>
      </c>
      <c r="E952" s="10" t="s">
        <v>66</v>
      </c>
      <c r="F952" s="11" t="s">
        <v>2801</v>
      </c>
      <c r="H952" s="17" t="str">
        <f>HYPERLINK("https://www.google.com/maps/?q=46.065130556,-64.0869611109999", "https://www.google.com/maps/?q=46.065130556,-64.0869611109999")</f>
        <v>https://www.google.com/maps/?q=46.065130556,-64.0869611109999</v>
      </c>
    </row>
    <row r="953" spans="1:8" ht="29" x14ac:dyDescent="0.35">
      <c r="A953" t="s">
        <v>5721</v>
      </c>
      <c r="B953" t="s">
        <v>3721</v>
      </c>
      <c r="C953" t="s">
        <v>5722</v>
      </c>
      <c r="D953" t="s">
        <v>3723</v>
      </c>
      <c r="E953" s="10" t="s">
        <v>17</v>
      </c>
      <c r="F953" s="11" t="s">
        <v>3724</v>
      </c>
      <c r="H953" s="17" t="str">
        <f>HYPERLINK("https://www.google.com/maps/?q=44.6515000000001,-66.8472", "https://www.google.com/maps/?q=44.6515000000001,-66.8472")</f>
        <v>https://www.google.com/maps/?q=44.6515000000001,-66.8472</v>
      </c>
    </row>
    <row r="954" spans="1:8" ht="29" x14ac:dyDescent="0.35">
      <c r="A954" t="s">
        <v>5723</v>
      </c>
      <c r="B954" t="s">
        <v>5724</v>
      </c>
      <c r="C954" t="s">
        <v>5725</v>
      </c>
      <c r="D954" t="s">
        <v>5726</v>
      </c>
      <c r="E954" s="10" t="s">
        <v>17</v>
      </c>
      <c r="F954" s="11" t="s">
        <v>4073</v>
      </c>
      <c r="H954" s="17" t="str">
        <f>HYPERLINK("https://www.google.com/maps/?q=46.385305556,-64.665277778", "https://www.google.com/maps/?q=46.385305556,-64.665277778")</f>
        <v>https://www.google.com/maps/?q=46.385305556,-64.665277778</v>
      </c>
    </row>
    <row r="955" spans="1:8" ht="29" x14ac:dyDescent="0.35">
      <c r="A955" t="s">
        <v>5727</v>
      </c>
      <c r="B955" t="s">
        <v>5728</v>
      </c>
      <c r="C955" t="s">
        <v>5729</v>
      </c>
      <c r="D955" t="s">
        <v>5730</v>
      </c>
      <c r="E955" s="10" t="s">
        <v>1109</v>
      </c>
      <c r="F955" s="11" t="s">
        <v>5731</v>
      </c>
      <c r="H955" s="17" t="str">
        <f>HYPERLINK("https://www.google.com/maps/?q=47.0047222220001,-65.5736111109999", "https://www.google.com/maps/?q=47.0047222220001,-65.5736111109999")</f>
        <v>https://www.google.com/maps/?q=47.0047222220001,-65.5736111109999</v>
      </c>
    </row>
    <row r="956" spans="1:8" ht="29" x14ac:dyDescent="0.35">
      <c r="A956" t="s">
        <v>5732</v>
      </c>
      <c r="B956" t="s">
        <v>5733</v>
      </c>
      <c r="C956" t="s">
        <v>5734</v>
      </c>
      <c r="D956" t="s">
        <v>5735</v>
      </c>
      <c r="E956" s="10" t="s">
        <v>28</v>
      </c>
      <c r="F956" s="11" t="s">
        <v>5736</v>
      </c>
      <c r="H956" s="17" t="str">
        <f>HYPERLINK("https://www.google.com/maps/?q=46.0937916670001,-64.757008333", "https://www.google.com/maps/?q=46.0937916670001,-64.757008333")</f>
        <v>https://www.google.com/maps/?q=46.0937916670001,-64.757008333</v>
      </c>
    </row>
    <row r="957" spans="1:8" ht="29" x14ac:dyDescent="0.35">
      <c r="A957" t="s">
        <v>5737</v>
      </c>
      <c r="B957" t="s">
        <v>5738</v>
      </c>
      <c r="C957" t="s">
        <v>5739</v>
      </c>
      <c r="D957" t="s">
        <v>5740</v>
      </c>
      <c r="E957" s="10" t="s">
        <v>44</v>
      </c>
      <c r="F957" s="11" t="s">
        <v>1971</v>
      </c>
      <c r="H957" s="17" t="str">
        <f>HYPERLINK("https://www.google.com/maps/?q=47.389216667,-68.3162833329999", "https://www.google.com/maps/?q=47.389216667,-68.3162833329999")</f>
        <v>https://www.google.com/maps/?q=47.389216667,-68.3162833329999</v>
      </c>
    </row>
    <row r="958" spans="1:8" ht="29" x14ac:dyDescent="0.35">
      <c r="A958" t="s">
        <v>5741</v>
      </c>
      <c r="B958" t="s">
        <v>5742</v>
      </c>
      <c r="C958" t="s">
        <v>5743</v>
      </c>
      <c r="D958" t="s">
        <v>5744</v>
      </c>
      <c r="E958" s="10" t="s">
        <v>44</v>
      </c>
      <c r="F958" s="11" t="s">
        <v>5745</v>
      </c>
      <c r="H958" s="17" t="str">
        <f>HYPERLINK("https://www.google.com/maps/?q=46.649580556,-67.5925583329999", "https://www.google.com/maps/?q=46.649580556,-67.5925583329999")</f>
        <v>https://www.google.com/maps/?q=46.649580556,-67.5925583329999</v>
      </c>
    </row>
    <row r="959" spans="1:8" ht="29" x14ac:dyDescent="0.35">
      <c r="A959" t="s">
        <v>5746</v>
      </c>
      <c r="B959" t="s">
        <v>5747</v>
      </c>
      <c r="C959" t="s">
        <v>5748</v>
      </c>
      <c r="D959" t="s">
        <v>5749</v>
      </c>
      <c r="E959" s="10" t="s">
        <v>44</v>
      </c>
      <c r="F959" s="11" t="s">
        <v>5750</v>
      </c>
      <c r="H959" s="17" t="str">
        <f>HYPERLINK("https://www.google.com/maps/?q=46.0700972220001,-67.048827778", "https://www.google.com/maps/?q=46.0700972220001,-67.048827778")</f>
        <v>https://www.google.com/maps/?q=46.0700972220001,-67.048827778</v>
      </c>
    </row>
    <row r="960" spans="1:8" ht="29" x14ac:dyDescent="0.35">
      <c r="A960" t="s">
        <v>5751</v>
      </c>
      <c r="B960" t="s">
        <v>5752</v>
      </c>
      <c r="C960" t="s">
        <v>5753</v>
      </c>
      <c r="D960" t="s">
        <v>5754</v>
      </c>
      <c r="E960" s="10" t="s">
        <v>28</v>
      </c>
      <c r="F960" s="11" t="s">
        <v>5755</v>
      </c>
      <c r="H960" s="17" t="str">
        <f>HYPERLINK("https://www.google.com/maps/?q=46.1334000000001,-64.871897222", "https://www.google.com/maps/?q=46.1334000000001,-64.871897222")</f>
        <v>https://www.google.com/maps/?q=46.1334000000001,-64.871897222</v>
      </c>
    </row>
    <row r="961" spans="1:8" ht="29" x14ac:dyDescent="0.35">
      <c r="A961" t="s">
        <v>5756</v>
      </c>
      <c r="B961" t="s">
        <v>5757</v>
      </c>
      <c r="C961" t="s">
        <v>5758</v>
      </c>
      <c r="D961" t="s">
        <v>5759</v>
      </c>
      <c r="E961" s="10" t="s">
        <v>28</v>
      </c>
      <c r="F961" s="11" t="s">
        <v>5760</v>
      </c>
      <c r="H961" s="17" t="str">
        <f>HYPERLINK("https://www.google.com/maps/?q=45.899788889,-66.5890277779999", "https://www.google.com/maps/?q=45.899788889,-66.5890277779999")</f>
        <v>https://www.google.com/maps/?q=45.899788889,-66.5890277779999</v>
      </c>
    </row>
    <row r="962" spans="1:8" ht="29" x14ac:dyDescent="0.35">
      <c r="A962" t="s">
        <v>5761</v>
      </c>
      <c r="B962" t="s">
        <v>5762</v>
      </c>
      <c r="C962" t="s">
        <v>5763</v>
      </c>
      <c r="D962" t="s">
        <v>5764</v>
      </c>
      <c r="E962" s="10" t="s">
        <v>28</v>
      </c>
      <c r="F962" s="11" t="s">
        <v>5765</v>
      </c>
      <c r="H962" s="17" t="str">
        <f>HYPERLINK("https://www.google.com/maps/?q=47.3036527780001,-68.464466667", "https://www.google.com/maps/?q=47.3036527780001,-68.464466667")</f>
        <v>https://www.google.com/maps/?q=47.3036527780001,-68.464466667</v>
      </c>
    </row>
    <row r="963" spans="1:8" ht="29" x14ac:dyDescent="0.35">
      <c r="A963" t="s">
        <v>5766</v>
      </c>
      <c r="B963" t="s">
        <v>5767</v>
      </c>
      <c r="C963" t="s">
        <v>5768</v>
      </c>
      <c r="D963" t="s">
        <v>5769</v>
      </c>
      <c r="E963" s="10" t="s">
        <v>28</v>
      </c>
      <c r="F963" s="11" t="s">
        <v>5770</v>
      </c>
      <c r="H963" s="17" t="str">
        <f>HYPERLINK("https://www.google.com/maps/?q=47.0237666670001,-65.455283333", "https://www.google.com/maps/?q=47.0237666670001,-65.455283333")</f>
        <v>https://www.google.com/maps/?q=47.0237666670001,-65.455283333</v>
      </c>
    </row>
    <row r="964" spans="1:8" ht="29" x14ac:dyDescent="0.35">
      <c r="A964" t="s">
        <v>5771</v>
      </c>
      <c r="B964" t="s">
        <v>5772</v>
      </c>
      <c r="C964" t="s">
        <v>5773</v>
      </c>
      <c r="D964" t="s">
        <v>5774</v>
      </c>
      <c r="E964" s="10" t="s">
        <v>28</v>
      </c>
      <c r="F964" s="11" t="s">
        <v>5775</v>
      </c>
      <c r="H964" s="17" t="str">
        <f>HYPERLINK("https://www.google.com/maps/?q=45.983908333,-66.663377778", "https://www.google.com/maps/?q=45.983908333,-66.663377778")</f>
        <v>https://www.google.com/maps/?q=45.983908333,-66.663377778</v>
      </c>
    </row>
    <row r="965" spans="1:8" ht="29" x14ac:dyDescent="0.35">
      <c r="A965" t="s">
        <v>5776</v>
      </c>
      <c r="B965" t="s">
        <v>5777</v>
      </c>
      <c r="C965" t="s">
        <v>5778</v>
      </c>
      <c r="D965" t="s">
        <v>5779</v>
      </c>
      <c r="E965" s="10" t="s">
        <v>28</v>
      </c>
      <c r="F965" s="11" t="s">
        <v>5780</v>
      </c>
      <c r="H965" s="17" t="str">
        <f>HYPERLINK("https://www.google.com/maps/?q=47.3764,-68.310866667", "https://www.google.com/maps/?q=47.3764,-68.310866667")</f>
        <v>https://www.google.com/maps/?q=47.3764,-68.310866667</v>
      </c>
    </row>
    <row r="966" spans="1:8" ht="29" x14ac:dyDescent="0.35">
      <c r="A966" t="s">
        <v>5781</v>
      </c>
      <c r="B966" t="s">
        <v>5782</v>
      </c>
      <c r="C966" t="s">
        <v>5783</v>
      </c>
      <c r="D966" t="s">
        <v>5784</v>
      </c>
      <c r="E966" s="10" t="s">
        <v>28</v>
      </c>
      <c r="F966" s="11" t="s">
        <v>5785</v>
      </c>
      <c r="H966" s="17" t="str">
        <f>HYPERLINK("https://www.google.com/maps/?q=47.7561000000001,-65.3393972219999", "https://www.google.com/maps/?q=47.7561000000001,-65.3393972219999")</f>
        <v>https://www.google.com/maps/?q=47.7561000000001,-65.3393972219999</v>
      </c>
    </row>
    <row r="967" spans="1:8" ht="29" x14ac:dyDescent="0.35">
      <c r="A967" t="s">
        <v>5786</v>
      </c>
      <c r="B967" t="s">
        <v>5787</v>
      </c>
      <c r="C967" t="s">
        <v>5788</v>
      </c>
      <c r="D967" t="s">
        <v>5789</v>
      </c>
      <c r="E967" s="10" t="s">
        <v>28</v>
      </c>
      <c r="F967" s="11" t="s">
        <v>5790</v>
      </c>
      <c r="H967" s="17" t="str">
        <f>HYPERLINK("https://www.google.com/maps/?q=46.0945722220001,-64.755125", "https://www.google.com/maps/?q=46.0945722220001,-64.755125")</f>
        <v>https://www.google.com/maps/?q=46.0945722220001,-64.755125</v>
      </c>
    </row>
    <row r="968" spans="1:8" ht="29" x14ac:dyDescent="0.35">
      <c r="A968" t="s">
        <v>5791</v>
      </c>
      <c r="B968" t="s">
        <v>5792</v>
      </c>
      <c r="C968" t="s">
        <v>5793</v>
      </c>
      <c r="D968" t="s">
        <v>5794</v>
      </c>
      <c r="E968" s="10" t="s">
        <v>461</v>
      </c>
      <c r="F968" s="11" t="s">
        <v>2219</v>
      </c>
      <c r="H968" s="17" t="str">
        <f>HYPERLINK("https://www.google.com/maps/?q=46.009666667,-67.544444444", "https://www.google.com/maps/?q=46.009666667,-67.544444444")</f>
        <v>https://www.google.com/maps/?q=46.009666667,-67.544444444</v>
      </c>
    </row>
    <row r="969" spans="1:8" ht="29" x14ac:dyDescent="0.35">
      <c r="A969" t="s">
        <v>5795</v>
      </c>
      <c r="B969" t="s">
        <v>5796</v>
      </c>
      <c r="C969" t="s">
        <v>5797</v>
      </c>
      <c r="D969" t="s">
        <v>5798</v>
      </c>
      <c r="E969" s="10" t="s">
        <v>50</v>
      </c>
      <c r="F969" s="11" t="s">
        <v>5079</v>
      </c>
      <c r="H969" s="17" t="str">
        <f>HYPERLINK("https://www.google.com/maps/?q=45.5826138890001,-65.7949944439999", "https://www.google.com/maps/?q=45.5826138890001,-65.7949944439999")</f>
        <v>https://www.google.com/maps/?q=45.5826138890001,-65.7949944439999</v>
      </c>
    </row>
    <row r="970" spans="1:8" ht="29" x14ac:dyDescent="0.35">
      <c r="A970" t="s">
        <v>5799</v>
      </c>
      <c r="B970" t="s">
        <v>5800</v>
      </c>
      <c r="C970" t="s">
        <v>5801</v>
      </c>
      <c r="D970" t="s">
        <v>5802</v>
      </c>
      <c r="E970" s="10" t="s">
        <v>66</v>
      </c>
      <c r="F970" s="11" t="s">
        <v>5803</v>
      </c>
      <c r="H970" s="17" t="str">
        <f>HYPERLINK("https://www.google.com/maps/?q=45.3029888890001,-66.0733", "https://www.google.com/maps/?q=45.3029888890001,-66.0733")</f>
        <v>https://www.google.com/maps/?q=45.3029888890001,-66.0733</v>
      </c>
    </row>
    <row r="971" spans="1:8" ht="29" x14ac:dyDescent="0.35">
      <c r="A971" t="s">
        <v>5804</v>
      </c>
      <c r="B971" t="s">
        <v>5805</v>
      </c>
      <c r="C971" t="s">
        <v>5806</v>
      </c>
      <c r="D971" t="s">
        <v>5807</v>
      </c>
      <c r="E971" s="10" t="s">
        <v>66</v>
      </c>
      <c r="F971" s="11" t="s">
        <v>2190</v>
      </c>
      <c r="H971" s="17" t="str">
        <f>HYPERLINK("https://www.google.com/maps/?q=46.087,-64.788611111", "https://www.google.com/maps/?q=46.087,-64.788611111")</f>
        <v>https://www.google.com/maps/?q=46.087,-64.788611111</v>
      </c>
    </row>
    <row r="972" spans="1:8" ht="29" x14ac:dyDescent="0.35">
      <c r="A972" t="s">
        <v>5808</v>
      </c>
      <c r="B972" t="s">
        <v>5809</v>
      </c>
      <c r="C972" t="s">
        <v>5810</v>
      </c>
      <c r="D972" t="s">
        <v>5811</v>
      </c>
      <c r="E972" s="10" t="s">
        <v>66</v>
      </c>
      <c r="F972" s="11" t="s">
        <v>2616</v>
      </c>
      <c r="H972" s="17" t="str">
        <f>HYPERLINK("https://www.google.com/maps/?q=45.3005000000001,-66.0293", "https://www.google.com/maps/?q=45.3005000000001,-66.0293")</f>
        <v>https://www.google.com/maps/?q=45.3005000000001,-66.0293</v>
      </c>
    </row>
    <row r="973" spans="1:8" ht="29" x14ac:dyDescent="0.35">
      <c r="A973" t="s">
        <v>5812</v>
      </c>
      <c r="B973" t="s">
        <v>5813</v>
      </c>
      <c r="C973" t="s">
        <v>5814</v>
      </c>
      <c r="D973" t="s">
        <v>5815</v>
      </c>
      <c r="E973" s="10" t="s">
        <v>66</v>
      </c>
      <c r="F973" s="11" t="s">
        <v>5816</v>
      </c>
      <c r="H973" s="17" t="str">
        <f>HYPERLINK("https://www.google.com/maps/?q=45.9460611110001,-65.403119444", "https://www.google.com/maps/?q=45.9460611110001,-65.403119444")</f>
        <v>https://www.google.com/maps/?q=45.9460611110001,-65.403119444</v>
      </c>
    </row>
    <row r="974" spans="1:8" ht="29" x14ac:dyDescent="0.35">
      <c r="A974" t="s">
        <v>5817</v>
      </c>
      <c r="B974" t="s">
        <v>5003</v>
      </c>
      <c r="C974" t="s">
        <v>5818</v>
      </c>
      <c r="D974" t="s">
        <v>5005</v>
      </c>
      <c r="E974" s="10" t="s">
        <v>50</v>
      </c>
      <c r="F974" s="11" t="s">
        <v>5006</v>
      </c>
      <c r="H974" s="17" t="str">
        <f>HYPERLINK("https://www.google.com/maps/?q=45.871644444,-64.2682166669999", "https://www.google.com/maps/?q=45.871644444,-64.2682166669999")</f>
        <v>https://www.google.com/maps/?q=45.871644444,-64.2682166669999</v>
      </c>
    </row>
    <row r="975" spans="1:8" ht="29" x14ac:dyDescent="0.35">
      <c r="A975" t="s">
        <v>5819</v>
      </c>
      <c r="B975" t="s">
        <v>5820</v>
      </c>
      <c r="C975" t="s">
        <v>5821</v>
      </c>
      <c r="D975" t="s">
        <v>5822</v>
      </c>
      <c r="E975" s="10" t="s">
        <v>50</v>
      </c>
      <c r="F975" s="11" t="s">
        <v>5823</v>
      </c>
      <c r="H975" s="17" t="str">
        <f>HYPERLINK("https://www.google.com/maps/?q=45.2365,-66.142327778", "https://www.google.com/maps/?q=45.2365,-66.142327778")</f>
        <v>https://www.google.com/maps/?q=45.2365,-66.142327778</v>
      </c>
    </row>
    <row r="976" spans="1:8" ht="29" x14ac:dyDescent="0.35">
      <c r="A976" t="s">
        <v>5824</v>
      </c>
      <c r="B976" t="s">
        <v>5825</v>
      </c>
      <c r="C976" t="s">
        <v>5826</v>
      </c>
      <c r="D976" t="s">
        <v>5827</v>
      </c>
      <c r="E976" s="10" t="s">
        <v>66</v>
      </c>
      <c r="F976" s="11" t="s">
        <v>4333</v>
      </c>
      <c r="H976" s="17" t="str">
        <f>HYPERLINK("https://www.google.com/maps/?q=45.9600694440001,-66.617811111", "https://www.google.com/maps/?q=45.9600694440001,-66.617811111")</f>
        <v>https://www.google.com/maps/?q=45.9600694440001,-66.617811111</v>
      </c>
    </row>
    <row r="977" spans="1:8" ht="29" x14ac:dyDescent="0.35">
      <c r="A977" t="s">
        <v>5828</v>
      </c>
      <c r="B977" t="s">
        <v>5829</v>
      </c>
      <c r="C977" t="s">
        <v>5830</v>
      </c>
      <c r="D977" t="s">
        <v>5831</v>
      </c>
      <c r="E977" s="10" t="s">
        <v>1109</v>
      </c>
      <c r="F977" s="11" t="s">
        <v>5832</v>
      </c>
      <c r="H977" s="17" t="str">
        <f>HYPERLINK("https://www.google.com/maps/?q=47.400833333,-65.455277778", "https://www.google.com/maps/?q=47.400833333,-65.455277778")</f>
        <v>https://www.google.com/maps/?q=47.400833333,-65.455277778</v>
      </c>
    </row>
    <row r="978" spans="1:8" ht="29" x14ac:dyDescent="0.35">
      <c r="A978" t="s">
        <v>5833</v>
      </c>
      <c r="B978" t="s">
        <v>5834</v>
      </c>
      <c r="C978" t="s">
        <v>5835</v>
      </c>
      <c r="D978" t="s">
        <v>5836</v>
      </c>
      <c r="E978" s="10" t="s">
        <v>1109</v>
      </c>
      <c r="F978" s="11" t="s">
        <v>1514</v>
      </c>
      <c r="H978" s="17" t="str">
        <f>HYPERLINK("https://www.google.com/maps/?q=46.0722500000001,-64.869305556", "https://www.google.com/maps/?q=46.0722500000001,-64.869305556")</f>
        <v>https://www.google.com/maps/?q=46.0722500000001,-64.869305556</v>
      </c>
    </row>
    <row r="979" spans="1:8" ht="29" x14ac:dyDescent="0.35">
      <c r="A979" t="s">
        <v>5837</v>
      </c>
      <c r="B979" t="s">
        <v>5838</v>
      </c>
      <c r="C979" t="s">
        <v>5839</v>
      </c>
      <c r="D979" t="s">
        <v>5840</v>
      </c>
      <c r="E979" s="10" t="s">
        <v>28</v>
      </c>
      <c r="F979" s="11" t="s">
        <v>5841</v>
      </c>
      <c r="H979" s="17" t="str">
        <f>HYPERLINK("https://www.google.com/maps/?q=45.8891,-66.5658", "https://www.google.com/maps/?q=45.8891,-66.5658")</f>
        <v>https://www.google.com/maps/?q=45.8891,-66.5658</v>
      </c>
    </row>
    <row r="980" spans="1:8" ht="29" x14ac:dyDescent="0.35">
      <c r="A980" t="s">
        <v>5842</v>
      </c>
      <c r="B980" t="s">
        <v>5843</v>
      </c>
      <c r="C980" t="s">
        <v>5844</v>
      </c>
      <c r="D980" t="s">
        <v>5845</v>
      </c>
      <c r="E980" s="10" t="s">
        <v>28</v>
      </c>
      <c r="F980" s="11" t="s">
        <v>5846</v>
      </c>
      <c r="H980" s="17" t="str">
        <f>HYPERLINK("https://www.google.com/maps/?q=45.216180556,-66.1652333329999", "https://www.google.com/maps/?q=45.216180556,-66.1652333329999")</f>
        <v>https://www.google.com/maps/?q=45.216180556,-66.1652333329999</v>
      </c>
    </row>
    <row r="981" spans="1:8" ht="29" x14ac:dyDescent="0.35">
      <c r="A981" t="s">
        <v>5847</v>
      </c>
      <c r="B981" t="s">
        <v>5848</v>
      </c>
      <c r="C981" t="s">
        <v>5849</v>
      </c>
      <c r="D981" t="s">
        <v>5850</v>
      </c>
      <c r="E981" s="10" t="s">
        <v>1109</v>
      </c>
      <c r="F981" s="11" t="s">
        <v>5851</v>
      </c>
      <c r="H981" s="17" t="str">
        <f>HYPERLINK("https://www.google.com/maps/?q=45.9347222220001,-65.170555556", "https://www.google.com/maps/?q=45.9347222220001,-65.170555556")</f>
        <v>https://www.google.com/maps/?q=45.9347222220001,-65.170555556</v>
      </c>
    </row>
    <row r="982" spans="1:8" ht="29" x14ac:dyDescent="0.35">
      <c r="A982" t="s">
        <v>5852</v>
      </c>
      <c r="B982" t="s">
        <v>5853</v>
      </c>
      <c r="C982" t="s">
        <v>5854</v>
      </c>
      <c r="D982" t="s">
        <v>5855</v>
      </c>
      <c r="E982" s="10" t="s">
        <v>1109</v>
      </c>
      <c r="F982" s="11" t="s">
        <v>2541</v>
      </c>
      <c r="H982" s="17" t="str">
        <f>HYPERLINK("https://www.google.com/maps/?q=46.2090277780001,-65.5167222219999", "https://www.google.com/maps/?q=46.2090277780001,-65.5167222219999")</f>
        <v>https://www.google.com/maps/?q=46.2090277780001,-65.5167222219999</v>
      </c>
    </row>
    <row r="983" spans="1:8" ht="29" x14ac:dyDescent="0.35">
      <c r="A983" t="s">
        <v>5856</v>
      </c>
      <c r="B983" t="s">
        <v>5857</v>
      </c>
      <c r="C983" t="s">
        <v>5858</v>
      </c>
      <c r="D983" t="s">
        <v>5859</v>
      </c>
      <c r="E983" s="10" t="s">
        <v>1109</v>
      </c>
      <c r="F983" s="11" t="s">
        <v>5860</v>
      </c>
      <c r="H983" s="17" t="str">
        <f>HYPERLINK("https://www.google.com/maps/?q=47.036694444,-67.618138889", "https://www.google.com/maps/?q=47.036694444,-67.618138889")</f>
        <v>https://www.google.com/maps/?q=47.036694444,-67.618138889</v>
      </c>
    </row>
    <row r="984" spans="1:8" ht="29" x14ac:dyDescent="0.35">
      <c r="A984" t="s">
        <v>5861</v>
      </c>
      <c r="B984" t="s">
        <v>5862</v>
      </c>
      <c r="C984" t="s">
        <v>5863</v>
      </c>
      <c r="D984" t="s">
        <v>5864</v>
      </c>
      <c r="E984" s="10" t="s">
        <v>1109</v>
      </c>
      <c r="F984" s="11" t="s">
        <v>5695</v>
      </c>
      <c r="H984" s="17" t="str">
        <f>HYPERLINK("https://www.google.com/maps/?q=46.696,-67.238638889", "https://www.google.com/maps/?q=46.696,-67.238638889")</f>
        <v>https://www.google.com/maps/?q=46.696,-67.238638889</v>
      </c>
    </row>
    <row r="985" spans="1:8" ht="29" x14ac:dyDescent="0.35">
      <c r="A985" t="s">
        <v>5865</v>
      </c>
      <c r="B985" t="s">
        <v>5866</v>
      </c>
      <c r="C985" t="s">
        <v>5867</v>
      </c>
      <c r="D985" t="s">
        <v>5868</v>
      </c>
      <c r="E985" s="10" t="s">
        <v>28</v>
      </c>
      <c r="F985" s="11" t="s">
        <v>5869</v>
      </c>
      <c r="H985" s="17" t="str">
        <f>HYPERLINK("https://www.google.com/maps/?q=45.9348416670001,-66.661055556", "https://www.google.com/maps/?q=45.9348416670001,-66.661055556")</f>
        <v>https://www.google.com/maps/?q=45.9348416670001,-66.661055556</v>
      </c>
    </row>
    <row r="986" spans="1:8" ht="29" x14ac:dyDescent="0.35">
      <c r="A986" t="s">
        <v>5870</v>
      </c>
      <c r="B986" t="s">
        <v>5871</v>
      </c>
      <c r="C986" t="s">
        <v>5872</v>
      </c>
      <c r="D986" t="s">
        <v>5873</v>
      </c>
      <c r="E986" s="10" t="s">
        <v>28</v>
      </c>
      <c r="F986" s="11" t="s">
        <v>3884</v>
      </c>
      <c r="H986" s="17" t="str">
        <f>HYPERLINK("https://www.google.com/maps/?q=45.839669444,-66.4694", "https://www.google.com/maps/?q=45.839669444,-66.4694")</f>
        <v>https://www.google.com/maps/?q=45.839669444,-66.4694</v>
      </c>
    </row>
    <row r="987" spans="1:8" ht="29" x14ac:dyDescent="0.35">
      <c r="A987" t="s">
        <v>5874</v>
      </c>
      <c r="B987" t="s">
        <v>5875</v>
      </c>
      <c r="C987" t="s">
        <v>5876</v>
      </c>
      <c r="D987" t="s">
        <v>5877</v>
      </c>
      <c r="E987" s="10" t="s">
        <v>28</v>
      </c>
      <c r="F987" s="11" t="s">
        <v>5878</v>
      </c>
      <c r="H987" s="17" t="str">
        <f>HYPERLINK("https://www.google.com/maps/?q=45.9927361110001,-66.772563889", "https://www.google.com/maps/?q=45.9927361110001,-66.772563889")</f>
        <v>https://www.google.com/maps/?q=45.9927361110001,-66.772563889</v>
      </c>
    </row>
    <row r="988" spans="1:8" ht="29" x14ac:dyDescent="0.35">
      <c r="A988" t="s">
        <v>5879</v>
      </c>
      <c r="B988" t="s">
        <v>5880</v>
      </c>
      <c r="C988" t="s">
        <v>5881</v>
      </c>
      <c r="D988" t="s">
        <v>5882</v>
      </c>
      <c r="E988" s="10" t="s">
        <v>44</v>
      </c>
      <c r="F988" s="11" t="s">
        <v>5883</v>
      </c>
      <c r="H988" s="17" t="str">
        <f>HYPERLINK("https://www.google.com/maps/?q=45.280230556,-67.253763889", "https://www.google.com/maps/?q=45.280230556,-67.253763889")</f>
        <v>https://www.google.com/maps/?q=45.280230556,-67.253763889</v>
      </c>
    </row>
    <row r="989" spans="1:8" ht="29" x14ac:dyDescent="0.35">
      <c r="A989" t="s">
        <v>5884</v>
      </c>
      <c r="B989" t="s">
        <v>5885</v>
      </c>
      <c r="C989" t="s">
        <v>5886</v>
      </c>
      <c r="D989" t="s">
        <v>5887</v>
      </c>
      <c r="E989" s="10" t="s">
        <v>44</v>
      </c>
      <c r="F989" s="11" t="s">
        <v>3448</v>
      </c>
      <c r="H989" s="17" t="str">
        <f>HYPERLINK("https://www.google.com/maps/?q=46.6552444440001,-65.369977778", "https://www.google.com/maps/?q=46.6552444440001,-65.369977778")</f>
        <v>https://www.google.com/maps/?q=46.6552444440001,-65.369977778</v>
      </c>
    </row>
    <row r="990" spans="1:8" ht="29" x14ac:dyDescent="0.35">
      <c r="A990" t="s">
        <v>5888</v>
      </c>
      <c r="B990" t="s">
        <v>5889</v>
      </c>
      <c r="C990" t="s">
        <v>5890</v>
      </c>
      <c r="D990" t="s">
        <v>5891</v>
      </c>
      <c r="E990" s="10" t="s">
        <v>44</v>
      </c>
      <c r="F990" s="11" t="s">
        <v>1857</v>
      </c>
      <c r="H990" s="17" t="str">
        <f>HYPERLINK("https://www.google.com/maps/?q=47.1451916670001,-65.258919444", "https://www.google.com/maps/?q=47.1451916670001,-65.258919444")</f>
        <v>https://www.google.com/maps/?q=47.1451916670001,-65.258919444</v>
      </c>
    </row>
    <row r="991" spans="1:8" ht="29" x14ac:dyDescent="0.35">
      <c r="A991" t="s">
        <v>5892</v>
      </c>
      <c r="B991" t="s">
        <v>5893</v>
      </c>
      <c r="C991" t="s">
        <v>5894</v>
      </c>
      <c r="D991" t="s">
        <v>5895</v>
      </c>
      <c r="E991" s="10" t="s">
        <v>28</v>
      </c>
      <c r="F991" s="11" t="s">
        <v>5896</v>
      </c>
      <c r="H991" s="17" t="str">
        <f>HYPERLINK("https://www.google.com/maps/?q=47.9065944440001,-65.8634777779999", "https://www.google.com/maps/?q=47.9065944440001,-65.8634777779999")</f>
        <v>https://www.google.com/maps/?q=47.9065944440001,-65.8634777779999</v>
      </c>
    </row>
    <row r="992" spans="1:8" ht="29" x14ac:dyDescent="0.35">
      <c r="A992" t="s">
        <v>5897</v>
      </c>
      <c r="B992" t="s">
        <v>5898</v>
      </c>
      <c r="C992" t="s">
        <v>5899</v>
      </c>
      <c r="D992" t="s">
        <v>5900</v>
      </c>
      <c r="E992" s="10" t="s">
        <v>28</v>
      </c>
      <c r="F992" s="11" t="s">
        <v>5901</v>
      </c>
      <c r="H992" s="17" t="str">
        <f>HYPERLINK("https://www.google.com/maps/?q=46.094708333,-64.783758333", "https://www.google.com/maps/?q=46.094708333,-64.783758333")</f>
        <v>https://www.google.com/maps/?q=46.094708333,-64.783758333</v>
      </c>
    </row>
    <row r="993" spans="1:8" ht="29" x14ac:dyDescent="0.35">
      <c r="A993" t="s">
        <v>5902</v>
      </c>
      <c r="B993" t="s">
        <v>3971</v>
      </c>
      <c r="C993" t="s">
        <v>5903</v>
      </c>
      <c r="D993" t="s">
        <v>3973</v>
      </c>
      <c r="E993" s="10" t="s">
        <v>28</v>
      </c>
      <c r="F993" s="11" t="s">
        <v>5904</v>
      </c>
      <c r="H993" s="17" t="str">
        <f>HYPERLINK("https://www.google.com/maps/?q=45.950472222,-66.6382833329999", "https://www.google.com/maps/?q=45.950472222,-66.6382833329999")</f>
        <v>https://www.google.com/maps/?q=45.950472222,-66.6382833329999</v>
      </c>
    </row>
    <row r="994" spans="1:8" ht="29" x14ac:dyDescent="0.35">
      <c r="A994" t="s">
        <v>5905</v>
      </c>
      <c r="B994" t="s">
        <v>5906</v>
      </c>
      <c r="C994" t="s">
        <v>5907</v>
      </c>
      <c r="D994" t="s">
        <v>5908</v>
      </c>
      <c r="E994" s="10" t="s">
        <v>28</v>
      </c>
      <c r="F994" s="11" t="s">
        <v>4657</v>
      </c>
      <c r="H994" s="17" t="str">
        <f>HYPERLINK("https://www.google.com/maps/?q=45.8812638890001,-66.571316667", "https://www.google.com/maps/?q=45.8812638890001,-66.571316667")</f>
        <v>https://www.google.com/maps/?q=45.8812638890001,-66.571316667</v>
      </c>
    </row>
    <row r="995" spans="1:8" ht="29" x14ac:dyDescent="0.35">
      <c r="A995" t="s">
        <v>5909</v>
      </c>
      <c r="B995" t="s">
        <v>5910</v>
      </c>
      <c r="C995" t="s">
        <v>5911</v>
      </c>
      <c r="D995" t="s">
        <v>5912</v>
      </c>
      <c r="E995" s="10" t="s">
        <v>28</v>
      </c>
      <c r="F995" s="11" t="s">
        <v>5913</v>
      </c>
      <c r="H995" s="17" t="str">
        <f>HYPERLINK("https://www.google.com/maps/?q=46.131147222,-64.7438", "https://www.google.com/maps/?q=46.131147222,-64.7438")</f>
        <v>https://www.google.com/maps/?q=46.131147222,-64.7438</v>
      </c>
    </row>
    <row r="996" spans="1:8" ht="29" x14ac:dyDescent="0.35">
      <c r="A996" t="s">
        <v>5914</v>
      </c>
      <c r="B996" t="s">
        <v>5915</v>
      </c>
      <c r="C996" t="s">
        <v>5916</v>
      </c>
      <c r="D996" t="s">
        <v>5917</v>
      </c>
      <c r="E996" s="10" t="s">
        <v>28</v>
      </c>
      <c r="F996" s="11" t="s">
        <v>5918</v>
      </c>
      <c r="H996" s="17" t="str">
        <f>HYPERLINK("https://www.google.com/maps/?q=45.479980556,-65.631566667", "https://www.google.com/maps/?q=45.479980556,-65.631566667")</f>
        <v>https://www.google.com/maps/?q=45.479980556,-65.631566667</v>
      </c>
    </row>
    <row r="997" spans="1:8" ht="29" x14ac:dyDescent="0.35">
      <c r="A997" t="s">
        <v>5919</v>
      </c>
      <c r="B997" t="s">
        <v>5920</v>
      </c>
      <c r="C997" t="s">
        <v>5921</v>
      </c>
      <c r="D997" t="s">
        <v>5922</v>
      </c>
      <c r="E997" s="10" t="s">
        <v>50</v>
      </c>
      <c r="F997" s="11" t="s">
        <v>5923</v>
      </c>
      <c r="H997" s="17" t="str">
        <f>HYPERLINK("https://www.google.com/maps/?q=47.620838889,-65.6513416669999", "https://www.google.com/maps/?q=47.620838889,-65.6513416669999")</f>
        <v>https://www.google.com/maps/?q=47.620838889,-65.6513416669999</v>
      </c>
    </row>
    <row r="998" spans="1:8" ht="29" x14ac:dyDescent="0.35">
      <c r="A998" t="s">
        <v>5924</v>
      </c>
      <c r="B998" t="s">
        <v>5925</v>
      </c>
      <c r="C998" t="s">
        <v>5926</v>
      </c>
      <c r="D998" t="s">
        <v>5927</v>
      </c>
      <c r="E998" s="10" t="s">
        <v>28</v>
      </c>
      <c r="F998" s="11" t="s">
        <v>5928</v>
      </c>
      <c r="H998" s="17" t="str">
        <f>HYPERLINK("https://www.google.com/maps/?q=47.7934805560001,-64.940427778", "https://www.google.com/maps/?q=47.7934805560001,-64.940427778")</f>
        <v>https://www.google.com/maps/?q=47.7934805560001,-64.940427778</v>
      </c>
    </row>
    <row r="999" spans="1:8" ht="29" x14ac:dyDescent="0.35">
      <c r="A999" t="s">
        <v>5929</v>
      </c>
      <c r="B999" t="s">
        <v>5930</v>
      </c>
      <c r="C999" t="s">
        <v>5931</v>
      </c>
      <c r="D999" t="s">
        <v>5932</v>
      </c>
      <c r="E999" s="10" t="s">
        <v>28</v>
      </c>
      <c r="F999" s="11" t="s">
        <v>5933</v>
      </c>
      <c r="H999" s="17" t="str">
        <f>HYPERLINK("https://www.google.com/maps/?q=45.2749916670001,-66.063733333", "https://www.google.com/maps/?q=45.2749916670001,-66.063733333")</f>
        <v>https://www.google.com/maps/?q=45.2749916670001,-66.063733333</v>
      </c>
    </row>
    <row r="1000" spans="1:8" ht="29" x14ac:dyDescent="0.35">
      <c r="A1000" t="s">
        <v>5934</v>
      </c>
      <c r="B1000" t="s">
        <v>5935</v>
      </c>
      <c r="C1000" t="s">
        <v>5936</v>
      </c>
      <c r="D1000" t="s">
        <v>5937</v>
      </c>
      <c r="E1000" s="10" t="s">
        <v>28</v>
      </c>
      <c r="F1000" s="11" t="s">
        <v>5938</v>
      </c>
      <c r="H1000" s="17" t="str">
        <f>HYPERLINK("https://www.google.com/maps/?q=45.9685666670001,-66.596147222", "https://www.google.com/maps/?q=45.9685666670001,-66.596147222")</f>
        <v>https://www.google.com/maps/?q=45.9685666670001,-66.596147222</v>
      </c>
    </row>
    <row r="1001" spans="1:8" ht="29" x14ac:dyDescent="0.35">
      <c r="A1001" t="s">
        <v>5804</v>
      </c>
      <c r="B1001" t="s">
        <v>5939</v>
      </c>
      <c r="C1001" t="s">
        <v>5806</v>
      </c>
      <c r="D1001" t="s">
        <v>5940</v>
      </c>
      <c r="E1001" s="10" t="s">
        <v>28</v>
      </c>
      <c r="F1001" s="11" t="s">
        <v>5941</v>
      </c>
      <c r="H1001" s="17" t="str">
        <f>HYPERLINK("https://www.google.com/maps/?q=46.087,-64.781688889", "https://www.google.com/maps/?q=46.087,-64.781688889")</f>
        <v>https://www.google.com/maps/?q=46.087,-64.781688889</v>
      </c>
    </row>
    <row r="1002" spans="1:8" ht="29" x14ac:dyDescent="0.35">
      <c r="A1002" t="s">
        <v>5942</v>
      </c>
      <c r="B1002" t="s">
        <v>5943</v>
      </c>
      <c r="C1002" t="s">
        <v>5944</v>
      </c>
      <c r="D1002" t="s">
        <v>5945</v>
      </c>
      <c r="E1002" s="10" t="s">
        <v>195</v>
      </c>
      <c r="F1002" s="11" t="s">
        <v>5946</v>
      </c>
      <c r="H1002" s="17" t="str">
        <f>HYPERLINK("https://www.google.com/maps/?q=45.433897222,-65.9760777779999", "https://www.google.com/maps/?q=45.433897222,-65.9760777779999")</f>
        <v>https://www.google.com/maps/?q=45.433897222,-65.9760777779999</v>
      </c>
    </row>
    <row r="1003" spans="1:8" ht="29" x14ac:dyDescent="0.35">
      <c r="A1003" t="s">
        <v>5947</v>
      </c>
      <c r="B1003" t="s">
        <v>5948</v>
      </c>
      <c r="C1003" t="s">
        <v>5949</v>
      </c>
      <c r="D1003" t="s">
        <v>5950</v>
      </c>
      <c r="E1003" s="10" t="s">
        <v>66</v>
      </c>
      <c r="F1003" s="11" t="s">
        <v>3208</v>
      </c>
      <c r="H1003" s="17" t="str">
        <f>HYPERLINK("https://www.google.com/maps/?q=46.0983277780001,-64.7052805559999", "https://www.google.com/maps/?q=46.0983277780001,-64.7052805559999")</f>
        <v>https://www.google.com/maps/?q=46.0983277780001,-64.7052805559999</v>
      </c>
    </row>
    <row r="1004" spans="1:8" ht="29" x14ac:dyDescent="0.35">
      <c r="A1004" t="s">
        <v>3145</v>
      </c>
      <c r="B1004" t="s">
        <v>5951</v>
      </c>
      <c r="C1004" t="s">
        <v>3147</v>
      </c>
      <c r="D1004" t="s">
        <v>5952</v>
      </c>
      <c r="E1004" s="10" t="s">
        <v>17</v>
      </c>
      <c r="F1004" s="11" t="s">
        <v>3149</v>
      </c>
      <c r="H1004" s="17" t="str">
        <f>HYPERLINK("https://www.google.com/maps/?q=46.572777778,-64.787194444", "https://www.google.com/maps/?q=46.572777778,-64.787194444")</f>
        <v>https://www.google.com/maps/?q=46.572777778,-64.787194444</v>
      </c>
    </row>
    <row r="1005" spans="1:8" ht="29" x14ac:dyDescent="0.35">
      <c r="A1005" t="s">
        <v>5953</v>
      </c>
      <c r="B1005" t="s">
        <v>4742</v>
      </c>
      <c r="C1005" t="s">
        <v>5954</v>
      </c>
      <c r="D1005" t="s">
        <v>4743</v>
      </c>
      <c r="E1005" s="10" t="s">
        <v>17</v>
      </c>
      <c r="F1005" s="11" t="s">
        <v>4138</v>
      </c>
      <c r="H1005" s="17" t="str">
        <f>HYPERLINK("https://www.google.com/maps/?q=46.569372222,-66.130986111", "https://www.google.com/maps/?q=46.569372222,-66.130986111")</f>
        <v>https://www.google.com/maps/?q=46.569372222,-66.130986111</v>
      </c>
    </row>
    <row r="1006" spans="1:8" ht="29" x14ac:dyDescent="0.35">
      <c r="A1006" t="s">
        <v>5955</v>
      </c>
      <c r="B1006" t="s">
        <v>5956</v>
      </c>
      <c r="C1006" t="s">
        <v>5957</v>
      </c>
      <c r="D1006" t="s">
        <v>5958</v>
      </c>
      <c r="E1006" s="10" t="s">
        <v>66</v>
      </c>
      <c r="F1006" s="11" t="s">
        <v>2672</v>
      </c>
      <c r="H1006" s="17" t="str">
        <f>HYPERLINK("https://www.google.com/maps/?q=46.142486111,-64.8374527779999", "https://www.google.com/maps/?q=46.142486111,-64.8374527779999")</f>
        <v>https://www.google.com/maps/?q=46.142486111,-64.8374527779999</v>
      </c>
    </row>
    <row r="1007" spans="1:8" ht="29" x14ac:dyDescent="0.35">
      <c r="A1007" t="s">
        <v>5959</v>
      </c>
      <c r="B1007" t="s">
        <v>5960</v>
      </c>
      <c r="C1007" t="s">
        <v>5961</v>
      </c>
      <c r="D1007" t="s">
        <v>5962</v>
      </c>
      <c r="E1007" s="10" t="s">
        <v>1109</v>
      </c>
      <c r="F1007" s="11" t="s">
        <v>5963</v>
      </c>
      <c r="H1007" s="17" t="str">
        <f>HYPERLINK("https://www.google.com/maps/?q=45.2572222220001,-66.115833333", "https://www.google.com/maps/?q=45.2572222220001,-66.115833333")</f>
        <v>https://www.google.com/maps/?q=45.2572222220001,-66.115833333</v>
      </c>
    </row>
    <row r="1008" spans="1:8" ht="29" x14ac:dyDescent="0.35">
      <c r="A1008" t="s">
        <v>5964</v>
      </c>
      <c r="B1008" t="s">
        <v>5965</v>
      </c>
      <c r="C1008" t="s">
        <v>5966</v>
      </c>
      <c r="D1008" t="s">
        <v>5967</v>
      </c>
      <c r="E1008" s="10" t="s">
        <v>28</v>
      </c>
      <c r="F1008" s="11" t="s">
        <v>5968</v>
      </c>
      <c r="H1008" s="17" t="str">
        <f>HYPERLINK("https://www.google.com/maps/?q=46.1308777780001,-64.770622222", "https://www.google.com/maps/?q=46.1308777780001,-64.770622222")</f>
        <v>https://www.google.com/maps/?q=46.1308777780001,-64.770622222</v>
      </c>
    </row>
    <row r="1009" spans="1:8" ht="29" x14ac:dyDescent="0.35">
      <c r="A1009" t="s">
        <v>5969</v>
      </c>
      <c r="B1009" t="s">
        <v>5970</v>
      </c>
      <c r="C1009" t="s">
        <v>5971</v>
      </c>
      <c r="D1009" t="s">
        <v>5972</v>
      </c>
      <c r="E1009" s="10" t="s">
        <v>28</v>
      </c>
      <c r="F1009" s="11" t="s">
        <v>5913</v>
      </c>
      <c r="H1009" s="17" t="str">
        <f>HYPERLINK("https://www.google.com/maps/?q=46.129811111,-64.733975", "https://www.google.com/maps/?q=46.129811111,-64.733975")</f>
        <v>https://www.google.com/maps/?q=46.129811111,-64.733975</v>
      </c>
    </row>
    <row r="1010" spans="1:8" ht="29" x14ac:dyDescent="0.35">
      <c r="A1010" t="s">
        <v>5973</v>
      </c>
      <c r="B1010" t="s">
        <v>5974</v>
      </c>
      <c r="C1010" t="s">
        <v>5975</v>
      </c>
      <c r="D1010" t="s">
        <v>5976</v>
      </c>
      <c r="E1010" s="10" t="s">
        <v>28</v>
      </c>
      <c r="F1010" s="11" t="s">
        <v>1961</v>
      </c>
      <c r="H1010" s="17" t="str">
        <f>HYPERLINK("https://www.google.com/maps/?q=46.001594444,-66.766319444", "https://www.google.com/maps/?q=46.001594444,-66.766319444")</f>
        <v>https://www.google.com/maps/?q=46.001594444,-66.766319444</v>
      </c>
    </row>
    <row r="1011" spans="1:8" ht="29" x14ac:dyDescent="0.35">
      <c r="A1011" t="s">
        <v>5977</v>
      </c>
      <c r="B1011" t="s">
        <v>5978</v>
      </c>
      <c r="C1011" t="s">
        <v>5979</v>
      </c>
      <c r="D1011" t="s">
        <v>5980</v>
      </c>
      <c r="E1011" s="10" t="s">
        <v>28</v>
      </c>
      <c r="F1011" s="11" t="s">
        <v>5981</v>
      </c>
      <c r="H1011" s="17" t="str">
        <f>HYPERLINK("https://www.google.com/maps/?q=46.2191,-64.549197222", "https://www.google.com/maps/?q=46.2191,-64.549197222")</f>
        <v>https://www.google.com/maps/?q=46.2191,-64.549197222</v>
      </c>
    </row>
    <row r="1012" spans="1:8" ht="29" x14ac:dyDescent="0.35">
      <c r="A1012" t="s">
        <v>5982</v>
      </c>
      <c r="B1012" t="s">
        <v>5983</v>
      </c>
      <c r="C1012" t="s">
        <v>5984</v>
      </c>
      <c r="D1012" t="s">
        <v>5985</v>
      </c>
      <c r="E1012" s="10" t="s">
        <v>1109</v>
      </c>
      <c r="F1012" s="11" t="s">
        <v>5986</v>
      </c>
      <c r="H1012" s="17" t="str">
        <f>HYPERLINK("https://www.google.com/maps/?q=47.3575000000001,-68.2483333329999", "https://www.google.com/maps/?q=47.3575000000001,-68.2483333329999")</f>
        <v>https://www.google.com/maps/?q=47.3575000000001,-68.2483333329999</v>
      </c>
    </row>
    <row r="1013" spans="1:8" ht="29" x14ac:dyDescent="0.35">
      <c r="A1013" t="s">
        <v>5987</v>
      </c>
      <c r="B1013" t="s">
        <v>5988</v>
      </c>
      <c r="C1013" t="s">
        <v>5989</v>
      </c>
      <c r="D1013" t="s">
        <v>5990</v>
      </c>
      <c r="E1013" s="10" t="s">
        <v>1109</v>
      </c>
      <c r="F1013" s="11" t="s">
        <v>5991</v>
      </c>
      <c r="H1013" s="17" t="str">
        <f>HYPERLINK("https://www.google.com/maps/?q=46.8500000000001,-67.315333333", "https://www.google.com/maps/?q=46.8500000000001,-67.315333333")</f>
        <v>https://www.google.com/maps/?q=46.8500000000001,-67.315333333</v>
      </c>
    </row>
    <row r="1014" spans="1:8" ht="29" x14ac:dyDescent="0.35">
      <c r="A1014" t="s">
        <v>5992</v>
      </c>
      <c r="B1014" t="s">
        <v>5993</v>
      </c>
      <c r="C1014" t="s">
        <v>5994</v>
      </c>
      <c r="D1014" t="s">
        <v>5995</v>
      </c>
      <c r="E1014" s="10" t="s">
        <v>1109</v>
      </c>
      <c r="F1014" s="11" t="s">
        <v>5996</v>
      </c>
      <c r="H1014" s="17" t="str">
        <f>HYPERLINK("https://www.google.com/maps/?q=45.6100000000001,-66.5527777779999", "https://www.google.com/maps/?q=45.6100000000001,-66.5527777779999")</f>
        <v>https://www.google.com/maps/?q=45.6100000000001,-66.5527777779999</v>
      </c>
    </row>
    <row r="1015" spans="1:8" ht="29" x14ac:dyDescent="0.35">
      <c r="A1015" t="s">
        <v>5997</v>
      </c>
      <c r="B1015" t="s">
        <v>5998</v>
      </c>
      <c r="C1015" t="s">
        <v>5999</v>
      </c>
      <c r="D1015" t="s">
        <v>6000</v>
      </c>
      <c r="E1015" s="10" t="s">
        <v>28</v>
      </c>
      <c r="F1015" s="11" t="s">
        <v>6001</v>
      </c>
      <c r="H1015" s="17" t="str">
        <f>HYPERLINK("https://www.google.com/maps/?q=46.0941250000001,-64.746447222", "https://www.google.com/maps/?q=46.0941250000001,-64.746447222")</f>
        <v>https://www.google.com/maps/?q=46.0941250000001,-64.746447222</v>
      </c>
    </row>
    <row r="1016" spans="1:8" ht="29" x14ac:dyDescent="0.35">
      <c r="A1016" t="s">
        <v>6002</v>
      </c>
      <c r="B1016" t="s">
        <v>6003</v>
      </c>
      <c r="C1016" t="s">
        <v>6004</v>
      </c>
      <c r="D1016" t="s">
        <v>6005</v>
      </c>
      <c r="E1016" s="10" t="s">
        <v>28</v>
      </c>
      <c r="F1016" s="11" t="s">
        <v>6006</v>
      </c>
      <c r="H1016" s="17" t="str">
        <f>HYPERLINK("https://www.google.com/maps/?q=47.992838889,-66.723144444", "https://www.google.com/maps/?q=47.992838889,-66.723144444")</f>
        <v>https://www.google.com/maps/?q=47.992838889,-66.723144444</v>
      </c>
    </row>
    <row r="1017" spans="1:8" ht="29" x14ac:dyDescent="0.35">
      <c r="A1017" t="s">
        <v>6007</v>
      </c>
      <c r="B1017" t="s">
        <v>6008</v>
      </c>
      <c r="C1017" t="s">
        <v>6009</v>
      </c>
      <c r="D1017" t="s">
        <v>6010</v>
      </c>
      <c r="E1017" s="10" t="s">
        <v>28</v>
      </c>
      <c r="F1017" s="11" t="s">
        <v>6011</v>
      </c>
      <c r="H1017" s="17" t="str">
        <f>HYPERLINK("https://www.google.com/maps/?q=45.9353583330001,-66.664330556", "https://www.google.com/maps/?q=45.9353583330001,-66.664330556")</f>
        <v>https://www.google.com/maps/?q=45.9353583330001,-66.664330556</v>
      </c>
    </row>
    <row r="1018" spans="1:8" ht="29" x14ac:dyDescent="0.35">
      <c r="A1018" t="s">
        <v>6012</v>
      </c>
      <c r="B1018" t="s">
        <v>6013</v>
      </c>
      <c r="C1018" t="s">
        <v>6014</v>
      </c>
      <c r="D1018" t="s">
        <v>6015</v>
      </c>
      <c r="E1018" s="10" t="s">
        <v>28</v>
      </c>
      <c r="F1018" s="11" t="s">
        <v>6016</v>
      </c>
      <c r="H1018" s="17" t="str">
        <f>HYPERLINK("https://www.google.com/maps/?q=47.6440638890001,-65.749133333", "https://www.google.com/maps/?q=47.6440638890001,-65.749133333")</f>
        <v>https://www.google.com/maps/?q=47.6440638890001,-65.749133333</v>
      </c>
    </row>
    <row r="1019" spans="1:8" ht="29" x14ac:dyDescent="0.35">
      <c r="A1019" t="s">
        <v>6017</v>
      </c>
      <c r="B1019" t="s">
        <v>6018</v>
      </c>
      <c r="C1019" t="s">
        <v>6019</v>
      </c>
      <c r="D1019" t="s">
        <v>6020</v>
      </c>
      <c r="E1019" s="10" t="s">
        <v>28</v>
      </c>
      <c r="F1019" s="11" t="s">
        <v>6021</v>
      </c>
      <c r="H1019" s="17" t="str">
        <f>HYPERLINK("https://www.google.com/maps/?q=47.993683333,-66.699480556", "https://www.google.com/maps/?q=47.993683333,-66.699480556")</f>
        <v>https://www.google.com/maps/?q=47.993683333,-66.699480556</v>
      </c>
    </row>
    <row r="1020" spans="1:8" ht="29" x14ac:dyDescent="0.35">
      <c r="A1020" t="s">
        <v>6022</v>
      </c>
      <c r="B1020" t="s">
        <v>6023</v>
      </c>
      <c r="C1020" t="s">
        <v>6024</v>
      </c>
      <c r="D1020" t="s">
        <v>6025</v>
      </c>
      <c r="E1020" s="10" t="s">
        <v>28</v>
      </c>
      <c r="F1020" s="11" t="s">
        <v>6026</v>
      </c>
      <c r="H1020" s="17" t="str">
        <f>HYPERLINK("https://www.google.com/maps/?q=46.0951555560001,-64.756302778", "https://www.google.com/maps/?q=46.0951555560001,-64.756302778")</f>
        <v>https://www.google.com/maps/?q=46.0951555560001,-64.756302778</v>
      </c>
    </row>
    <row r="1021" spans="1:8" ht="29" x14ac:dyDescent="0.35">
      <c r="A1021" t="s">
        <v>6027</v>
      </c>
      <c r="B1021" t="s">
        <v>6028</v>
      </c>
      <c r="C1021" t="s">
        <v>6029</v>
      </c>
      <c r="D1021" t="s">
        <v>6030</v>
      </c>
      <c r="E1021" s="10" t="s">
        <v>28</v>
      </c>
      <c r="F1021" s="11" t="s">
        <v>6031</v>
      </c>
      <c r="H1021" s="17" t="str">
        <f>HYPERLINK("https://www.google.com/maps/?q=46.0939388890001,-64.756088889", "https://www.google.com/maps/?q=46.0939388890001,-64.756088889")</f>
        <v>https://www.google.com/maps/?q=46.0939388890001,-64.756088889</v>
      </c>
    </row>
    <row r="1022" spans="1:8" ht="29" x14ac:dyDescent="0.35">
      <c r="A1022" t="s">
        <v>6032</v>
      </c>
      <c r="B1022" t="s">
        <v>6033</v>
      </c>
      <c r="C1022" t="s">
        <v>6034</v>
      </c>
      <c r="D1022" t="s">
        <v>6035</v>
      </c>
      <c r="E1022" s="10" t="s">
        <v>28</v>
      </c>
      <c r="F1022" s="11" t="s">
        <v>6036</v>
      </c>
      <c r="H1022" s="17" t="str">
        <f>HYPERLINK("https://www.google.com/maps/?q=46.096641667,-64.756858333", "https://www.google.com/maps/?q=46.096641667,-64.756858333")</f>
        <v>https://www.google.com/maps/?q=46.096641667,-64.756858333</v>
      </c>
    </row>
    <row r="1023" spans="1:8" ht="29" x14ac:dyDescent="0.35">
      <c r="A1023" t="s">
        <v>6037</v>
      </c>
      <c r="B1023" t="s">
        <v>6038</v>
      </c>
      <c r="C1023" t="s">
        <v>6039</v>
      </c>
      <c r="D1023" t="s">
        <v>6040</v>
      </c>
      <c r="E1023" s="10" t="s">
        <v>195</v>
      </c>
      <c r="F1023" s="11" t="s">
        <v>6041</v>
      </c>
      <c r="H1023" s="17" t="str">
        <f>HYPERLINK("https://www.google.com/maps/?q=46.096958333,-64.786227778", "https://www.google.com/maps/?q=46.096958333,-64.786227778")</f>
        <v>https://www.google.com/maps/?q=46.096958333,-64.786227778</v>
      </c>
    </row>
    <row r="1024" spans="1:8" ht="29" x14ac:dyDescent="0.35">
      <c r="A1024" t="s">
        <v>6042</v>
      </c>
      <c r="B1024" t="s">
        <v>6043</v>
      </c>
      <c r="C1024" t="s">
        <v>6044</v>
      </c>
      <c r="D1024" t="s">
        <v>6045</v>
      </c>
      <c r="E1024" s="10" t="s">
        <v>195</v>
      </c>
      <c r="F1024" s="11" t="s">
        <v>6046</v>
      </c>
      <c r="H1024" s="17" t="str">
        <f>HYPERLINK("https://www.google.com/maps/?q=45.2140388890001,-66.9018027779999", "https://www.google.com/maps/?q=45.2140388890001,-66.9018027779999")</f>
        <v>https://www.google.com/maps/?q=45.2140388890001,-66.9018027779999</v>
      </c>
    </row>
    <row r="1025" spans="1:8" ht="29" x14ac:dyDescent="0.35">
      <c r="A1025" t="s">
        <v>6047</v>
      </c>
      <c r="B1025" t="s">
        <v>6048</v>
      </c>
      <c r="C1025" t="s">
        <v>6049</v>
      </c>
      <c r="D1025" t="s">
        <v>6050</v>
      </c>
      <c r="E1025" s="10" t="s">
        <v>50</v>
      </c>
      <c r="F1025" s="11" t="s">
        <v>3448</v>
      </c>
      <c r="H1025" s="17" t="str">
        <f>HYPERLINK("https://www.google.com/maps/?q=46.655241667,-65.3699583329999", "https://www.google.com/maps/?q=46.655241667,-65.3699583329999")</f>
        <v>https://www.google.com/maps/?q=46.655241667,-65.3699583329999</v>
      </c>
    </row>
    <row r="1026" spans="1:8" ht="29" x14ac:dyDescent="0.35">
      <c r="A1026" t="s">
        <v>6051</v>
      </c>
      <c r="B1026" t="s">
        <v>6052</v>
      </c>
      <c r="C1026" t="s">
        <v>6053</v>
      </c>
      <c r="D1026" t="s">
        <v>6054</v>
      </c>
      <c r="E1026" s="10" t="s">
        <v>66</v>
      </c>
      <c r="F1026" s="11" t="s">
        <v>1252</v>
      </c>
      <c r="H1026" s="17" t="str">
        <f>HYPERLINK("https://www.google.com/maps/?q=45.9084388890001,-64.385619444", "https://www.google.com/maps/?q=45.9084388890001,-64.385619444")</f>
        <v>https://www.google.com/maps/?q=45.9084388890001,-64.385619444</v>
      </c>
    </row>
    <row r="1027" spans="1:8" ht="29" x14ac:dyDescent="0.35">
      <c r="A1027" t="s">
        <v>6055</v>
      </c>
      <c r="B1027" t="s">
        <v>6056</v>
      </c>
      <c r="C1027" t="s">
        <v>6057</v>
      </c>
      <c r="D1027" t="s">
        <v>6058</v>
      </c>
      <c r="E1027" s="10" t="s">
        <v>66</v>
      </c>
      <c r="F1027" s="11" t="s">
        <v>6059</v>
      </c>
      <c r="H1027" s="17" t="str">
        <f>HYPERLINK("https://www.google.com/maps/?q=45.637722222,-65.728761111", "https://www.google.com/maps/?q=45.637722222,-65.728761111")</f>
        <v>https://www.google.com/maps/?q=45.637722222,-65.728761111</v>
      </c>
    </row>
    <row r="1028" spans="1:8" ht="29" x14ac:dyDescent="0.35">
      <c r="A1028" t="s">
        <v>6060</v>
      </c>
      <c r="B1028" t="s">
        <v>6061</v>
      </c>
      <c r="C1028" t="s">
        <v>6062</v>
      </c>
      <c r="D1028" t="s">
        <v>6063</v>
      </c>
      <c r="E1028" s="10" t="s">
        <v>28</v>
      </c>
      <c r="F1028" s="11" t="s">
        <v>6064</v>
      </c>
      <c r="H1028" s="17" t="str">
        <f>HYPERLINK("https://www.google.com/maps/?q=45.333322222,-65.907066667", "https://www.google.com/maps/?q=45.333322222,-65.907066667")</f>
        <v>https://www.google.com/maps/?q=45.333322222,-65.907066667</v>
      </c>
    </row>
    <row r="1029" spans="1:8" ht="29" x14ac:dyDescent="0.35">
      <c r="A1029" t="s">
        <v>6065</v>
      </c>
      <c r="B1029" t="s">
        <v>6066</v>
      </c>
      <c r="C1029" t="s">
        <v>6067</v>
      </c>
      <c r="D1029" t="s">
        <v>6068</v>
      </c>
      <c r="E1029" s="10" t="s">
        <v>50</v>
      </c>
      <c r="F1029" s="11" t="s">
        <v>5670</v>
      </c>
      <c r="H1029" s="17" t="str">
        <f>HYPERLINK("https://www.google.com/maps/?q=47.462727778,-65.483944444", "https://www.google.com/maps/?q=47.462727778,-65.483944444")</f>
        <v>https://www.google.com/maps/?q=47.462727778,-65.483944444</v>
      </c>
    </row>
    <row r="1030" spans="1:8" ht="29" x14ac:dyDescent="0.35">
      <c r="A1030" t="s">
        <v>6069</v>
      </c>
      <c r="B1030" t="s">
        <v>6070</v>
      </c>
      <c r="C1030" t="s">
        <v>6071</v>
      </c>
      <c r="D1030" t="s">
        <v>6072</v>
      </c>
      <c r="E1030" s="10" t="s">
        <v>66</v>
      </c>
      <c r="F1030" s="11" t="s">
        <v>2657</v>
      </c>
      <c r="H1030" s="17" t="str">
        <f>HYPERLINK("https://www.google.com/maps/?q=45.906177778,-66.701938889", "https://www.google.com/maps/?q=45.906177778,-66.701938889")</f>
        <v>https://www.google.com/maps/?q=45.906177778,-66.701938889</v>
      </c>
    </row>
    <row r="1031" spans="1:8" ht="29" x14ac:dyDescent="0.35">
      <c r="A1031" t="s">
        <v>6073</v>
      </c>
      <c r="B1031" t="s">
        <v>6074</v>
      </c>
      <c r="C1031" t="s">
        <v>6075</v>
      </c>
      <c r="D1031" t="s">
        <v>6076</v>
      </c>
      <c r="E1031" s="10" t="s">
        <v>1109</v>
      </c>
      <c r="F1031" s="11" t="s">
        <v>6077</v>
      </c>
      <c r="H1031" s="17" t="str">
        <f>HYPERLINK("https://www.google.com/maps/?q=47.3019444440001,-68.511388889", "https://www.google.com/maps/?q=47.3019444440001,-68.511388889")</f>
        <v>https://www.google.com/maps/?q=47.3019444440001,-68.511388889</v>
      </c>
    </row>
    <row r="1032" spans="1:8" ht="29" x14ac:dyDescent="0.35">
      <c r="A1032" t="s">
        <v>6078</v>
      </c>
      <c r="B1032" t="s">
        <v>6079</v>
      </c>
      <c r="C1032" t="s">
        <v>6080</v>
      </c>
      <c r="D1032" t="s">
        <v>6081</v>
      </c>
      <c r="E1032" s="10" t="s">
        <v>1109</v>
      </c>
      <c r="F1032" s="11" t="s">
        <v>3671</v>
      </c>
      <c r="H1032" s="17" t="str">
        <f>HYPERLINK("https://www.google.com/maps/?q=46.3975,-65.1802777779999", "https://www.google.com/maps/?q=46.3975,-65.1802777779999")</f>
        <v>https://www.google.com/maps/?q=46.3975,-65.1802777779999</v>
      </c>
    </row>
    <row r="1033" spans="1:8" ht="29" x14ac:dyDescent="0.35">
      <c r="A1033" t="s">
        <v>6082</v>
      </c>
      <c r="B1033" t="s">
        <v>6083</v>
      </c>
      <c r="C1033" t="s">
        <v>6084</v>
      </c>
      <c r="D1033" t="s">
        <v>6085</v>
      </c>
      <c r="E1033" s="10" t="s">
        <v>28</v>
      </c>
      <c r="F1033" s="11" t="s">
        <v>3639</v>
      </c>
      <c r="H1033" s="17" t="str">
        <f>HYPERLINK("https://www.google.com/maps/?q=45.995047222,-66.7654527779999", "https://www.google.com/maps/?q=45.995047222,-66.7654527779999")</f>
        <v>https://www.google.com/maps/?q=45.995047222,-66.7654527779999</v>
      </c>
    </row>
    <row r="1034" spans="1:8" ht="29" x14ac:dyDescent="0.35">
      <c r="A1034" t="s">
        <v>6086</v>
      </c>
      <c r="B1034" t="s">
        <v>6087</v>
      </c>
      <c r="C1034" t="s">
        <v>6088</v>
      </c>
      <c r="D1034" t="s">
        <v>6089</v>
      </c>
      <c r="E1034" s="10" t="s">
        <v>1109</v>
      </c>
      <c r="F1034" s="11" t="s">
        <v>6090</v>
      </c>
      <c r="H1034" s="17" t="str">
        <f>HYPERLINK("https://www.google.com/maps/?q=46.182944444,-65.157166667", "https://www.google.com/maps/?q=46.182944444,-65.157166667")</f>
        <v>https://www.google.com/maps/?q=46.182944444,-65.157166667</v>
      </c>
    </row>
    <row r="1035" spans="1:8" ht="29" x14ac:dyDescent="0.35">
      <c r="A1035" t="s">
        <v>6091</v>
      </c>
      <c r="B1035" t="s">
        <v>6092</v>
      </c>
      <c r="C1035" t="s">
        <v>6093</v>
      </c>
      <c r="D1035" t="s">
        <v>6094</v>
      </c>
      <c r="E1035" s="10" t="s">
        <v>28</v>
      </c>
      <c r="F1035" s="11" t="s">
        <v>5309</v>
      </c>
      <c r="H1035" s="17" t="str">
        <f>HYPERLINK("https://www.google.com/maps/?q=46.0271638890001,-66.692216667", "https://www.google.com/maps/?q=46.0271638890001,-66.692216667")</f>
        <v>https://www.google.com/maps/?q=46.0271638890001,-66.692216667</v>
      </c>
    </row>
    <row r="1036" spans="1:8" ht="29" x14ac:dyDescent="0.35">
      <c r="A1036" t="s">
        <v>6095</v>
      </c>
      <c r="B1036" t="s">
        <v>6096</v>
      </c>
      <c r="C1036" t="s">
        <v>6097</v>
      </c>
      <c r="D1036" t="s">
        <v>6098</v>
      </c>
      <c r="E1036" s="10" t="s">
        <v>17</v>
      </c>
      <c r="F1036" s="11" t="s">
        <v>5121</v>
      </c>
      <c r="H1036" s="17" t="str">
        <f>HYPERLINK("https://www.google.com/maps/?q=46.91175,-67.743333333", "https://www.google.com/maps/?q=46.91175,-67.743333333")</f>
        <v>https://www.google.com/maps/?q=46.91175,-67.743333333</v>
      </c>
    </row>
    <row r="1037" spans="1:8" ht="29" x14ac:dyDescent="0.35">
      <c r="A1037" t="s">
        <v>6099</v>
      </c>
      <c r="B1037" t="s">
        <v>6100</v>
      </c>
      <c r="C1037" t="s">
        <v>6101</v>
      </c>
      <c r="D1037" t="s">
        <v>6102</v>
      </c>
      <c r="E1037" s="10" t="s">
        <v>50</v>
      </c>
      <c r="F1037" s="11" t="s">
        <v>2348</v>
      </c>
      <c r="H1037" s="17" t="str">
        <f>HYPERLINK("https://www.google.com/maps/?q=45.197725,-67.12875", "https://www.google.com/maps/?q=45.197725,-67.12875")</f>
        <v>https://www.google.com/maps/?q=45.197725,-67.12875</v>
      </c>
    </row>
    <row r="1038" spans="1:8" ht="29" x14ac:dyDescent="0.35">
      <c r="A1038" t="s">
        <v>6103</v>
      </c>
      <c r="B1038" t="s">
        <v>6104</v>
      </c>
      <c r="C1038" t="s">
        <v>6105</v>
      </c>
      <c r="D1038" t="s">
        <v>6106</v>
      </c>
      <c r="E1038" s="10" t="s">
        <v>28</v>
      </c>
      <c r="F1038" s="11" t="s">
        <v>6107</v>
      </c>
      <c r="H1038" s="17" t="str">
        <f>HYPERLINK("https://www.google.com/maps/?q=47.353797222,-68.218016667", "https://www.google.com/maps/?q=47.353797222,-68.218016667")</f>
        <v>https://www.google.com/maps/?q=47.353797222,-68.218016667</v>
      </c>
    </row>
    <row r="1039" spans="1:8" ht="29" x14ac:dyDescent="0.35">
      <c r="A1039" t="s">
        <v>6108</v>
      </c>
      <c r="B1039" t="s">
        <v>6109</v>
      </c>
      <c r="C1039" t="s">
        <v>6110</v>
      </c>
      <c r="D1039" t="s">
        <v>6111</v>
      </c>
      <c r="E1039" s="10" t="s">
        <v>28</v>
      </c>
      <c r="F1039" s="11" t="s">
        <v>6112</v>
      </c>
      <c r="H1039" s="17" t="str">
        <f>HYPERLINK("https://www.google.com/maps/?q=46.2197972220001,-64.5398999999999", "https://www.google.com/maps/?q=46.2197972220001,-64.5398999999999")</f>
        <v>https://www.google.com/maps/?q=46.2197972220001,-64.5398999999999</v>
      </c>
    </row>
    <row r="1040" spans="1:8" ht="29" x14ac:dyDescent="0.35">
      <c r="A1040" t="s">
        <v>6113</v>
      </c>
      <c r="B1040" t="s">
        <v>6114</v>
      </c>
      <c r="C1040" t="s">
        <v>6115</v>
      </c>
      <c r="D1040" t="s">
        <v>6116</v>
      </c>
      <c r="E1040" s="10" t="s">
        <v>28</v>
      </c>
      <c r="F1040" s="11" t="s">
        <v>3054</v>
      </c>
      <c r="G1040" s="17"/>
      <c r="H1040" s="17" t="str">
        <f>HYPERLINK("https://www.google.com/maps/?q=46.0991916670001,-64.7438444439999", "https://www.google.com/maps/?q=46.0991916670001,-64.7438444439999")</f>
        <v>https://www.google.com/maps/?q=46.0991916670001,-64.7438444439999</v>
      </c>
    </row>
    <row r="1041" spans="1:8" ht="29" x14ac:dyDescent="0.35">
      <c r="A1041" t="s">
        <v>6117</v>
      </c>
      <c r="B1041" t="s">
        <v>6118</v>
      </c>
      <c r="C1041" t="s">
        <v>6119</v>
      </c>
      <c r="D1041" t="s">
        <v>6120</v>
      </c>
      <c r="E1041" s="10" t="s">
        <v>28</v>
      </c>
      <c r="F1041" s="11" t="s">
        <v>6121</v>
      </c>
      <c r="H1041" s="17" t="str">
        <f>HYPERLINK("https://www.google.com/maps/?q=47.699311111,-65.702916667", "https://www.google.com/maps/?q=47.699311111,-65.702916667")</f>
        <v>https://www.google.com/maps/?q=47.699311111,-65.702916667</v>
      </c>
    </row>
    <row r="1042" spans="1:8" ht="29" x14ac:dyDescent="0.35">
      <c r="A1042" t="s">
        <v>6122</v>
      </c>
      <c r="B1042" t="s">
        <v>6123</v>
      </c>
      <c r="C1042" t="s">
        <v>6124</v>
      </c>
      <c r="D1042" t="s">
        <v>6125</v>
      </c>
      <c r="E1042" s="10" t="s">
        <v>28</v>
      </c>
      <c r="F1042" s="11" t="s">
        <v>6126</v>
      </c>
      <c r="H1042" s="17" t="str">
        <f>HYPERLINK("https://www.google.com/maps/?q=47.7920750000001,-64.946327778", "https://www.google.com/maps/?q=47.7920750000001,-64.946327778")</f>
        <v>https://www.google.com/maps/?q=47.7920750000001,-64.946327778</v>
      </c>
    </row>
    <row r="1043" spans="1:8" ht="29" x14ac:dyDescent="0.35">
      <c r="A1043" t="s">
        <v>6127</v>
      </c>
      <c r="B1043" t="s">
        <v>6128</v>
      </c>
      <c r="C1043" t="s">
        <v>6129</v>
      </c>
      <c r="D1043" t="s">
        <v>6130</v>
      </c>
      <c r="E1043" s="10" t="s">
        <v>28</v>
      </c>
      <c r="F1043" s="11" t="s">
        <v>6131</v>
      </c>
      <c r="H1043" s="17" t="str">
        <f>HYPERLINK("https://www.google.com/maps/?q=47.0322416670001,-65.4901305559999", "https://www.google.com/maps/?q=47.0322416670001,-65.4901305559999")</f>
        <v>https://www.google.com/maps/?q=47.0322416670001,-65.4901305559999</v>
      </c>
    </row>
    <row r="1044" spans="1:8" ht="29" x14ac:dyDescent="0.35">
      <c r="A1044" t="s">
        <v>6132</v>
      </c>
      <c r="B1044" t="s">
        <v>6133</v>
      </c>
      <c r="C1044" t="s">
        <v>6134</v>
      </c>
      <c r="D1044" t="s">
        <v>6135</v>
      </c>
      <c r="E1044" s="10" t="s">
        <v>28</v>
      </c>
      <c r="F1044" s="11" t="s">
        <v>6136</v>
      </c>
      <c r="H1044" s="17" t="str">
        <f>HYPERLINK("https://www.google.com/maps/?q=45.2757222220001,-66.054730556", "https://www.google.com/maps/?q=45.2757222220001,-66.054730556")</f>
        <v>https://www.google.com/maps/?q=45.2757222220001,-66.054730556</v>
      </c>
    </row>
    <row r="1045" spans="1:8" ht="29" x14ac:dyDescent="0.35">
      <c r="A1045" t="s">
        <v>6137</v>
      </c>
      <c r="B1045" t="s">
        <v>6138</v>
      </c>
      <c r="C1045" t="s">
        <v>6139</v>
      </c>
      <c r="D1045" t="s">
        <v>6140</v>
      </c>
      <c r="E1045" s="10" t="s">
        <v>28</v>
      </c>
      <c r="F1045" s="11" t="s">
        <v>5079</v>
      </c>
      <c r="H1045" s="17" t="str">
        <f>HYPERLINK("https://www.google.com/maps/?q=45.5825444440001,-65.794791667", "https://www.google.com/maps/?q=45.5825444440001,-65.794791667")</f>
        <v>https://www.google.com/maps/?q=45.5825444440001,-65.794791667</v>
      </c>
    </row>
    <row r="1046" spans="1:8" ht="29" x14ac:dyDescent="0.35">
      <c r="A1046" t="s">
        <v>6141</v>
      </c>
      <c r="B1046" t="s">
        <v>6142</v>
      </c>
      <c r="C1046" t="s">
        <v>6143</v>
      </c>
      <c r="D1046" t="s">
        <v>6144</v>
      </c>
      <c r="E1046" s="10" t="s">
        <v>28</v>
      </c>
      <c r="F1046" s="11" t="s">
        <v>6145</v>
      </c>
      <c r="H1046" s="17" t="str">
        <f>HYPERLINK("https://www.google.com/maps/?q=45.9725361110001,-66.6321305559999", "https://www.google.com/maps/?q=45.9725361110001,-66.6321305559999")</f>
        <v>https://www.google.com/maps/?q=45.9725361110001,-66.6321305559999</v>
      </c>
    </row>
    <row r="1047" spans="1:8" ht="29" x14ac:dyDescent="0.35">
      <c r="A1047" t="s">
        <v>6146</v>
      </c>
      <c r="B1047" t="s">
        <v>6147</v>
      </c>
      <c r="C1047" t="s">
        <v>6148</v>
      </c>
      <c r="D1047" t="s">
        <v>6149</v>
      </c>
      <c r="E1047" s="10" t="s">
        <v>28</v>
      </c>
      <c r="F1047" s="11" t="s">
        <v>6150</v>
      </c>
      <c r="H1047" s="17" t="str">
        <f>HYPERLINK("https://www.google.com/maps/?q=47.640525,-65.732063889", "https://www.google.com/maps/?q=47.640525,-65.732063889")</f>
        <v>https://www.google.com/maps/?q=47.640525,-65.732063889</v>
      </c>
    </row>
    <row r="1048" spans="1:8" ht="29" x14ac:dyDescent="0.35">
      <c r="A1048" t="s">
        <v>6151</v>
      </c>
      <c r="B1048" t="s">
        <v>6152</v>
      </c>
      <c r="C1048" t="s">
        <v>6153</v>
      </c>
      <c r="D1048" t="s">
        <v>6154</v>
      </c>
      <c r="E1048" s="10" t="s">
        <v>50</v>
      </c>
      <c r="F1048" s="11" t="s">
        <v>6155</v>
      </c>
      <c r="H1048" s="17" t="str">
        <f>HYPERLINK("https://www.google.com/maps/?q=46.962355556,-67.6197", "https://www.google.com/maps/?q=46.962355556,-67.6197")</f>
        <v>https://www.google.com/maps/?q=46.962355556,-67.6197</v>
      </c>
    </row>
    <row r="1049" spans="1:8" ht="29" x14ac:dyDescent="0.35">
      <c r="A1049" t="s">
        <v>6156</v>
      </c>
      <c r="B1049" t="s">
        <v>6157</v>
      </c>
      <c r="C1049" t="s">
        <v>6158</v>
      </c>
      <c r="D1049" t="s">
        <v>6159</v>
      </c>
      <c r="E1049" s="10" t="s">
        <v>66</v>
      </c>
      <c r="F1049" s="11" t="s">
        <v>2006</v>
      </c>
      <c r="H1049" s="17" t="str">
        <f>HYPERLINK("https://www.google.com/maps/?q=45.4688,-65.8466", "https://www.google.com/maps/?q=45.4688,-65.8466")</f>
        <v>https://www.google.com/maps/?q=45.4688,-65.8466</v>
      </c>
    </row>
    <row r="1050" spans="1:8" ht="29" x14ac:dyDescent="0.35">
      <c r="A1050" t="s">
        <v>6160</v>
      </c>
      <c r="B1050" t="s">
        <v>6161</v>
      </c>
      <c r="C1050" t="s">
        <v>6162</v>
      </c>
      <c r="D1050" t="s">
        <v>6163</v>
      </c>
      <c r="E1050" s="10" t="s">
        <v>1112</v>
      </c>
      <c r="F1050" s="11" t="s">
        <v>1852</v>
      </c>
      <c r="H1050" s="17" t="str">
        <f>HYPERLINK("https://www.google.com/maps/?q=45.393463889,-65.966005556", "https://www.google.com/maps/?q=45.393463889,-65.966005556")</f>
        <v>https://www.google.com/maps/?q=45.393463889,-65.966005556</v>
      </c>
    </row>
    <row r="1051" spans="1:8" ht="29" x14ac:dyDescent="0.35">
      <c r="A1051" t="s">
        <v>6164</v>
      </c>
      <c r="B1051" t="s">
        <v>6165</v>
      </c>
      <c r="C1051" t="s">
        <v>6166</v>
      </c>
      <c r="D1051" t="s">
        <v>6167</v>
      </c>
      <c r="E1051" s="10" t="s">
        <v>66</v>
      </c>
      <c r="F1051" s="11" t="s">
        <v>6168</v>
      </c>
      <c r="H1051" s="17" t="str">
        <f>HYPERLINK("https://www.google.com/maps/?q=45.940038889,-65.837330556", "https://www.google.com/maps/?q=45.940038889,-65.837330556")</f>
        <v>https://www.google.com/maps/?q=45.940038889,-65.837330556</v>
      </c>
    </row>
    <row r="1052" spans="1:8" ht="29" x14ac:dyDescent="0.35">
      <c r="A1052" t="s">
        <v>6169</v>
      </c>
      <c r="B1052" t="s">
        <v>6170</v>
      </c>
      <c r="C1052" t="s">
        <v>6171</v>
      </c>
      <c r="D1052" t="s">
        <v>6172</v>
      </c>
      <c r="E1052" s="10" t="s">
        <v>50</v>
      </c>
      <c r="F1052" s="11" t="s">
        <v>3293</v>
      </c>
      <c r="H1052" s="17" t="str">
        <f>HYPERLINK("https://www.google.com/maps/?q=46.1403611110001,-64.665625", "https://www.google.com/maps/?q=46.1403611110001,-64.665625")</f>
        <v>https://www.google.com/maps/?q=46.1403611110001,-64.665625</v>
      </c>
    </row>
    <row r="1053" spans="1:8" ht="29" x14ac:dyDescent="0.35">
      <c r="A1053" t="s">
        <v>6173</v>
      </c>
      <c r="B1053" t="s">
        <v>6174</v>
      </c>
      <c r="C1053" t="s">
        <v>6175</v>
      </c>
      <c r="D1053" t="s">
        <v>6176</v>
      </c>
      <c r="E1053" s="10" t="s">
        <v>1109</v>
      </c>
      <c r="F1053" s="11" t="s">
        <v>6177</v>
      </c>
      <c r="H1053" s="17" t="str">
        <f>HYPERLINK("https://www.google.com/maps/?q=47.0633333330001,-67.7466666669999", "https://www.google.com/maps/?q=47.0633333330001,-67.7466666669999")</f>
        <v>https://www.google.com/maps/?q=47.0633333330001,-67.7466666669999</v>
      </c>
    </row>
    <row r="1054" spans="1:8" ht="29" x14ac:dyDescent="0.35">
      <c r="A1054" t="s">
        <v>6178</v>
      </c>
      <c r="B1054" t="s">
        <v>4582</v>
      </c>
      <c r="C1054" t="s">
        <v>6179</v>
      </c>
      <c r="D1054" t="s">
        <v>4584</v>
      </c>
      <c r="E1054" s="10" t="s">
        <v>44</v>
      </c>
      <c r="F1054" s="11" t="s">
        <v>4585</v>
      </c>
      <c r="H1054" s="17" t="str">
        <f>HYPERLINK("https://www.google.com/maps/?q=46.5892166670001,-67.601361111", "https://www.google.com/maps/?q=46.5892166670001,-67.601361111")</f>
        <v>https://www.google.com/maps/?q=46.5892166670001,-67.601361111</v>
      </c>
    </row>
    <row r="1055" spans="1:8" ht="29" x14ac:dyDescent="0.35">
      <c r="A1055" t="s">
        <v>6180</v>
      </c>
      <c r="B1055" t="s">
        <v>6181</v>
      </c>
      <c r="C1055" t="s">
        <v>6182</v>
      </c>
      <c r="D1055" t="s">
        <v>6183</v>
      </c>
      <c r="E1055" s="10" t="s">
        <v>1109</v>
      </c>
      <c r="F1055" s="11" t="s">
        <v>6184</v>
      </c>
      <c r="H1055" s="17" t="str">
        <f>HYPERLINK("https://www.google.com/maps/?q=45.871583333,-64.412583333", "https://www.google.com/maps/?q=45.871583333,-64.412583333")</f>
        <v>https://www.google.com/maps/?q=45.871583333,-64.412583333</v>
      </c>
    </row>
    <row r="1056" spans="1:8" ht="29" x14ac:dyDescent="0.35">
      <c r="A1056" t="s">
        <v>6185</v>
      </c>
      <c r="B1056" t="s">
        <v>6186</v>
      </c>
      <c r="C1056" t="s">
        <v>6187</v>
      </c>
      <c r="D1056" t="s">
        <v>6188</v>
      </c>
      <c r="E1056" s="10" t="s">
        <v>1109</v>
      </c>
      <c r="F1056" s="11" t="s">
        <v>6189</v>
      </c>
      <c r="H1056" s="17" t="str">
        <f>HYPERLINK("https://www.google.com/maps/?q=45.8667222220001,-64.472777778", "https://www.google.com/maps/?q=45.8667222220001,-64.472777778")</f>
        <v>https://www.google.com/maps/?q=45.8667222220001,-64.472777778</v>
      </c>
    </row>
    <row r="1057" spans="1:8" ht="29" x14ac:dyDescent="0.35">
      <c r="A1057" t="s">
        <v>6190</v>
      </c>
      <c r="B1057" t="s">
        <v>6191</v>
      </c>
      <c r="C1057" t="s">
        <v>6192</v>
      </c>
      <c r="D1057" t="s">
        <v>6193</v>
      </c>
      <c r="E1057" s="10" t="s">
        <v>28</v>
      </c>
      <c r="F1057" s="11" t="s">
        <v>4371</v>
      </c>
      <c r="H1057" s="17" t="str">
        <f>HYPERLINK("https://www.google.com/maps/?q=45.2801666670001,-66.013469444", "https://www.google.com/maps/?q=45.2801666670001,-66.013469444")</f>
        <v>https://www.google.com/maps/?q=45.2801666670001,-66.013469444</v>
      </c>
    </row>
    <row r="1058" spans="1:8" ht="29" x14ac:dyDescent="0.35">
      <c r="A1058" t="s">
        <v>6194</v>
      </c>
      <c r="B1058" t="s">
        <v>6195</v>
      </c>
      <c r="C1058" t="s">
        <v>6196</v>
      </c>
      <c r="D1058" t="s">
        <v>6197</v>
      </c>
      <c r="E1058" s="10" t="s">
        <v>44</v>
      </c>
      <c r="F1058" s="11" t="s">
        <v>1623</v>
      </c>
      <c r="H1058" s="17" t="str">
        <f>HYPERLINK("https://www.google.com/maps/?q=45.4785277780001,-66.234038889", "https://www.google.com/maps/?q=45.4785277780001,-66.234038889")</f>
        <v>https://www.google.com/maps/?q=45.4785277780001,-66.234038889</v>
      </c>
    </row>
    <row r="1059" spans="1:8" ht="29" x14ac:dyDescent="0.35">
      <c r="A1059" t="s">
        <v>6198</v>
      </c>
      <c r="B1059" t="s">
        <v>6199</v>
      </c>
      <c r="C1059" t="s">
        <v>6200</v>
      </c>
      <c r="D1059" t="s">
        <v>6201</v>
      </c>
      <c r="E1059" s="10" t="s">
        <v>28</v>
      </c>
      <c r="F1059" s="11" t="s">
        <v>6202</v>
      </c>
      <c r="H1059" s="17" t="str">
        <f>HYPERLINK("https://www.google.com/maps/?q=45.348319444,-65.555913889", "https://www.google.com/maps/?q=45.348319444,-65.555913889")</f>
        <v>https://www.google.com/maps/?q=45.348319444,-65.555913889</v>
      </c>
    </row>
    <row r="1060" spans="1:8" ht="29" x14ac:dyDescent="0.35">
      <c r="A1060" t="s">
        <v>6203</v>
      </c>
      <c r="B1060" t="s">
        <v>6204</v>
      </c>
      <c r="C1060" t="s">
        <v>6205</v>
      </c>
      <c r="D1060" t="s">
        <v>6206</v>
      </c>
      <c r="E1060" s="10" t="s">
        <v>28</v>
      </c>
      <c r="F1060" s="11" t="s">
        <v>6207</v>
      </c>
      <c r="H1060" s="17" t="str">
        <f>HYPERLINK("https://www.google.com/maps/?q=47.6427027780001,-65.750744444", "https://www.google.com/maps/?q=47.6427027780001,-65.750744444")</f>
        <v>https://www.google.com/maps/?q=47.6427027780001,-65.750744444</v>
      </c>
    </row>
    <row r="1061" spans="1:8" ht="29" x14ac:dyDescent="0.35">
      <c r="A1061" t="s">
        <v>6208</v>
      </c>
      <c r="B1061" t="s">
        <v>6209</v>
      </c>
      <c r="C1061" t="s">
        <v>6210</v>
      </c>
      <c r="D1061" t="s">
        <v>6211</v>
      </c>
      <c r="E1061" s="10" t="s">
        <v>28</v>
      </c>
      <c r="F1061" s="11" t="s">
        <v>4657</v>
      </c>
      <c r="H1061" s="17" t="str">
        <f>HYPERLINK("https://www.google.com/maps/?q=45.8855972220001,-66.568363889", "https://www.google.com/maps/?q=45.8855972220001,-66.568363889")</f>
        <v>https://www.google.com/maps/?q=45.8855972220001,-66.568363889</v>
      </c>
    </row>
    <row r="1062" spans="1:8" ht="29" x14ac:dyDescent="0.35">
      <c r="A1062" t="s">
        <v>6212</v>
      </c>
      <c r="B1062" t="s">
        <v>6213</v>
      </c>
      <c r="C1062" t="s">
        <v>6214</v>
      </c>
      <c r="D1062" t="s">
        <v>6215</v>
      </c>
      <c r="E1062" s="10" t="s">
        <v>28</v>
      </c>
      <c r="F1062" s="11" t="s">
        <v>6216</v>
      </c>
      <c r="H1062" s="17" t="str">
        <f>HYPERLINK("https://www.google.com/maps/?q=45.932227778,-66.665355556", "https://www.google.com/maps/?q=45.932227778,-66.665355556")</f>
        <v>https://www.google.com/maps/?q=45.932227778,-66.665355556</v>
      </c>
    </row>
    <row r="1063" spans="1:8" ht="29" x14ac:dyDescent="0.35">
      <c r="A1063" t="s">
        <v>6217</v>
      </c>
      <c r="B1063" t="s">
        <v>6218</v>
      </c>
      <c r="C1063" t="s">
        <v>6219</v>
      </c>
      <c r="D1063" t="s">
        <v>6220</v>
      </c>
      <c r="E1063" s="10" t="s">
        <v>28</v>
      </c>
      <c r="F1063" s="11" t="s">
        <v>6221</v>
      </c>
      <c r="H1063" s="17" t="str">
        <f>HYPERLINK("https://www.google.com/maps/?q=46.1117861110001,-64.745494444", "https://www.google.com/maps/?q=46.1117861110001,-64.745494444")</f>
        <v>https://www.google.com/maps/?q=46.1117861110001,-64.745494444</v>
      </c>
    </row>
    <row r="1064" spans="1:8" ht="29" x14ac:dyDescent="0.35">
      <c r="A1064" t="s">
        <v>6222</v>
      </c>
      <c r="B1064" t="s">
        <v>6223</v>
      </c>
      <c r="C1064" t="s">
        <v>6224</v>
      </c>
      <c r="D1064" t="s">
        <v>6225</v>
      </c>
      <c r="E1064" s="10" t="s">
        <v>28</v>
      </c>
      <c r="F1064" s="11" t="s">
        <v>6226</v>
      </c>
      <c r="H1064" s="17" t="str">
        <f>HYPERLINK("https://www.google.com/maps/?q=46.3627750000001,-64.7477777779999", "https://www.google.com/maps/?q=46.3627750000001,-64.7477777779999")</f>
        <v>https://www.google.com/maps/?q=46.3627750000001,-64.7477777779999</v>
      </c>
    </row>
    <row r="1065" spans="1:8" ht="29" x14ac:dyDescent="0.35">
      <c r="A1065" t="s">
        <v>1115</v>
      </c>
      <c r="B1065" t="s">
        <v>6227</v>
      </c>
      <c r="C1065" t="s">
        <v>1116</v>
      </c>
      <c r="D1065" t="s">
        <v>6228</v>
      </c>
      <c r="E1065" s="10" t="s">
        <v>28</v>
      </c>
      <c r="F1065" s="11" t="s">
        <v>2541</v>
      </c>
      <c r="H1065" s="17" t="str">
        <f>HYPERLINK("https://www.google.com/maps/?q=46.0450000000001,-65.5305999999999", "https://www.google.com/maps/?q=46.0450000000001,-65.5305999999999")</f>
        <v>https://www.google.com/maps/?q=46.0450000000001,-65.5305999999999</v>
      </c>
    </row>
    <row r="1066" spans="1:8" ht="29" x14ac:dyDescent="0.35">
      <c r="A1066" t="s">
        <v>6229</v>
      </c>
      <c r="B1066" t="s">
        <v>6230</v>
      </c>
      <c r="C1066" t="s">
        <v>6231</v>
      </c>
      <c r="D1066" t="s">
        <v>6232</v>
      </c>
      <c r="E1066" s="10" t="s">
        <v>28</v>
      </c>
      <c r="F1066" s="11" t="s">
        <v>6233</v>
      </c>
      <c r="H1066" s="17" t="str">
        <f>HYPERLINK("https://www.google.com/maps/?q=47.512219444,-64.906333333", "https://www.google.com/maps/?q=47.512219444,-64.906333333")</f>
        <v>https://www.google.com/maps/?q=47.512219444,-64.906333333</v>
      </c>
    </row>
    <row r="1067" spans="1:8" ht="29" x14ac:dyDescent="0.35">
      <c r="A1067" t="s">
        <v>6234</v>
      </c>
      <c r="B1067" t="s">
        <v>6235</v>
      </c>
      <c r="C1067" t="s">
        <v>6236</v>
      </c>
      <c r="D1067" t="s">
        <v>6237</v>
      </c>
      <c r="E1067" s="10" t="s">
        <v>50</v>
      </c>
      <c r="F1067" s="11" t="s">
        <v>6238</v>
      </c>
      <c r="H1067" s="17" t="str">
        <f>HYPERLINK("https://www.google.com/maps/?q=46.166008333,-64.5837194439999", "https://www.google.com/maps/?q=46.166008333,-64.5837194439999")</f>
        <v>https://www.google.com/maps/?q=46.166008333,-64.5837194439999</v>
      </c>
    </row>
    <row r="1068" spans="1:8" ht="29" x14ac:dyDescent="0.35">
      <c r="A1068" t="s">
        <v>6239</v>
      </c>
      <c r="B1068" t="s">
        <v>6240</v>
      </c>
      <c r="C1068" t="s">
        <v>6241</v>
      </c>
      <c r="D1068" t="s">
        <v>6242</v>
      </c>
      <c r="E1068" s="10" t="s">
        <v>66</v>
      </c>
      <c r="F1068" s="11" t="s">
        <v>6243</v>
      </c>
      <c r="H1068" s="17" t="str">
        <f>HYPERLINK("https://www.google.com/maps/?q=47.047572222,-65.421811111", "https://www.google.com/maps/?q=47.047572222,-65.421811111")</f>
        <v>https://www.google.com/maps/?q=47.047572222,-65.421811111</v>
      </c>
    </row>
    <row r="1069" spans="1:8" ht="29" x14ac:dyDescent="0.35">
      <c r="A1069" t="s">
        <v>6244</v>
      </c>
      <c r="B1069" t="s">
        <v>6245</v>
      </c>
      <c r="C1069" t="s">
        <v>6246</v>
      </c>
      <c r="D1069" t="s">
        <v>6247</v>
      </c>
      <c r="E1069" s="10" t="s">
        <v>17</v>
      </c>
      <c r="F1069" s="11" t="s">
        <v>3775</v>
      </c>
      <c r="H1069" s="17" t="str">
        <f>HYPERLINK("https://www.google.com/maps/?q=46.827222222,-67.723611111", "https://www.google.com/maps/?q=46.827222222,-67.723611111")</f>
        <v>https://www.google.com/maps/?q=46.827222222,-67.723611111</v>
      </c>
    </row>
    <row r="1070" spans="1:8" ht="29" x14ac:dyDescent="0.35">
      <c r="A1070" t="s">
        <v>6248</v>
      </c>
      <c r="B1070" t="s">
        <v>6249</v>
      </c>
      <c r="C1070" t="s">
        <v>6250</v>
      </c>
      <c r="D1070" t="s">
        <v>6251</v>
      </c>
      <c r="E1070" s="10" t="s">
        <v>1109</v>
      </c>
      <c r="F1070" s="11" t="s">
        <v>6252</v>
      </c>
      <c r="H1070" s="17" t="str">
        <f>HYPERLINK("https://www.google.com/maps/?q=45.636666667,-65.6997222219999", "https://www.google.com/maps/?q=45.636666667,-65.6997222219999")</f>
        <v>https://www.google.com/maps/?q=45.636666667,-65.6997222219999</v>
      </c>
    </row>
    <row r="1071" spans="1:8" ht="29" x14ac:dyDescent="0.35">
      <c r="A1071" t="s">
        <v>6253</v>
      </c>
      <c r="B1071" t="s">
        <v>6254</v>
      </c>
      <c r="C1071" t="s">
        <v>6255</v>
      </c>
      <c r="D1071" t="s">
        <v>6256</v>
      </c>
      <c r="E1071" s="10" t="s">
        <v>28</v>
      </c>
      <c r="F1071" s="11" t="s">
        <v>6257</v>
      </c>
      <c r="H1071" s="17" t="str">
        <f>HYPERLINK("https://www.google.com/maps/?q=47.3509777780001,-68.216627778", "https://www.google.com/maps/?q=47.3509777780001,-68.216627778")</f>
        <v>https://www.google.com/maps/?q=47.3509777780001,-68.216627778</v>
      </c>
    </row>
    <row r="1072" spans="1:8" ht="29" x14ac:dyDescent="0.35">
      <c r="A1072" t="s">
        <v>6258</v>
      </c>
      <c r="B1072" t="s">
        <v>6259</v>
      </c>
      <c r="C1072" t="s">
        <v>6260</v>
      </c>
      <c r="D1072" t="s">
        <v>6261</v>
      </c>
      <c r="E1072" s="10" t="s">
        <v>44</v>
      </c>
      <c r="F1072" s="11" t="s">
        <v>6262</v>
      </c>
      <c r="H1072" s="17" t="str">
        <f>HYPERLINK("https://www.google.com/maps/?q=47.804452778,-64.6388499999999", "https://www.google.com/maps/?q=47.804452778,-64.6388499999999")</f>
        <v>https://www.google.com/maps/?q=47.804452778,-64.6388499999999</v>
      </c>
    </row>
    <row r="1073" spans="1:8" ht="29" x14ac:dyDescent="0.35">
      <c r="A1073" t="s">
        <v>6263</v>
      </c>
      <c r="B1073" t="s">
        <v>6264</v>
      </c>
      <c r="C1073" t="s">
        <v>6265</v>
      </c>
      <c r="D1073" t="s">
        <v>6266</v>
      </c>
      <c r="E1073" s="10" t="s">
        <v>1109</v>
      </c>
      <c r="F1073" s="11" t="s">
        <v>4599</v>
      </c>
      <c r="H1073" s="17" t="str">
        <f>HYPERLINK("https://www.google.com/maps/?q=46.0703888890001,-64.878111111", "https://www.google.com/maps/?q=46.0703888890001,-64.878111111")</f>
        <v>https://www.google.com/maps/?q=46.0703888890001,-64.878111111</v>
      </c>
    </row>
    <row r="1074" spans="1:8" ht="29" x14ac:dyDescent="0.35">
      <c r="A1074" t="s">
        <v>6267</v>
      </c>
      <c r="B1074" t="s">
        <v>6268</v>
      </c>
      <c r="C1074" t="s">
        <v>6269</v>
      </c>
      <c r="D1074" t="s">
        <v>6270</v>
      </c>
      <c r="E1074" s="10" t="s">
        <v>28</v>
      </c>
      <c r="F1074" s="11" t="s">
        <v>6271</v>
      </c>
      <c r="H1074" s="17" t="str">
        <f>HYPERLINK("https://www.google.com/maps/?q=45.9625888890001,-66.639819444", "https://www.google.com/maps/?q=45.9625888890001,-66.639819444")</f>
        <v>https://www.google.com/maps/?q=45.9625888890001,-66.639819444</v>
      </c>
    </row>
    <row r="1075" spans="1:8" ht="29" x14ac:dyDescent="0.35">
      <c r="A1075" t="s">
        <v>6272</v>
      </c>
      <c r="B1075" t="s">
        <v>6273</v>
      </c>
      <c r="C1075" t="s">
        <v>6274</v>
      </c>
      <c r="D1075" t="s">
        <v>6275</v>
      </c>
      <c r="E1075" s="10" t="s">
        <v>28</v>
      </c>
      <c r="F1075" s="11" t="s">
        <v>6276</v>
      </c>
      <c r="H1075" s="17" t="str">
        <f>HYPERLINK("https://www.google.com/maps/?q=45.8936027780001,-66.570038889", "https://www.google.com/maps/?q=45.8936027780001,-66.570038889")</f>
        <v>https://www.google.com/maps/?q=45.8936027780001,-66.570038889</v>
      </c>
    </row>
    <row r="1076" spans="1:8" ht="29" x14ac:dyDescent="0.35">
      <c r="A1076" t="s">
        <v>6277</v>
      </c>
      <c r="B1076" t="s">
        <v>6278</v>
      </c>
      <c r="C1076" t="s">
        <v>6279</v>
      </c>
      <c r="D1076" t="s">
        <v>6280</v>
      </c>
      <c r="E1076" s="10" t="s">
        <v>28</v>
      </c>
      <c r="F1076" s="11" t="s">
        <v>6281</v>
      </c>
      <c r="H1076" s="17" t="str">
        <f>HYPERLINK("https://www.google.com/maps/?q=46.2198277780001,-64.542677778", "https://www.google.com/maps/?q=46.2198277780001,-64.542677778")</f>
        <v>https://www.google.com/maps/?q=46.2198277780001,-64.542677778</v>
      </c>
    </row>
    <row r="1077" spans="1:8" ht="29" x14ac:dyDescent="0.35">
      <c r="A1077" t="s">
        <v>6282</v>
      </c>
      <c r="B1077" t="s">
        <v>6283</v>
      </c>
      <c r="C1077" t="s">
        <v>6284</v>
      </c>
      <c r="D1077" t="s">
        <v>6285</v>
      </c>
      <c r="E1077" s="10" t="s">
        <v>28</v>
      </c>
      <c r="F1077" s="11" t="s">
        <v>6286</v>
      </c>
      <c r="H1077" s="17" t="str">
        <f>HYPERLINK("https://www.google.com/maps/?q=45.9867833330001,-66.768875", "https://www.google.com/maps/?q=45.9867833330001,-66.768875")</f>
        <v>https://www.google.com/maps/?q=45.9867833330001,-66.768875</v>
      </c>
    </row>
    <row r="1078" spans="1:8" ht="29" x14ac:dyDescent="0.35">
      <c r="A1078" t="s">
        <v>6287</v>
      </c>
      <c r="B1078" t="s">
        <v>6288</v>
      </c>
      <c r="C1078" t="s">
        <v>6289</v>
      </c>
      <c r="D1078" t="s">
        <v>6290</v>
      </c>
      <c r="E1078" s="10" t="s">
        <v>28</v>
      </c>
      <c r="F1078" s="11" t="s">
        <v>6291</v>
      </c>
      <c r="H1078" s="17" t="str">
        <f>HYPERLINK("https://www.google.com/maps/?q=47.173816667,-65.41785", "https://www.google.com/maps/?q=47.173816667,-65.41785")</f>
        <v>https://www.google.com/maps/?q=47.173816667,-65.41785</v>
      </c>
    </row>
    <row r="1079" spans="1:8" ht="29" x14ac:dyDescent="0.35">
      <c r="A1079" t="s">
        <v>6292</v>
      </c>
      <c r="B1079" t="s">
        <v>5593</v>
      </c>
      <c r="C1079" t="s">
        <v>6293</v>
      </c>
      <c r="D1079" t="s">
        <v>5595</v>
      </c>
      <c r="E1079" s="10" t="s">
        <v>28</v>
      </c>
      <c r="F1079" s="11" t="s">
        <v>5596</v>
      </c>
      <c r="H1079" s="17" t="str">
        <f>HYPERLINK("https://www.google.com/maps/?q=45.8521388890001,-66.4742138889999", "https://www.google.com/maps/?q=45.8521388890001,-66.4742138889999")</f>
        <v>https://www.google.com/maps/?q=45.8521388890001,-66.4742138889999</v>
      </c>
    </row>
    <row r="1080" spans="1:8" ht="29" x14ac:dyDescent="0.35">
      <c r="A1080" t="s">
        <v>6294</v>
      </c>
      <c r="B1080" t="s">
        <v>6295</v>
      </c>
      <c r="C1080" t="s">
        <v>6296</v>
      </c>
      <c r="D1080" t="s">
        <v>6297</v>
      </c>
      <c r="E1080" s="10" t="s">
        <v>28</v>
      </c>
      <c r="F1080" s="11" t="s">
        <v>6298</v>
      </c>
      <c r="H1080" s="17" t="str">
        <f>HYPERLINK("https://www.google.com/maps/?q=46.094155556,-64.766025", "https://www.google.com/maps/?q=46.094155556,-64.766025")</f>
        <v>https://www.google.com/maps/?q=46.094155556,-64.766025</v>
      </c>
    </row>
    <row r="1081" spans="1:8" ht="29" x14ac:dyDescent="0.35">
      <c r="A1081" t="s">
        <v>6299</v>
      </c>
      <c r="B1081" t="s">
        <v>6300</v>
      </c>
      <c r="C1081" t="s">
        <v>6301</v>
      </c>
      <c r="D1081" t="s">
        <v>6302</v>
      </c>
      <c r="E1081" s="10" t="s">
        <v>28</v>
      </c>
      <c r="F1081" s="11" t="s">
        <v>6303</v>
      </c>
      <c r="H1081" s="17" t="str">
        <f>HYPERLINK("https://www.google.com/maps/?q=45.4938888890001,-66.327219444", "https://www.google.com/maps/?q=45.4938888890001,-66.327219444")</f>
        <v>https://www.google.com/maps/?q=45.4938888890001,-66.327219444</v>
      </c>
    </row>
    <row r="1082" spans="1:8" ht="29" x14ac:dyDescent="0.35">
      <c r="A1082" t="s">
        <v>6304</v>
      </c>
      <c r="B1082" t="s">
        <v>6305</v>
      </c>
      <c r="C1082" t="s">
        <v>6306</v>
      </c>
      <c r="D1082" t="s">
        <v>6307</v>
      </c>
      <c r="E1082" s="10" t="s">
        <v>28</v>
      </c>
      <c r="F1082" s="11" t="s">
        <v>6308</v>
      </c>
      <c r="H1082" s="17" t="str">
        <f>HYPERLINK("https://www.google.com/maps/?q=47.6378,-65.730216667", "https://www.google.com/maps/?q=47.6378,-65.730216667")</f>
        <v>https://www.google.com/maps/?q=47.6378,-65.730216667</v>
      </c>
    </row>
    <row r="1083" spans="1:8" ht="29" x14ac:dyDescent="0.35">
      <c r="A1083" t="s">
        <v>6309</v>
      </c>
      <c r="B1083" t="s">
        <v>6310</v>
      </c>
      <c r="C1083" t="s">
        <v>6311</v>
      </c>
      <c r="D1083" t="s">
        <v>6312</v>
      </c>
      <c r="E1083" s="10" t="s">
        <v>28</v>
      </c>
      <c r="F1083" s="11" t="s">
        <v>6313</v>
      </c>
      <c r="H1083" s="17" t="str">
        <f>HYPERLINK("https://www.google.com/maps/?q=47.0212250000001,-64.8841944439999", "https://www.google.com/maps/?q=47.0212250000001,-64.8841944439999")</f>
        <v>https://www.google.com/maps/?q=47.0212250000001,-64.8841944439999</v>
      </c>
    </row>
    <row r="1084" spans="1:8" ht="29" x14ac:dyDescent="0.35">
      <c r="A1084" t="s">
        <v>6314</v>
      </c>
      <c r="B1084" t="s">
        <v>6315</v>
      </c>
      <c r="C1084" t="s">
        <v>6316</v>
      </c>
      <c r="D1084" t="s">
        <v>6317</v>
      </c>
      <c r="E1084" s="10" t="s">
        <v>195</v>
      </c>
      <c r="F1084" s="11" t="s">
        <v>6318</v>
      </c>
      <c r="H1084" s="17" t="str">
        <f>HYPERLINK("https://www.google.com/maps/?q=45.9782916670001,-66.5887638889999", "https://www.google.com/maps/?q=45.9782916670001,-66.5887638889999")</f>
        <v>https://www.google.com/maps/?q=45.9782916670001,-66.5887638889999</v>
      </c>
    </row>
    <row r="1085" spans="1:8" ht="29" x14ac:dyDescent="0.35">
      <c r="A1085" t="s">
        <v>6319</v>
      </c>
      <c r="B1085" t="s">
        <v>6320</v>
      </c>
      <c r="C1085" t="s">
        <v>6321</v>
      </c>
      <c r="D1085" t="s">
        <v>6322</v>
      </c>
      <c r="E1085" s="10" t="s">
        <v>66</v>
      </c>
      <c r="F1085" s="11" t="s">
        <v>6323</v>
      </c>
      <c r="H1085" s="17" t="str">
        <f>HYPERLINK("https://www.google.com/maps/?q=45.8923888890001,-65.295038889", "https://www.google.com/maps/?q=45.8923888890001,-65.295038889")</f>
        <v>https://www.google.com/maps/?q=45.8923888890001,-65.295038889</v>
      </c>
    </row>
    <row r="1086" spans="1:8" ht="29" x14ac:dyDescent="0.35">
      <c r="A1086" t="s">
        <v>6324</v>
      </c>
      <c r="B1086" t="s">
        <v>6325</v>
      </c>
      <c r="C1086" t="s">
        <v>6326</v>
      </c>
      <c r="D1086" t="s">
        <v>6327</v>
      </c>
      <c r="E1086" s="10" t="s">
        <v>50</v>
      </c>
      <c r="F1086" s="11" t="s">
        <v>6328</v>
      </c>
      <c r="H1086" s="17" t="str">
        <f>HYPERLINK("https://www.google.com/maps/?q=45.252069444,-66.0743166669999", "https://www.google.com/maps/?q=45.252069444,-66.0743166669999")</f>
        <v>https://www.google.com/maps/?q=45.252069444,-66.0743166669999</v>
      </c>
    </row>
    <row r="1087" spans="1:8" ht="29" x14ac:dyDescent="0.35">
      <c r="A1087" t="s">
        <v>6329</v>
      </c>
      <c r="B1087" t="s">
        <v>6330</v>
      </c>
      <c r="C1087" t="s">
        <v>6331</v>
      </c>
      <c r="D1087" t="s">
        <v>6332</v>
      </c>
      <c r="E1087" s="10" t="s">
        <v>1109</v>
      </c>
      <c r="F1087" s="11" t="s">
        <v>4736</v>
      </c>
      <c r="H1087" s="17" t="str">
        <f>HYPERLINK("https://www.google.com/maps/?q=45.9353333330001,-64.467277778", "https://www.google.com/maps/?q=45.9353333330001,-64.467277778")</f>
        <v>https://www.google.com/maps/?q=45.9353333330001,-64.467277778</v>
      </c>
    </row>
    <row r="1088" spans="1:8" ht="29" x14ac:dyDescent="0.35">
      <c r="A1088" t="s">
        <v>6333</v>
      </c>
      <c r="B1088" t="s">
        <v>6334</v>
      </c>
      <c r="C1088" t="s">
        <v>6335</v>
      </c>
      <c r="D1088" t="s">
        <v>6336</v>
      </c>
      <c r="E1088" s="10" t="s">
        <v>1109</v>
      </c>
      <c r="F1088" s="11" t="s">
        <v>1514</v>
      </c>
      <c r="H1088" s="17" t="str">
        <f>HYPERLINK("https://www.google.com/maps/?q=46.0720000000001,-64.8660833329999", "https://www.google.com/maps/?q=46.0720000000001,-64.8660833329999")</f>
        <v>https://www.google.com/maps/?q=46.0720000000001,-64.8660833329999</v>
      </c>
    </row>
    <row r="1089" spans="1:8" ht="29" x14ac:dyDescent="0.35">
      <c r="A1089" t="s">
        <v>6337</v>
      </c>
      <c r="B1089" t="s">
        <v>6338</v>
      </c>
      <c r="C1089" t="s">
        <v>6339</v>
      </c>
      <c r="D1089" t="s">
        <v>6340</v>
      </c>
      <c r="E1089" s="10" t="s">
        <v>28</v>
      </c>
      <c r="F1089" s="11" t="s">
        <v>6341</v>
      </c>
      <c r="H1089" s="17" t="str">
        <f>HYPERLINK("https://www.google.com/maps/?q=46.0925500000001,-64.7963999999999", "https://www.google.com/maps/?q=46.0925500000001,-64.7963999999999")</f>
        <v>https://www.google.com/maps/?q=46.0925500000001,-64.7963999999999</v>
      </c>
    </row>
    <row r="1090" spans="1:8" ht="29" x14ac:dyDescent="0.35">
      <c r="A1090" t="s">
        <v>6342</v>
      </c>
      <c r="B1090" t="s">
        <v>6343</v>
      </c>
      <c r="C1090" t="s">
        <v>6344</v>
      </c>
      <c r="D1090" t="s">
        <v>6345</v>
      </c>
      <c r="E1090" s="10" t="s">
        <v>28</v>
      </c>
      <c r="F1090" s="11" t="s">
        <v>6346</v>
      </c>
      <c r="H1090" s="17" t="str">
        <f>HYPERLINK("https://www.google.com/maps/?q=46.2397083330001,-64.512919444", "https://www.google.com/maps/?q=46.2397083330001,-64.512919444")</f>
        <v>https://www.google.com/maps/?q=46.2397083330001,-64.512919444</v>
      </c>
    </row>
    <row r="1091" spans="1:8" ht="29" x14ac:dyDescent="0.35">
      <c r="A1091" t="s">
        <v>6347</v>
      </c>
      <c r="B1091" t="s">
        <v>6348</v>
      </c>
      <c r="C1091" t="s">
        <v>6349</v>
      </c>
      <c r="D1091" t="s">
        <v>6350</v>
      </c>
      <c r="E1091" s="10" t="s">
        <v>28</v>
      </c>
      <c r="F1091" s="11" t="s">
        <v>6351</v>
      </c>
      <c r="H1091" s="17" t="str">
        <f>HYPERLINK("https://www.google.com/maps/?q=46.0958000000001,-64.761", "https://www.google.com/maps/?q=46.0958000000001,-64.761")</f>
        <v>https://www.google.com/maps/?q=46.0958000000001,-64.761</v>
      </c>
    </row>
    <row r="1092" spans="1:8" ht="29" x14ac:dyDescent="0.35">
      <c r="A1092" t="s">
        <v>6352</v>
      </c>
      <c r="B1092" t="s">
        <v>6353</v>
      </c>
      <c r="C1092" t="s">
        <v>6354</v>
      </c>
      <c r="D1092" t="s">
        <v>6355</v>
      </c>
      <c r="E1092" s="10" t="s">
        <v>28</v>
      </c>
      <c r="F1092" s="11" t="s">
        <v>6356</v>
      </c>
      <c r="H1092" s="17" t="str">
        <f>HYPERLINK("https://www.google.com/maps/?q=46.094555556,-64.782144444", "https://www.google.com/maps/?q=46.094555556,-64.782144444")</f>
        <v>https://www.google.com/maps/?q=46.094555556,-64.782144444</v>
      </c>
    </row>
    <row r="1093" spans="1:8" ht="29" x14ac:dyDescent="0.35">
      <c r="A1093" t="s">
        <v>6357</v>
      </c>
      <c r="B1093" t="s">
        <v>6358</v>
      </c>
      <c r="C1093" t="s">
        <v>6359</v>
      </c>
      <c r="D1093" t="s">
        <v>6360</v>
      </c>
      <c r="E1093" s="10" t="s">
        <v>28</v>
      </c>
      <c r="F1093" s="11" t="s">
        <v>6361</v>
      </c>
      <c r="H1093" s="17" t="str">
        <f>HYPERLINK("https://www.google.com/maps/?q=47.795613889,-64.9324", "https://www.google.com/maps/?q=47.795613889,-64.9324")</f>
        <v>https://www.google.com/maps/?q=47.795613889,-64.9324</v>
      </c>
    </row>
    <row r="1094" spans="1:8" ht="29" x14ac:dyDescent="0.35">
      <c r="A1094" t="s">
        <v>6362</v>
      </c>
      <c r="B1094" t="s">
        <v>6363</v>
      </c>
      <c r="C1094" t="s">
        <v>6364</v>
      </c>
      <c r="D1094" t="s">
        <v>6365</v>
      </c>
      <c r="E1094" s="10" t="s">
        <v>28</v>
      </c>
      <c r="F1094" s="11" t="s">
        <v>6366</v>
      </c>
      <c r="H1094" s="17" t="str">
        <f>HYPERLINK("https://www.google.com/maps/?q=45.9887000000001,-66.653069444", "https://www.google.com/maps/?q=45.9887000000001,-66.653069444")</f>
        <v>https://www.google.com/maps/?q=45.9887000000001,-66.653069444</v>
      </c>
    </row>
    <row r="1095" spans="1:8" ht="29" x14ac:dyDescent="0.35">
      <c r="A1095" t="s">
        <v>6367</v>
      </c>
      <c r="B1095" t="s">
        <v>6368</v>
      </c>
      <c r="C1095" t="s">
        <v>6369</v>
      </c>
      <c r="D1095" t="s">
        <v>6370</v>
      </c>
      <c r="E1095" s="10" t="s">
        <v>28</v>
      </c>
      <c r="F1095" s="11" t="s">
        <v>6371</v>
      </c>
      <c r="H1095" s="17" t="str">
        <f>HYPERLINK("https://www.google.com/maps/?q=46.7230750000001,-67.715233333", "https://www.google.com/maps/?q=46.7230750000001,-67.715233333")</f>
        <v>https://www.google.com/maps/?q=46.7230750000001,-67.715233333</v>
      </c>
    </row>
    <row r="1096" spans="1:8" ht="29" x14ac:dyDescent="0.35">
      <c r="A1096" t="s">
        <v>6372</v>
      </c>
      <c r="B1096" t="s">
        <v>6373</v>
      </c>
      <c r="C1096" t="s">
        <v>6374</v>
      </c>
      <c r="D1096" t="s">
        <v>6375</v>
      </c>
      <c r="E1096" s="10" t="s">
        <v>50</v>
      </c>
      <c r="F1096" s="11" t="s">
        <v>2268</v>
      </c>
      <c r="H1096" s="17" t="str">
        <f>HYPERLINK("https://www.google.com/maps/?q=45.074744444,-66.7549611109999", "https://www.google.com/maps/?q=45.074744444,-66.7549611109999")</f>
        <v>https://www.google.com/maps/?q=45.074744444,-66.7549611109999</v>
      </c>
    </row>
    <row r="1097" spans="1:8" ht="29" x14ac:dyDescent="0.35">
      <c r="A1097" t="s">
        <v>6376</v>
      </c>
      <c r="B1097" t="s">
        <v>6377</v>
      </c>
      <c r="C1097" t="s">
        <v>6378</v>
      </c>
      <c r="D1097" t="s">
        <v>6379</v>
      </c>
      <c r="E1097" s="10" t="s">
        <v>17</v>
      </c>
      <c r="F1097" s="11" t="s">
        <v>3369</v>
      </c>
      <c r="H1097" s="17" t="str">
        <f>HYPERLINK("https://www.google.com/maps/?q=47.766333333,-64.978916667", "https://www.google.com/maps/?q=47.766333333,-64.978916667")</f>
        <v>https://www.google.com/maps/?q=47.766333333,-64.978916667</v>
      </c>
    </row>
    <row r="1098" spans="1:8" ht="29" x14ac:dyDescent="0.35">
      <c r="A1098" t="s">
        <v>6380</v>
      </c>
      <c r="B1098" t="s">
        <v>6381</v>
      </c>
      <c r="C1098" t="s">
        <v>6382</v>
      </c>
      <c r="D1098" t="s">
        <v>6383</v>
      </c>
      <c r="E1098" s="10" t="s">
        <v>66</v>
      </c>
      <c r="F1098" s="11" t="s">
        <v>6384</v>
      </c>
      <c r="H1098" s="17" t="str">
        <f>HYPERLINK("https://www.google.com/maps/?q=46.0535611110001,-65.054663889", "https://www.google.com/maps/?q=46.0535611110001,-65.054663889")</f>
        <v>https://www.google.com/maps/?q=46.0535611110001,-65.054663889</v>
      </c>
    </row>
    <row r="1099" spans="1:8" ht="29" x14ac:dyDescent="0.35">
      <c r="A1099" t="s">
        <v>6385</v>
      </c>
      <c r="B1099" t="s">
        <v>6386</v>
      </c>
      <c r="C1099" t="s">
        <v>6387</v>
      </c>
      <c r="D1099" t="s">
        <v>6388</v>
      </c>
      <c r="E1099" s="10" t="s">
        <v>1109</v>
      </c>
      <c r="F1099" s="11" t="s">
        <v>6389</v>
      </c>
      <c r="H1099" s="17" t="str">
        <f>HYPERLINK("https://www.google.com/maps/?q=46.1769444440001,-64.841111111", "https://www.google.com/maps/?q=46.1769444440001,-64.841111111")</f>
        <v>https://www.google.com/maps/?q=46.1769444440001,-64.841111111</v>
      </c>
    </row>
    <row r="1100" spans="1:8" ht="29" x14ac:dyDescent="0.35">
      <c r="A1100" t="s">
        <v>6390</v>
      </c>
      <c r="B1100" t="s">
        <v>6391</v>
      </c>
      <c r="C1100" t="s">
        <v>6392</v>
      </c>
      <c r="D1100" t="s">
        <v>6393</v>
      </c>
      <c r="E1100" s="10" t="s">
        <v>28</v>
      </c>
      <c r="F1100" s="11" t="s">
        <v>6394</v>
      </c>
      <c r="H1100" s="17" t="str">
        <f>HYPERLINK("https://www.google.com/maps/?q=46.2150638890001,-64.2693138889999", "https://www.google.com/maps/?q=46.2150638890001,-64.2693138889999")</f>
        <v>https://www.google.com/maps/?q=46.2150638890001,-64.2693138889999</v>
      </c>
    </row>
    <row r="1101" spans="1:8" ht="29" x14ac:dyDescent="0.35">
      <c r="A1101" t="s">
        <v>6395</v>
      </c>
      <c r="B1101" t="s">
        <v>6396</v>
      </c>
      <c r="C1101" t="s">
        <v>6397</v>
      </c>
      <c r="D1101" t="s">
        <v>6398</v>
      </c>
      <c r="E1101" s="10" t="s">
        <v>44</v>
      </c>
      <c r="F1101" s="11" t="s">
        <v>3247</v>
      </c>
      <c r="H1101" s="17" t="str">
        <f>HYPERLINK("https://www.google.com/maps/?q=45.954294444,-67.353952778", "https://www.google.com/maps/?q=45.954294444,-67.353952778")</f>
        <v>https://www.google.com/maps/?q=45.954294444,-67.353952778</v>
      </c>
    </row>
    <row r="1102" spans="1:8" ht="29" x14ac:dyDescent="0.35">
      <c r="A1102" t="s">
        <v>6399</v>
      </c>
      <c r="B1102" t="s">
        <v>6400</v>
      </c>
      <c r="C1102" t="s">
        <v>6401</v>
      </c>
      <c r="D1102" t="s">
        <v>6402</v>
      </c>
      <c r="E1102" s="10" t="s">
        <v>1109</v>
      </c>
      <c r="F1102" s="11" t="s">
        <v>6403</v>
      </c>
      <c r="H1102" s="17" t="str">
        <f>HYPERLINK("https://www.google.com/maps/?q=45.8851666670001,-64.3071666669999", "https://www.google.com/maps/?q=45.8851666670001,-64.3071666669999")</f>
        <v>https://www.google.com/maps/?q=45.8851666670001,-64.3071666669999</v>
      </c>
    </row>
    <row r="1103" spans="1:8" ht="29" x14ac:dyDescent="0.35">
      <c r="A1103" t="s">
        <v>6404</v>
      </c>
      <c r="B1103" t="s">
        <v>6405</v>
      </c>
      <c r="C1103" t="s">
        <v>6406</v>
      </c>
      <c r="D1103" t="s">
        <v>6407</v>
      </c>
      <c r="E1103" s="10" t="s">
        <v>1109</v>
      </c>
      <c r="F1103" s="11" t="s">
        <v>6408</v>
      </c>
      <c r="H1103" s="17" t="str">
        <f>HYPERLINK("https://www.google.com/maps/?q=46.5000000000001,-65.9991666669999", "https://www.google.com/maps/?q=46.5000000000001,-65.9991666669999")</f>
        <v>https://www.google.com/maps/?q=46.5000000000001,-65.9991666669999</v>
      </c>
    </row>
    <row r="1104" spans="1:8" ht="29" x14ac:dyDescent="0.35">
      <c r="A1104" t="s">
        <v>6409</v>
      </c>
      <c r="B1104" t="s">
        <v>6410</v>
      </c>
      <c r="C1104" t="s">
        <v>6411</v>
      </c>
      <c r="D1104" t="s">
        <v>6412</v>
      </c>
      <c r="E1104" s="10" t="s">
        <v>1109</v>
      </c>
      <c r="F1104" s="11" t="s">
        <v>6413</v>
      </c>
      <c r="H1104" s="17" t="str">
        <f>HYPERLINK("https://www.google.com/maps/?q=47.3011388890001,-68.58575", "https://www.google.com/maps/?q=47.3011388890001,-68.58575")</f>
        <v>https://www.google.com/maps/?q=47.3011388890001,-68.58575</v>
      </c>
    </row>
    <row r="1105" spans="1:8" ht="29" x14ac:dyDescent="0.35">
      <c r="A1105" t="s">
        <v>6414</v>
      </c>
      <c r="B1105" t="s">
        <v>6415</v>
      </c>
      <c r="C1105" t="s">
        <v>6416</v>
      </c>
      <c r="D1105" t="s">
        <v>6417</v>
      </c>
      <c r="E1105" s="10" t="s">
        <v>44</v>
      </c>
      <c r="F1105" s="11" t="s">
        <v>6418</v>
      </c>
      <c r="H1105" s="17" t="str">
        <f>HYPERLINK("https://www.google.com/maps/?q=46.3121944440001,-66.7119777779999", "https://www.google.com/maps/?q=46.3121944440001,-66.7119777779999")</f>
        <v>https://www.google.com/maps/?q=46.3121944440001,-66.7119777779999</v>
      </c>
    </row>
    <row r="1106" spans="1:8" ht="29" x14ac:dyDescent="0.35">
      <c r="A1106" t="s">
        <v>6419</v>
      </c>
      <c r="B1106" t="s">
        <v>6420</v>
      </c>
      <c r="C1106" t="s">
        <v>6421</v>
      </c>
      <c r="D1106" t="s">
        <v>6422</v>
      </c>
      <c r="E1106" s="10" t="s">
        <v>28</v>
      </c>
      <c r="F1106" s="11" t="s">
        <v>6423</v>
      </c>
      <c r="H1106" s="17" t="str">
        <f>HYPERLINK("https://www.google.com/maps/?q=47.640966667,-65.753830556", "https://www.google.com/maps/?q=47.640966667,-65.753830556")</f>
        <v>https://www.google.com/maps/?q=47.640966667,-65.753830556</v>
      </c>
    </row>
    <row r="1107" spans="1:8" ht="29" x14ac:dyDescent="0.35">
      <c r="A1107" t="s">
        <v>6424</v>
      </c>
      <c r="B1107" t="s">
        <v>6425</v>
      </c>
      <c r="C1107" t="s">
        <v>6426</v>
      </c>
      <c r="D1107" t="s">
        <v>6427</v>
      </c>
      <c r="E1107" s="10" t="s">
        <v>28</v>
      </c>
      <c r="F1107" s="11" t="s">
        <v>6428</v>
      </c>
      <c r="H1107" s="17" t="str">
        <f>HYPERLINK("https://www.google.com/maps/?q=46.4825000000001,-67.0474972219999", "https://www.google.com/maps/?q=46.4825000000001,-67.0474972219999")</f>
        <v>https://www.google.com/maps/?q=46.4825000000001,-67.0474972219999</v>
      </c>
    </row>
    <row r="1108" spans="1:8" ht="29" x14ac:dyDescent="0.35">
      <c r="A1108" t="s">
        <v>6429</v>
      </c>
      <c r="B1108" t="s">
        <v>6430</v>
      </c>
      <c r="C1108" t="s">
        <v>6431</v>
      </c>
      <c r="D1108" t="s">
        <v>6432</v>
      </c>
      <c r="E1108" s="10" t="s">
        <v>28</v>
      </c>
      <c r="F1108" s="11" t="s">
        <v>6433</v>
      </c>
      <c r="H1108" s="17" t="str">
        <f>HYPERLINK("https://www.google.com/maps/?q=45.988077778,-66.639319444", "https://www.google.com/maps/?q=45.988077778,-66.639319444")</f>
        <v>https://www.google.com/maps/?q=45.988077778,-66.639319444</v>
      </c>
    </row>
    <row r="1109" spans="1:8" ht="29" x14ac:dyDescent="0.35">
      <c r="A1109" t="s">
        <v>6434</v>
      </c>
      <c r="B1109" t="s">
        <v>6435</v>
      </c>
      <c r="C1109" t="s">
        <v>6436</v>
      </c>
      <c r="D1109" t="s">
        <v>6437</v>
      </c>
      <c r="E1109" s="10" t="s">
        <v>66</v>
      </c>
      <c r="F1109" s="11" t="s">
        <v>6438</v>
      </c>
      <c r="H1109" s="17" t="str">
        <f>HYPERLINK("https://www.google.com/maps/?q=45.8109388890001,-66.2024499999999", "https://www.google.com/maps/?q=45.8109388890001,-66.2024499999999")</f>
        <v>https://www.google.com/maps/?q=45.8109388890001,-66.2024499999999</v>
      </c>
    </row>
    <row r="1110" spans="1:8" ht="29" x14ac:dyDescent="0.35">
      <c r="A1110" t="s">
        <v>6439</v>
      </c>
      <c r="B1110" t="s">
        <v>6440</v>
      </c>
      <c r="C1110" t="s">
        <v>6441</v>
      </c>
      <c r="D1110" t="s">
        <v>6442</v>
      </c>
      <c r="E1110" s="10" t="s">
        <v>17</v>
      </c>
      <c r="F1110" s="11" t="s">
        <v>4073</v>
      </c>
      <c r="H1110" s="17" t="str">
        <f>HYPERLINK("https://www.google.com/maps/?q=46.3854250000001,-64.665555556", "https://www.google.com/maps/?q=46.3854250000001,-64.665555556")</f>
        <v>https://www.google.com/maps/?q=46.3854250000001,-64.665555556</v>
      </c>
    </row>
    <row r="1111" spans="1:8" ht="29" x14ac:dyDescent="0.35">
      <c r="A1111" t="s">
        <v>6443</v>
      </c>
      <c r="B1111" t="s">
        <v>6444</v>
      </c>
      <c r="C1111" t="s">
        <v>6445</v>
      </c>
      <c r="D1111" t="s">
        <v>6446</v>
      </c>
      <c r="E1111" s="10" t="s">
        <v>17</v>
      </c>
      <c r="F1111" s="11" t="s">
        <v>3761</v>
      </c>
      <c r="H1111" s="17" t="str">
        <f>HYPERLINK("https://www.google.com/maps/?q=45.2385,-67.23375", "https://www.google.com/maps/?q=45.2385,-67.23375")</f>
        <v>https://www.google.com/maps/?q=45.2385,-67.23375</v>
      </c>
    </row>
    <row r="1112" spans="1:8" ht="29" x14ac:dyDescent="0.35">
      <c r="A1112" t="s">
        <v>6447</v>
      </c>
      <c r="B1112" t="s">
        <v>6448</v>
      </c>
      <c r="C1112" t="s">
        <v>6449</v>
      </c>
      <c r="D1112" t="s">
        <v>6450</v>
      </c>
      <c r="E1112" s="10" t="s">
        <v>6451</v>
      </c>
      <c r="F1112" s="11" t="s">
        <v>6452</v>
      </c>
      <c r="H1112" s="17" t="str">
        <f>HYPERLINK("https://www.google.com/maps/?q=45.7516416670001,-65.416255556", "https://www.google.com/maps/?q=45.7516416670001,-65.416255556")</f>
        <v>https://www.google.com/maps/?q=45.7516416670001,-65.416255556</v>
      </c>
    </row>
    <row r="1113" spans="1:8" ht="29" x14ac:dyDescent="0.35">
      <c r="A1113" t="s">
        <v>6453</v>
      </c>
      <c r="B1113" t="s">
        <v>6454</v>
      </c>
      <c r="C1113" t="s">
        <v>6455</v>
      </c>
      <c r="D1113" t="s">
        <v>6456</v>
      </c>
      <c r="E1113" s="10" t="s">
        <v>66</v>
      </c>
      <c r="F1113" s="11" t="s">
        <v>6457</v>
      </c>
      <c r="H1113" s="17" t="str">
        <f>HYPERLINK("https://www.google.com/maps/?q=46.0583472220001,-64.58635", "https://www.google.com/maps/?q=46.0583472220001,-64.58635")</f>
        <v>https://www.google.com/maps/?q=46.0583472220001,-64.58635</v>
      </c>
    </row>
    <row r="1114" spans="1:8" ht="29" x14ac:dyDescent="0.35">
      <c r="A1114" t="s">
        <v>6458</v>
      </c>
      <c r="B1114" t="s">
        <v>6459</v>
      </c>
      <c r="C1114" t="s">
        <v>6460</v>
      </c>
      <c r="D1114" t="s">
        <v>6461</v>
      </c>
      <c r="E1114" s="10" t="s">
        <v>1109</v>
      </c>
      <c r="F1114" s="11" t="s">
        <v>6462</v>
      </c>
      <c r="H1114" s="17" t="str">
        <f>HYPERLINK("https://www.google.com/maps/?q=45.203888889,-66.1919444439999", "https://www.google.com/maps/?q=45.203888889,-66.1919444439999")</f>
        <v>https://www.google.com/maps/?q=45.203888889,-66.1919444439999</v>
      </c>
    </row>
    <row r="1115" spans="1:8" ht="29" x14ac:dyDescent="0.35">
      <c r="A1115" t="s">
        <v>6463</v>
      </c>
      <c r="B1115" t="s">
        <v>6464</v>
      </c>
      <c r="C1115" t="s">
        <v>6465</v>
      </c>
      <c r="D1115" t="s">
        <v>6466</v>
      </c>
      <c r="E1115" s="10" t="s">
        <v>1109</v>
      </c>
      <c r="F1115" s="11" t="s">
        <v>6467</v>
      </c>
      <c r="H1115" s="17" t="str">
        <f>HYPERLINK("https://www.google.com/maps/?q=45.589166667,-67.328611111", "https://www.google.com/maps/?q=45.589166667,-67.328611111")</f>
        <v>https://www.google.com/maps/?q=45.589166667,-67.328611111</v>
      </c>
    </row>
    <row r="1116" spans="1:8" ht="29" x14ac:dyDescent="0.35">
      <c r="A1116" t="s">
        <v>6468</v>
      </c>
      <c r="B1116" t="s">
        <v>6469</v>
      </c>
      <c r="C1116" t="s">
        <v>6470</v>
      </c>
      <c r="D1116" t="s">
        <v>6471</v>
      </c>
      <c r="E1116" s="10" t="s">
        <v>44</v>
      </c>
      <c r="F1116" s="11" t="s">
        <v>1797</v>
      </c>
      <c r="H1116" s="17" t="str">
        <f>HYPERLINK("https://www.google.com/maps/?q=46.6867333330001,-65.075086111", "https://www.google.com/maps/?q=46.6867333330001,-65.075086111")</f>
        <v>https://www.google.com/maps/?q=46.6867333330001,-65.075086111</v>
      </c>
    </row>
    <row r="1117" spans="1:8" ht="29" x14ac:dyDescent="0.35">
      <c r="A1117" t="s">
        <v>6472</v>
      </c>
      <c r="B1117" t="s">
        <v>6473</v>
      </c>
      <c r="C1117" t="s">
        <v>6474</v>
      </c>
      <c r="D1117" t="s">
        <v>6475</v>
      </c>
      <c r="E1117" s="10" t="s">
        <v>28</v>
      </c>
      <c r="F1117" s="11" t="s">
        <v>6476</v>
      </c>
      <c r="H1117" s="17" t="str">
        <f>HYPERLINK("https://www.google.com/maps/?q=46.094472222,-64.789752778", "https://www.google.com/maps/?q=46.094472222,-64.789752778")</f>
        <v>https://www.google.com/maps/?q=46.094472222,-64.789752778</v>
      </c>
    </row>
    <row r="1118" spans="1:8" ht="29" x14ac:dyDescent="0.35">
      <c r="A1118" t="s">
        <v>6477</v>
      </c>
      <c r="B1118" t="s">
        <v>6478</v>
      </c>
      <c r="C1118" t="s">
        <v>6479</v>
      </c>
      <c r="D1118" t="s">
        <v>6480</v>
      </c>
      <c r="E1118" s="10" t="s">
        <v>28</v>
      </c>
      <c r="F1118" s="11" t="s">
        <v>6481</v>
      </c>
      <c r="H1118" s="17" t="str">
        <f>HYPERLINK("https://www.google.com/maps/?q=47.640119444,-65.678047222", "https://www.google.com/maps/?q=47.640119444,-65.678047222")</f>
        <v>https://www.google.com/maps/?q=47.640119444,-65.678047222</v>
      </c>
    </row>
    <row r="1119" spans="1:8" ht="29" x14ac:dyDescent="0.35">
      <c r="A1119" t="s">
        <v>6482</v>
      </c>
      <c r="B1119" t="s">
        <v>6483</v>
      </c>
      <c r="C1119" t="s">
        <v>6484</v>
      </c>
      <c r="D1119" t="s">
        <v>6485</v>
      </c>
      <c r="E1119" s="10" t="s">
        <v>17</v>
      </c>
      <c r="F1119" s="11" t="s">
        <v>3109</v>
      </c>
      <c r="H1119" s="17" t="str">
        <f>HYPERLINK("https://www.google.com/maps/?q=47.9581111110001,-66.2413888889999", "https://www.google.com/maps/?q=47.9581111110001,-66.2413888889999")</f>
        <v>https://www.google.com/maps/?q=47.9581111110001,-66.2413888889999</v>
      </c>
    </row>
    <row r="1120" spans="1:8" ht="29" x14ac:dyDescent="0.35">
      <c r="A1120" t="s">
        <v>4099</v>
      </c>
      <c r="B1120" t="s">
        <v>6486</v>
      </c>
      <c r="C1120" t="s">
        <v>4101</v>
      </c>
      <c r="D1120" t="s">
        <v>6487</v>
      </c>
      <c r="E1120" s="10" t="s">
        <v>17</v>
      </c>
      <c r="F1120" s="11" t="s">
        <v>4103</v>
      </c>
      <c r="H1120" s="17" t="str">
        <f>HYPERLINK("https://www.google.com/maps/?q=47.6172,-65.6742", "https://www.google.com/maps/?q=47.6172,-65.6742")</f>
        <v>https://www.google.com/maps/?q=47.6172,-65.6742</v>
      </c>
    </row>
    <row r="1121" spans="1:8" ht="29" x14ac:dyDescent="0.35">
      <c r="A1121" t="s">
        <v>6488</v>
      </c>
      <c r="B1121" t="s">
        <v>6489</v>
      </c>
      <c r="C1121" t="s">
        <v>6490</v>
      </c>
      <c r="D1121" t="s">
        <v>6491</v>
      </c>
      <c r="E1121" s="10" t="s">
        <v>28</v>
      </c>
      <c r="F1121" s="11" t="s">
        <v>4543</v>
      </c>
      <c r="H1121" s="17" t="str">
        <f>HYPERLINK("https://www.google.com/maps/?q=46.096444444,-64.871608333", "https://www.google.com/maps/?q=46.096444444,-64.871608333")</f>
        <v>https://www.google.com/maps/?q=46.096444444,-64.871608333</v>
      </c>
    </row>
    <row r="1122" spans="1:8" ht="29" x14ac:dyDescent="0.35">
      <c r="A1122" t="s">
        <v>6492</v>
      </c>
      <c r="B1122" t="s">
        <v>6493</v>
      </c>
      <c r="C1122" t="s">
        <v>6494</v>
      </c>
      <c r="D1122" t="s">
        <v>6495</v>
      </c>
      <c r="E1122" s="10" t="s">
        <v>28</v>
      </c>
      <c r="F1122" s="11" t="s">
        <v>6496</v>
      </c>
      <c r="H1122" s="17" t="str">
        <f>HYPERLINK("https://www.google.com/maps/?q=46.115986111,-64.831091667", "https://www.google.com/maps/?q=46.115986111,-64.831091667")</f>
        <v>https://www.google.com/maps/?q=46.115986111,-64.831091667</v>
      </c>
    </row>
    <row r="1123" spans="1:8" ht="29" x14ac:dyDescent="0.35">
      <c r="A1123" t="s">
        <v>6497</v>
      </c>
      <c r="B1123" t="s">
        <v>6498</v>
      </c>
      <c r="C1123" t="s">
        <v>6499</v>
      </c>
      <c r="D1123" t="s">
        <v>6500</v>
      </c>
      <c r="E1123" s="10" t="s">
        <v>44</v>
      </c>
      <c r="F1123" s="11" t="s">
        <v>6501</v>
      </c>
      <c r="H1123" s="17" t="str">
        <f>HYPERLINK("https://www.google.com/maps/?q=46.024958333,-65.833108333", "https://www.google.com/maps/?q=46.024958333,-65.833108333")</f>
        <v>https://www.google.com/maps/?q=46.024958333,-65.833108333</v>
      </c>
    </row>
    <row r="1124" spans="1:8" ht="29" x14ac:dyDescent="0.35">
      <c r="A1124" t="s">
        <v>6502</v>
      </c>
      <c r="B1124" t="s">
        <v>6503</v>
      </c>
      <c r="C1124" t="s">
        <v>6504</v>
      </c>
      <c r="D1124" t="s">
        <v>6505</v>
      </c>
      <c r="E1124" s="10" t="s">
        <v>1109</v>
      </c>
      <c r="F1124" s="11" t="s">
        <v>6506</v>
      </c>
      <c r="H1124" s="17" t="str">
        <f>HYPERLINK("https://www.google.com/maps/?q=47.2975000000001,-68.3869444439999", "https://www.google.com/maps/?q=47.2975000000001,-68.3869444439999")</f>
        <v>https://www.google.com/maps/?q=47.2975000000001,-68.3869444439999</v>
      </c>
    </row>
    <row r="1125" spans="1:8" ht="29" x14ac:dyDescent="0.35">
      <c r="A1125" t="s">
        <v>6507</v>
      </c>
      <c r="B1125" t="s">
        <v>6508</v>
      </c>
      <c r="C1125" t="s">
        <v>6509</v>
      </c>
      <c r="D1125" t="s">
        <v>6510</v>
      </c>
      <c r="E1125" s="10" t="s">
        <v>1109</v>
      </c>
      <c r="F1125" s="11" t="s">
        <v>6511</v>
      </c>
      <c r="H1125" s="17" t="str">
        <f>HYPERLINK("https://www.google.com/maps/?q=45.3525000000001,-66.2325", "https://www.google.com/maps/?q=45.3525000000001,-66.2325")</f>
        <v>https://www.google.com/maps/?q=45.3525000000001,-66.2325</v>
      </c>
    </row>
    <row r="1126" spans="1:8" ht="29" x14ac:dyDescent="0.35">
      <c r="A1126" t="s">
        <v>6512</v>
      </c>
      <c r="B1126" t="s">
        <v>6513</v>
      </c>
      <c r="C1126" t="s">
        <v>6514</v>
      </c>
      <c r="D1126" t="s">
        <v>6515</v>
      </c>
      <c r="E1126" s="10" t="s">
        <v>1109</v>
      </c>
      <c r="F1126" s="11" t="s">
        <v>1514</v>
      </c>
      <c r="H1126" s="17" t="str">
        <f>HYPERLINK("https://www.google.com/maps/?q=46.081333333,-64.8484999999999", "https://www.google.com/maps/?q=46.081333333,-64.8484999999999")</f>
        <v>https://www.google.com/maps/?q=46.081333333,-64.8484999999999</v>
      </c>
    </row>
    <row r="1127" spans="1:8" ht="29" x14ac:dyDescent="0.35">
      <c r="A1127" t="s">
        <v>6516</v>
      </c>
      <c r="B1127" t="s">
        <v>6517</v>
      </c>
      <c r="C1127" t="s">
        <v>6518</v>
      </c>
      <c r="D1127" t="s">
        <v>6519</v>
      </c>
      <c r="E1127" s="10" t="s">
        <v>44</v>
      </c>
      <c r="F1127" s="11" t="s">
        <v>3356</v>
      </c>
      <c r="H1127" s="17" t="str">
        <f>HYPERLINK("https://www.google.com/maps/?q=45.9290222220001,-64.460425", "https://www.google.com/maps/?q=45.9290222220001,-64.460425")</f>
        <v>https://www.google.com/maps/?q=45.9290222220001,-64.460425</v>
      </c>
    </row>
    <row r="1128" spans="1:8" ht="29" x14ac:dyDescent="0.35">
      <c r="A1128" t="s">
        <v>6520</v>
      </c>
      <c r="B1128" t="s">
        <v>6521</v>
      </c>
      <c r="C1128" t="s">
        <v>6522</v>
      </c>
      <c r="D1128" t="s">
        <v>6523</v>
      </c>
      <c r="E1128" s="10" t="s">
        <v>44</v>
      </c>
      <c r="F1128" s="11" t="s">
        <v>6524</v>
      </c>
      <c r="H1128" s="17" t="str">
        <f>HYPERLINK("https://www.google.com/maps/?q=45.87195,-65.869580556", "https://www.google.com/maps/?q=45.87195,-65.869580556")</f>
        <v>https://www.google.com/maps/?q=45.87195,-65.869580556</v>
      </c>
    </row>
    <row r="1129" spans="1:8" ht="29" x14ac:dyDescent="0.35">
      <c r="A1129" t="s">
        <v>6525</v>
      </c>
      <c r="B1129" t="s">
        <v>6526</v>
      </c>
      <c r="C1129" t="s">
        <v>6527</v>
      </c>
      <c r="D1129" t="s">
        <v>6528</v>
      </c>
      <c r="E1129" s="10" t="s">
        <v>28</v>
      </c>
      <c r="F1129" s="11" t="s">
        <v>6529</v>
      </c>
      <c r="H1129" s="17" t="str">
        <f>HYPERLINK("https://www.google.com/maps/?q=46.1016638890001,-64.812797222", "https://www.google.com/maps/?q=46.1016638890001,-64.812797222")</f>
        <v>https://www.google.com/maps/?q=46.1016638890001,-64.812797222</v>
      </c>
    </row>
    <row r="1130" spans="1:8" ht="29" x14ac:dyDescent="0.35">
      <c r="A1130" t="s">
        <v>6530</v>
      </c>
      <c r="B1130" t="s">
        <v>6531</v>
      </c>
      <c r="C1130" t="s">
        <v>6532</v>
      </c>
      <c r="D1130" t="s">
        <v>6533</v>
      </c>
      <c r="E1130" s="10" t="s">
        <v>28</v>
      </c>
      <c r="F1130" s="11" t="s">
        <v>6534</v>
      </c>
      <c r="H1130" s="17" t="str">
        <f>HYPERLINK("https://www.google.com/maps/?q=45.953347222,-66.684911111", "https://www.google.com/maps/?q=45.953347222,-66.684911111")</f>
        <v>https://www.google.com/maps/?q=45.953347222,-66.684911111</v>
      </c>
    </row>
    <row r="1131" spans="1:8" ht="29" x14ac:dyDescent="0.35">
      <c r="A1131" t="s">
        <v>6535</v>
      </c>
      <c r="B1131" t="s">
        <v>6536</v>
      </c>
      <c r="C1131" t="s">
        <v>6537</v>
      </c>
      <c r="D1131" t="s">
        <v>6538</v>
      </c>
      <c r="E1131" s="10" t="s">
        <v>66</v>
      </c>
      <c r="F1131" s="11" t="s">
        <v>1355</v>
      </c>
      <c r="H1131" s="17" t="str">
        <f>HYPERLINK("https://www.google.com/maps/?q=45.369080556,-65.9965", "https://www.google.com/maps/?q=45.369080556,-65.9965")</f>
        <v>https://www.google.com/maps/?q=45.369080556,-65.9965</v>
      </c>
    </row>
    <row r="1132" spans="1:8" ht="29" x14ac:dyDescent="0.35">
      <c r="A1132" t="s">
        <v>6539</v>
      </c>
      <c r="B1132" t="s">
        <v>6540</v>
      </c>
      <c r="C1132" t="s">
        <v>6541</v>
      </c>
      <c r="D1132" t="s">
        <v>6542</v>
      </c>
      <c r="E1132" s="10" t="s">
        <v>1109</v>
      </c>
      <c r="F1132" s="11" t="s">
        <v>2303</v>
      </c>
      <c r="H1132" s="17" t="str">
        <f>HYPERLINK("https://www.google.com/maps/?q=45.9233333330001,-65.222777778", "https://www.google.com/maps/?q=45.9233333330001,-65.222777778")</f>
        <v>https://www.google.com/maps/?q=45.9233333330001,-65.222777778</v>
      </c>
    </row>
    <row r="1133" spans="1:8" ht="29" x14ac:dyDescent="0.35">
      <c r="A1133" t="s">
        <v>6543</v>
      </c>
      <c r="B1133" t="s">
        <v>6544</v>
      </c>
      <c r="C1133" t="s">
        <v>6545</v>
      </c>
      <c r="D1133" t="s">
        <v>6546</v>
      </c>
      <c r="E1133" s="10" t="s">
        <v>1109</v>
      </c>
      <c r="F1133" s="11" t="s">
        <v>6547</v>
      </c>
      <c r="H1133" s="17" t="str">
        <f>HYPERLINK("https://www.google.com/maps/?q=46.1772777780001,-65.878222222", "https://www.google.com/maps/?q=46.1772777780001,-65.878222222")</f>
        <v>https://www.google.com/maps/?q=46.1772777780001,-65.878222222</v>
      </c>
    </row>
    <row r="1134" spans="1:8" ht="29" x14ac:dyDescent="0.35">
      <c r="A1134" t="s">
        <v>6548</v>
      </c>
      <c r="B1134" t="s">
        <v>6549</v>
      </c>
      <c r="C1134" t="s">
        <v>6550</v>
      </c>
      <c r="D1134" t="s">
        <v>6551</v>
      </c>
      <c r="E1134" s="10" t="s">
        <v>195</v>
      </c>
      <c r="F1134" s="11" t="s">
        <v>6552</v>
      </c>
      <c r="H1134" s="17" t="str">
        <f>HYPERLINK("https://www.google.com/maps/?q=46.1048555560001,-64.666933333", "https://www.google.com/maps/?q=46.1048555560001,-64.666933333")</f>
        <v>https://www.google.com/maps/?q=46.1048555560001,-64.666933333</v>
      </c>
    </row>
    <row r="1135" spans="1:8" ht="29" x14ac:dyDescent="0.35">
      <c r="A1135" t="s">
        <v>6553</v>
      </c>
      <c r="B1135" t="s">
        <v>6554</v>
      </c>
      <c r="C1135" t="s">
        <v>6555</v>
      </c>
      <c r="D1135" t="s">
        <v>6556</v>
      </c>
      <c r="E1135" s="10" t="s">
        <v>66</v>
      </c>
      <c r="F1135" s="11" t="s">
        <v>1717</v>
      </c>
      <c r="H1135" s="17" t="str">
        <f>HYPERLINK("https://www.google.com/maps/?q=46.093308333,-63.9617916669999", "https://www.google.com/maps/?q=46.093308333,-63.9617916669999")</f>
        <v>https://www.google.com/maps/?q=46.093308333,-63.9617916669999</v>
      </c>
    </row>
    <row r="1136" spans="1:8" ht="29" x14ac:dyDescent="0.35">
      <c r="A1136" t="s">
        <v>6557</v>
      </c>
      <c r="B1136" t="s">
        <v>6558</v>
      </c>
      <c r="C1136" t="s">
        <v>6559</v>
      </c>
      <c r="D1136" t="s">
        <v>6560</v>
      </c>
      <c r="E1136" s="10" t="s">
        <v>28</v>
      </c>
      <c r="F1136" s="11" t="s">
        <v>6561</v>
      </c>
      <c r="H1136" s="17" t="str">
        <f>HYPERLINK("https://www.google.com/maps/?q=46.220886111,-64.3928583329999", "https://www.google.com/maps/?q=46.220886111,-64.3928583329999")</f>
        <v>https://www.google.com/maps/?q=46.220886111,-64.3928583329999</v>
      </c>
    </row>
    <row r="1137" spans="1:8" ht="29" x14ac:dyDescent="0.35">
      <c r="A1137" t="s">
        <v>6562</v>
      </c>
      <c r="B1137" t="s">
        <v>6563</v>
      </c>
      <c r="C1137" t="s">
        <v>6564</v>
      </c>
      <c r="D1137" t="s">
        <v>6565</v>
      </c>
      <c r="E1137" s="10" t="s">
        <v>1109</v>
      </c>
      <c r="F1137" s="11" t="s">
        <v>5670</v>
      </c>
      <c r="H1137" s="17" t="str">
        <f>HYPERLINK("https://www.google.com/maps/?q=47.461666667,-65.483888889", "https://www.google.com/maps/?q=47.461666667,-65.483888889")</f>
        <v>https://www.google.com/maps/?q=47.461666667,-65.483888889</v>
      </c>
    </row>
    <row r="1138" spans="1:8" ht="29" x14ac:dyDescent="0.35">
      <c r="A1138" t="s">
        <v>6566</v>
      </c>
      <c r="B1138" t="s">
        <v>6567</v>
      </c>
      <c r="C1138" t="s">
        <v>6568</v>
      </c>
      <c r="D1138" t="s">
        <v>6569</v>
      </c>
      <c r="E1138" s="10" t="s">
        <v>1109</v>
      </c>
      <c r="F1138" s="11" t="s">
        <v>3405</v>
      </c>
      <c r="H1138" s="17" t="str">
        <f>HYPERLINK("https://www.google.com/maps/?q=46.151416667,-66.039277778", "https://www.google.com/maps/?q=46.151416667,-66.039277778")</f>
        <v>https://www.google.com/maps/?q=46.151416667,-66.039277778</v>
      </c>
    </row>
    <row r="1139" spans="1:8" ht="29" x14ac:dyDescent="0.35">
      <c r="A1139" t="s">
        <v>6570</v>
      </c>
      <c r="B1139" t="s">
        <v>6571</v>
      </c>
      <c r="C1139" t="s">
        <v>6572</v>
      </c>
      <c r="D1139" t="s">
        <v>6573</v>
      </c>
      <c r="E1139" s="10" t="s">
        <v>1109</v>
      </c>
      <c r="F1139" s="11" t="s">
        <v>6574</v>
      </c>
      <c r="H1139" s="17" t="str">
        <f>HYPERLINK("https://www.google.com/maps/?q=47.3533333330001,-68.3680555559999", "https://www.google.com/maps/?q=47.3533333330001,-68.3680555559999")</f>
        <v>https://www.google.com/maps/?q=47.3533333330001,-68.3680555559999</v>
      </c>
    </row>
    <row r="1140" spans="1:8" ht="29" x14ac:dyDescent="0.35">
      <c r="A1140" t="s">
        <v>6575</v>
      </c>
      <c r="B1140" t="s">
        <v>6576</v>
      </c>
      <c r="C1140" t="s">
        <v>6577</v>
      </c>
      <c r="D1140" t="s">
        <v>6578</v>
      </c>
      <c r="E1140" s="10" t="s">
        <v>1109</v>
      </c>
      <c r="F1140" s="11" t="s">
        <v>5276</v>
      </c>
      <c r="H1140" s="17" t="str">
        <f>HYPERLINK("https://www.google.com/maps/?q=46.4104722220001,-66.9216111109999", "https://www.google.com/maps/?q=46.4104722220001,-66.9216111109999")</f>
        <v>https://www.google.com/maps/?q=46.4104722220001,-66.9216111109999</v>
      </c>
    </row>
    <row r="1141" spans="1:8" ht="29" x14ac:dyDescent="0.35">
      <c r="A1141" t="s">
        <v>6579</v>
      </c>
      <c r="B1141" t="s">
        <v>6580</v>
      </c>
      <c r="C1141" t="s">
        <v>6581</v>
      </c>
      <c r="D1141" t="s">
        <v>6582</v>
      </c>
      <c r="E1141" s="10" t="s">
        <v>44</v>
      </c>
      <c r="F1141" s="11" t="s">
        <v>6583</v>
      </c>
      <c r="H1141" s="17" t="str">
        <f>HYPERLINK("https://www.google.com/maps/?q=47.022011111,-65.46165", "https://www.google.com/maps/?q=47.022011111,-65.46165")</f>
        <v>https://www.google.com/maps/?q=47.022011111,-65.46165</v>
      </c>
    </row>
    <row r="1142" spans="1:8" ht="29" x14ac:dyDescent="0.35">
      <c r="A1142" t="s">
        <v>6584</v>
      </c>
      <c r="B1142" t="s">
        <v>6585</v>
      </c>
      <c r="C1142" t="s">
        <v>6586</v>
      </c>
      <c r="D1142" t="s">
        <v>6587</v>
      </c>
      <c r="E1142" s="10" t="s">
        <v>1109</v>
      </c>
      <c r="F1142" s="11" t="s">
        <v>1514</v>
      </c>
      <c r="H1142" s="17" t="str">
        <f>HYPERLINK("https://www.google.com/maps/?q=46.075833333,-64.863722222", "https://www.google.com/maps/?q=46.075833333,-64.863722222")</f>
        <v>https://www.google.com/maps/?q=46.075833333,-64.863722222</v>
      </c>
    </row>
    <row r="1143" spans="1:8" ht="29" x14ac:dyDescent="0.35">
      <c r="A1143" t="s">
        <v>6588</v>
      </c>
      <c r="B1143" t="s">
        <v>6589</v>
      </c>
      <c r="C1143" t="s">
        <v>6590</v>
      </c>
      <c r="D1143" t="s">
        <v>6591</v>
      </c>
      <c r="E1143" s="10" t="s">
        <v>28</v>
      </c>
      <c r="F1143" s="11" t="s">
        <v>6592</v>
      </c>
      <c r="H1143" s="17" t="str">
        <f>HYPERLINK("https://www.google.com/maps/?q=46.2395777780001,-64.5160999999999", "https://www.google.com/maps/?q=46.2395777780001,-64.5160999999999")</f>
        <v>https://www.google.com/maps/?q=46.2395777780001,-64.5160999999999</v>
      </c>
    </row>
    <row r="1144" spans="1:8" ht="29" x14ac:dyDescent="0.35">
      <c r="A1144" t="s">
        <v>6593</v>
      </c>
      <c r="B1144" t="s">
        <v>6594</v>
      </c>
      <c r="C1144" t="s">
        <v>6595</v>
      </c>
      <c r="D1144" t="s">
        <v>6596</v>
      </c>
      <c r="E1144" s="10" t="s">
        <v>1109</v>
      </c>
      <c r="F1144" s="11" t="s">
        <v>6597</v>
      </c>
      <c r="H1144" s="17" t="str">
        <f>HYPERLINK("https://www.google.com/maps/?q=47.2327777780001,-68.0108333329999", "https://www.google.com/maps/?q=47.2327777780001,-68.0108333329999")</f>
        <v>https://www.google.com/maps/?q=47.2327777780001,-68.0108333329999</v>
      </c>
    </row>
    <row r="1145" spans="1:8" ht="29" x14ac:dyDescent="0.35">
      <c r="A1145" t="s">
        <v>6598</v>
      </c>
      <c r="B1145" t="s">
        <v>6599</v>
      </c>
      <c r="C1145" t="s">
        <v>6600</v>
      </c>
      <c r="D1145" t="s">
        <v>6601</v>
      </c>
      <c r="E1145" s="10" t="s">
        <v>1109</v>
      </c>
      <c r="F1145" s="11" t="s">
        <v>6602</v>
      </c>
      <c r="H1145" s="17" t="str">
        <f>HYPERLINK("https://www.google.com/maps/?q=47.2859444440001,-68.424805556", "https://www.google.com/maps/?q=47.2859444440001,-68.424805556")</f>
        <v>https://www.google.com/maps/?q=47.2859444440001,-68.424805556</v>
      </c>
    </row>
    <row r="1146" spans="1:8" ht="29" x14ac:dyDescent="0.35">
      <c r="A1146" t="s">
        <v>6603</v>
      </c>
      <c r="B1146" t="s">
        <v>6604</v>
      </c>
      <c r="C1146" t="s">
        <v>6605</v>
      </c>
      <c r="D1146" t="s">
        <v>6606</v>
      </c>
      <c r="E1146" s="10" t="s">
        <v>50</v>
      </c>
      <c r="F1146" s="11" t="s">
        <v>4416</v>
      </c>
      <c r="H1146" s="17" t="str">
        <f>HYPERLINK("https://www.google.com/maps/?q=45.960677778,-66.63825", "https://www.google.com/maps/?q=45.960677778,-66.63825")</f>
        <v>https://www.google.com/maps/?q=45.960677778,-66.63825</v>
      </c>
    </row>
    <row r="1147" spans="1:8" ht="29" x14ac:dyDescent="0.35">
      <c r="A1147" t="s">
        <v>6607</v>
      </c>
      <c r="B1147" t="s">
        <v>6608</v>
      </c>
      <c r="C1147" t="s">
        <v>6609</v>
      </c>
      <c r="D1147" t="s">
        <v>6610</v>
      </c>
      <c r="E1147" s="10" t="s">
        <v>28</v>
      </c>
      <c r="F1147" s="11" t="s">
        <v>6611</v>
      </c>
      <c r="H1147" s="17" t="str">
        <f>HYPERLINK("https://www.google.com/maps/?q=46.102136111,-64.796686111", "https://www.google.com/maps/?q=46.102136111,-64.796686111")</f>
        <v>https://www.google.com/maps/?q=46.102136111,-64.796686111</v>
      </c>
    </row>
    <row r="1148" spans="1:8" ht="29" x14ac:dyDescent="0.35">
      <c r="A1148" t="s">
        <v>6612</v>
      </c>
      <c r="B1148" t="s">
        <v>6613</v>
      </c>
      <c r="C1148" t="s">
        <v>6614</v>
      </c>
      <c r="D1148" t="s">
        <v>6615</v>
      </c>
      <c r="E1148" s="10" t="s">
        <v>28</v>
      </c>
      <c r="F1148" s="11" t="s">
        <v>6616</v>
      </c>
      <c r="H1148" s="17" t="str">
        <f>HYPERLINK("https://www.google.com/maps/?q=47.511383333,-67.3816944439999", "https://www.google.com/maps/?q=47.511383333,-67.3816944439999")</f>
        <v>https://www.google.com/maps/?q=47.511383333,-67.3816944439999</v>
      </c>
    </row>
    <row r="1149" spans="1:8" ht="29" x14ac:dyDescent="0.35">
      <c r="A1149" t="s">
        <v>6617</v>
      </c>
      <c r="B1149" t="s">
        <v>6618</v>
      </c>
      <c r="C1149" t="s">
        <v>6619</v>
      </c>
      <c r="D1149" t="s">
        <v>6620</v>
      </c>
      <c r="E1149" s="10" t="s">
        <v>66</v>
      </c>
      <c r="F1149" s="11" t="s">
        <v>6621</v>
      </c>
      <c r="H1149" s="17" t="str">
        <f>HYPERLINK("https://www.google.com/maps/?q=46.0644,-64.6965333329999", "https://www.google.com/maps/?q=46.0644,-64.6965333329999")</f>
        <v>https://www.google.com/maps/?q=46.0644,-64.6965333329999</v>
      </c>
    </row>
    <row r="1150" spans="1:8" ht="29" x14ac:dyDescent="0.35">
      <c r="A1150" t="s">
        <v>6622</v>
      </c>
      <c r="B1150" t="s">
        <v>6623</v>
      </c>
      <c r="C1150" t="s">
        <v>6624</v>
      </c>
      <c r="D1150" t="s">
        <v>6625</v>
      </c>
      <c r="E1150" s="10" t="s">
        <v>17</v>
      </c>
      <c r="F1150" s="11" t="s">
        <v>2348</v>
      </c>
      <c r="H1150" s="17" t="str">
        <f>HYPERLINK("https://www.google.com/maps/?q=45.1967500000001,-67.1285999999999", "https://www.google.com/maps/?q=45.1967500000001,-67.1285999999999")</f>
        <v>https://www.google.com/maps/?q=45.1967500000001,-67.1285999999999</v>
      </c>
    </row>
    <row r="1151" spans="1:8" ht="29" x14ac:dyDescent="0.35">
      <c r="A1151" t="s">
        <v>6626</v>
      </c>
      <c r="B1151" t="s">
        <v>6627</v>
      </c>
      <c r="C1151" t="s">
        <v>6628</v>
      </c>
      <c r="D1151" t="s">
        <v>6629</v>
      </c>
      <c r="E1151" s="10" t="s">
        <v>1109</v>
      </c>
      <c r="F1151" s="11" t="s">
        <v>6630</v>
      </c>
      <c r="H1151" s="17" t="str">
        <f>HYPERLINK("https://www.google.com/maps/?q=47.034722222,-67.6369444439999", "https://www.google.com/maps/?q=47.034722222,-67.6369444439999")</f>
        <v>https://www.google.com/maps/?q=47.034722222,-67.6369444439999</v>
      </c>
    </row>
    <row r="1152" spans="1:8" ht="29" x14ac:dyDescent="0.35">
      <c r="A1152" t="s">
        <v>6631</v>
      </c>
      <c r="B1152" t="s">
        <v>6632</v>
      </c>
      <c r="C1152" t="s">
        <v>6633</v>
      </c>
      <c r="D1152" t="s">
        <v>6634</v>
      </c>
      <c r="E1152" s="10" t="s">
        <v>1109</v>
      </c>
      <c r="F1152" s="11" t="s">
        <v>6635</v>
      </c>
      <c r="H1152" s="17" t="str">
        <f>HYPERLINK("https://www.google.com/maps/?q=45.9230555560001,-64.520444444", "https://www.google.com/maps/?q=45.9230555560001,-64.520444444")</f>
        <v>https://www.google.com/maps/?q=45.9230555560001,-64.520444444</v>
      </c>
    </row>
    <row r="1153" spans="1:8" ht="29" x14ac:dyDescent="0.35">
      <c r="A1153" t="s">
        <v>6636</v>
      </c>
      <c r="B1153" t="s">
        <v>6637</v>
      </c>
      <c r="C1153" t="s">
        <v>6638</v>
      </c>
      <c r="D1153" t="s">
        <v>6639</v>
      </c>
      <c r="E1153" s="10" t="s">
        <v>1109</v>
      </c>
      <c r="F1153" s="11" t="s">
        <v>4543</v>
      </c>
      <c r="H1153" s="17" t="str">
        <f>HYPERLINK("https://www.google.com/maps/?q=46.0926388890001,-64.866277778", "https://www.google.com/maps/?q=46.0926388890001,-64.866277778")</f>
        <v>https://www.google.com/maps/?q=46.0926388890001,-64.866277778</v>
      </c>
    </row>
    <row r="1154" spans="1:8" ht="43.5" x14ac:dyDescent="0.35">
      <c r="A1154" t="s">
        <v>6640</v>
      </c>
      <c r="B1154" t="s">
        <v>6641</v>
      </c>
      <c r="C1154" t="s">
        <v>6642</v>
      </c>
      <c r="D1154" t="s">
        <v>6643</v>
      </c>
      <c r="E1154" s="10" t="s">
        <v>28</v>
      </c>
      <c r="F1154" s="11" t="s">
        <v>6644</v>
      </c>
      <c r="H1154" s="17" t="str">
        <f>HYPERLINK("https://www.google.com/maps/?q=47.024086111,-65.4662", "https://www.google.com/maps/?q=47.024086111,-65.4662")</f>
        <v>https://www.google.com/maps/?q=47.024086111,-65.4662</v>
      </c>
    </row>
    <row r="1155" spans="1:8" ht="29" x14ac:dyDescent="0.35">
      <c r="A1155" t="s">
        <v>6645</v>
      </c>
      <c r="B1155" t="s">
        <v>6646</v>
      </c>
      <c r="C1155" t="s">
        <v>6647</v>
      </c>
      <c r="D1155" t="s">
        <v>6648</v>
      </c>
      <c r="E1155" s="10" t="s">
        <v>44</v>
      </c>
      <c r="F1155" s="11" t="s">
        <v>6649</v>
      </c>
      <c r="H1155" s="17" t="str">
        <f>HYPERLINK("https://www.google.com/maps/?q=46.172252778,-65.873627778", "https://www.google.com/maps/?q=46.172252778,-65.873627778")</f>
        <v>https://www.google.com/maps/?q=46.172252778,-65.873627778</v>
      </c>
    </row>
    <row r="1156" spans="1:8" ht="29" x14ac:dyDescent="0.35">
      <c r="A1156" t="s">
        <v>6650</v>
      </c>
      <c r="B1156" t="s">
        <v>6651</v>
      </c>
      <c r="C1156" t="s">
        <v>6652</v>
      </c>
      <c r="D1156" t="s">
        <v>6653</v>
      </c>
      <c r="E1156" s="10" t="s">
        <v>461</v>
      </c>
      <c r="F1156" s="11" t="s">
        <v>6654</v>
      </c>
      <c r="H1156" s="17" t="str">
        <f>HYPERLINK("https://www.google.com/maps/?q=45.2747000000001,-66.062505556", "https://www.google.com/maps/?q=45.2747000000001,-66.062505556")</f>
        <v>https://www.google.com/maps/?q=45.2747000000001,-66.062505556</v>
      </c>
    </row>
    <row r="1157" spans="1:8" ht="29" x14ac:dyDescent="0.35">
      <c r="A1157" t="s">
        <v>6655</v>
      </c>
      <c r="B1157" t="s">
        <v>6656</v>
      </c>
      <c r="C1157" t="s">
        <v>6657</v>
      </c>
      <c r="D1157" t="s">
        <v>6658</v>
      </c>
      <c r="E1157" s="10" t="s">
        <v>50</v>
      </c>
      <c r="F1157" s="11" t="s">
        <v>6659</v>
      </c>
      <c r="H1157" s="17" t="str">
        <f>HYPERLINK("https://www.google.com/maps/?q=47.920561111,-66.1414", "https://www.google.com/maps/?q=47.920561111,-66.1414")</f>
        <v>https://www.google.com/maps/?q=47.920561111,-66.1414</v>
      </c>
    </row>
    <row r="1158" spans="1:8" ht="29" x14ac:dyDescent="0.35">
      <c r="A1158" t="s">
        <v>6660</v>
      </c>
      <c r="B1158" t="s">
        <v>6661</v>
      </c>
      <c r="C1158" t="s">
        <v>6662</v>
      </c>
      <c r="D1158" t="s">
        <v>6663</v>
      </c>
      <c r="E1158" s="10" t="s">
        <v>50</v>
      </c>
      <c r="F1158" s="11" t="s">
        <v>6664</v>
      </c>
      <c r="H1158" s="17" t="str">
        <f>HYPERLINK("https://www.google.com/maps/?q=45.946586111,-67.279958333", "https://www.google.com/maps/?q=45.946586111,-67.279958333")</f>
        <v>https://www.google.com/maps/?q=45.946586111,-67.279958333</v>
      </c>
    </row>
    <row r="1159" spans="1:8" ht="29" x14ac:dyDescent="0.35">
      <c r="A1159" t="s">
        <v>6665</v>
      </c>
      <c r="B1159" t="s">
        <v>1705</v>
      </c>
      <c r="C1159" t="s">
        <v>6666</v>
      </c>
      <c r="D1159" t="s">
        <v>1707</v>
      </c>
      <c r="E1159" s="10" t="s">
        <v>1109</v>
      </c>
      <c r="F1159" s="11" t="s">
        <v>1514</v>
      </c>
      <c r="H1159" s="17" t="str">
        <f>HYPERLINK("https://www.google.com/maps/?q=46.0722222220001,-64.869194444", "https://www.google.com/maps/?q=46.0722222220001,-64.869194444")</f>
        <v>https://www.google.com/maps/?q=46.0722222220001,-64.869194444</v>
      </c>
    </row>
    <row r="1160" spans="1:8" ht="29" x14ac:dyDescent="0.35">
      <c r="A1160" t="s">
        <v>6173</v>
      </c>
      <c r="B1160" t="s">
        <v>6667</v>
      </c>
      <c r="C1160" t="s">
        <v>6175</v>
      </c>
      <c r="D1160" t="s">
        <v>6668</v>
      </c>
      <c r="E1160" s="10" t="s">
        <v>1109</v>
      </c>
      <c r="F1160" s="11" t="s">
        <v>6669</v>
      </c>
      <c r="H1160" s="17" t="str">
        <f>HYPERLINK("https://www.google.com/maps/?q=47.0633333330001,-67.7452222219999", "https://www.google.com/maps/?q=47.0633333330001,-67.7452222219999")</f>
        <v>https://www.google.com/maps/?q=47.0633333330001,-67.7452222219999</v>
      </c>
    </row>
    <row r="1161" spans="1:8" ht="29" x14ac:dyDescent="0.35">
      <c r="A1161" t="s">
        <v>6670</v>
      </c>
      <c r="B1161" t="s">
        <v>6671</v>
      </c>
      <c r="C1161" t="s">
        <v>6672</v>
      </c>
      <c r="D1161" t="s">
        <v>6673</v>
      </c>
      <c r="E1161" s="10" t="s">
        <v>28</v>
      </c>
      <c r="F1161" s="11" t="s">
        <v>6674</v>
      </c>
      <c r="H1161" s="17" t="str">
        <f>HYPERLINK("https://www.google.com/maps/?q=45.923963889,-66.6205805559999", "https://www.google.com/maps/?q=45.923963889,-66.6205805559999")</f>
        <v>https://www.google.com/maps/?q=45.923963889,-66.6205805559999</v>
      </c>
    </row>
    <row r="1162" spans="1:8" ht="29" x14ac:dyDescent="0.35">
      <c r="A1162" t="s">
        <v>6675</v>
      </c>
      <c r="B1162" t="s">
        <v>6676</v>
      </c>
      <c r="C1162" t="s">
        <v>6677</v>
      </c>
      <c r="D1162" t="s">
        <v>6678</v>
      </c>
      <c r="E1162" s="10" t="s">
        <v>50</v>
      </c>
      <c r="F1162" s="11" t="s">
        <v>6679</v>
      </c>
      <c r="H1162" s="17" t="str">
        <f>HYPERLINK("https://www.google.com/maps/?q=45.2523194440001,-66.0698277779999", "https://www.google.com/maps/?q=45.2523194440001,-66.0698277779999")</f>
        <v>https://www.google.com/maps/?q=45.2523194440001,-66.0698277779999</v>
      </c>
    </row>
    <row r="1163" spans="1:8" ht="29" x14ac:dyDescent="0.35">
      <c r="A1163" t="s">
        <v>6680</v>
      </c>
      <c r="B1163" t="s">
        <v>6681</v>
      </c>
      <c r="C1163" t="s">
        <v>6682</v>
      </c>
      <c r="D1163" t="s">
        <v>6683</v>
      </c>
      <c r="E1163" s="10" t="s">
        <v>1109</v>
      </c>
      <c r="F1163" s="11" t="s">
        <v>1514</v>
      </c>
      <c r="H1163" s="17" t="str">
        <f>HYPERLINK("https://www.google.com/maps/?q=46.07725,-64.854444444", "https://www.google.com/maps/?q=46.07725,-64.854444444")</f>
        <v>https://www.google.com/maps/?q=46.07725,-64.854444444</v>
      </c>
    </row>
    <row r="1164" spans="1:8" ht="29" x14ac:dyDescent="0.35">
      <c r="A1164" t="s">
        <v>6684</v>
      </c>
      <c r="B1164" t="s">
        <v>6685</v>
      </c>
      <c r="C1164" t="s">
        <v>6686</v>
      </c>
      <c r="D1164" t="s">
        <v>6687</v>
      </c>
      <c r="E1164" s="10" t="s">
        <v>1109</v>
      </c>
      <c r="F1164" s="11" t="s">
        <v>6688</v>
      </c>
      <c r="H1164" s="17" t="str">
        <f>HYPERLINK("https://www.google.com/maps/?q=46.4141666670001,-66.9347222219999", "https://www.google.com/maps/?q=46.4141666670001,-66.9347222219999")</f>
        <v>https://www.google.com/maps/?q=46.4141666670001,-66.9347222219999</v>
      </c>
    </row>
    <row r="1165" spans="1:8" ht="29" x14ac:dyDescent="0.35">
      <c r="A1165" t="s">
        <v>6689</v>
      </c>
      <c r="B1165" t="s">
        <v>6690</v>
      </c>
      <c r="C1165" t="s">
        <v>6691</v>
      </c>
      <c r="D1165" t="s">
        <v>6692</v>
      </c>
      <c r="E1165" s="10" t="s">
        <v>28</v>
      </c>
      <c r="F1165" s="11" t="s">
        <v>6693</v>
      </c>
      <c r="H1165" s="17" t="str">
        <f>HYPERLINK("https://www.google.com/maps/?q=45.9346722220001,-66.6312444439999", "https://www.google.com/maps/?q=45.9346722220001,-66.6312444439999")</f>
        <v>https://www.google.com/maps/?q=45.9346722220001,-66.6312444439999</v>
      </c>
    </row>
    <row r="1166" spans="1:8" ht="29" x14ac:dyDescent="0.35">
      <c r="A1166" t="s">
        <v>6694</v>
      </c>
      <c r="B1166" t="s">
        <v>6695</v>
      </c>
      <c r="C1166" t="s">
        <v>6696</v>
      </c>
      <c r="D1166" t="s">
        <v>6697</v>
      </c>
      <c r="E1166" s="10" t="s">
        <v>1109</v>
      </c>
      <c r="F1166" s="11" t="s">
        <v>6698</v>
      </c>
      <c r="H1166" s="17" t="str">
        <f>HYPERLINK("https://www.google.com/maps/?q=46.9468055560001,-67.528611111", "https://www.google.com/maps/?q=46.9468055560001,-67.528611111")</f>
        <v>https://www.google.com/maps/?q=46.9468055560001,-67.528611111</v>
      </c>
    </row>
    <row r="1167" spans="1:8" ht="29" x14ac:dyDescent="0.35">
      <c r="A1167" t="s">
        <v>6699</v>
      </c>
      <c r="B1167" t="s">
        <v>6700</v>
      </c>
      <c r="C1167" t="s">
        <v>6701</v>
      </c>
      <c r="D1167" t="s">
        <v>6702</v>
      </c>
      <c r="E1167" s="10" t="s">
        <v>1109</v>
      </c>
      <c r="F1167" s="11" t="s">
        <v>6703</v>
      </c>
      <c r="H1167" s="17" t="str">
        <f>HYPERLINK("https://www.google.com/maps/?q=46.2103888890001,-65.578277778", "https://www.google.com/maps/?q=46.2103888890001,-65.578277778")</f>
        <v>https://www.google.com/maps/?q=46.2103888890001,-65.578277778</v>
      </c>
    </row>
    <row r="1168" spans="1:8" ht="29" x14ac:dyDescent="0.35">
      <c r="A1168" t="s">
        <v>6704</v>
      </c>
      <c r="B1168" t="s">
        <v>6705</v>
      </c>
      <c r="C1168" t="s">
        <v>6706</v>
      </c>
      <c r="D1168" t="s">
        <v>6707</v>
      </c>
      <c r="E1168" s="10" t="s">
        <v>28</v>
      </c>
      <c r="F1168" s="11" t="s">
        <v>6708</v>
      </c>
      <c r="H1168" s="17" t="str">
        <f>HYPERLINK("https://www.google.com/maps/?q=44.860127778,-66.976961111", "https://www.google.com/maps/?q=44.860127778,-66.976961111")</f>
        <v>https://www.google.com/maps/?q=44.860127778,-66.976961111</v>
      </c>
    </row>
    <row r="1169" spans="1:8" ht="29" x14ac:dyDescent="0.35">
      <c r="A1169" t="s">
        <v>6709</v>
      </c>
      <c r="B1169" t="s">
        <v>6710</v>
      </c>
      <c r="C1169" t="s">
        <v>6711</v>
      </c>
      <c r="D1169" t="s">
        <v>6712</v>
      </c>
      <c r="E1169" s="10" t="s">
        <v>44</v>
      </c>
      <c r="F1169" s="11" t="s">
        <v>6713</v>
      </c>
      <c r="H1169" s="17" t="str">
        <f>HYPERLINK("https://www.google.com/maps/?q=45.228444444,-66.8404305559999", "https://www.google.com/maps/?q=45.228444444,-66.8404305559999")</f>
        <v>https://www.google.com/maps/?q=45.228444444,-66.8404305559999</v>
      </c>
    </row>
    <row r="1170" spans="1:8" ht="29" x14ac:dyDescent="0.35">
      <c r="A1170" t="s">
        <v>6714</v>
      </c>
      <c r="B1170" t="s">
        <v>6715</v>
      </c>
      <c r="C1170" t="s">
        <v>6716</v>
      </c>
      <c r="D1170" t="s">
        <v>6717</v>
      </c>
      <c r="E1170" s="10" t="s">
        <v>28</v>
      </c>
      <c r="F1170" s="11" t="s">
        <v>6718</v>
      </c>
      <c r="H1170" s="17" t="str">
        <f>HYPERLINK("https://www.google.com/maps/?q=45.3962638890001,-65.982147222", "https://www.google.com/maps/?q=45.3962638890001,-65.982147222")</f>
        <v>https://www.google.com/maps/?q=45.3962638890001,-65.982147222</v>
      </c>
    </row>
    <row r="1171" spans="1:8" ht="29" x14ac:dyDescent="0.35">
      <c r="A1171" t="s">
        <v>6719</v>
      </c>
      <c r="B1171" t="s">
        <v>6720</v>
      </c>
      <c r="C1171" t="s">
        <v>6721</v>
      </c>
      <c r="D1171" t="s">
        <v>6722</v>
      </c>
      <c r="E1171" s="10" t="s">
        <v>17</v>
      </c>
      <c r="F1171" s="11" t="s">
        <v>2967</v>
      </c>
      <c r="H1171" s="17" t="str">
        <f>HYPERLINK("https://www.google.com/maps/?q=47.3828611110001,-64.9670833329999", "https://www.google.com/maps/?q=47.3828611110001,-64.9670833329999")</f>
        <v>https://www.google.com/maps/?q=47.3828611110001,-64.9670833329999</v>
      </c>
    </row>
    <row r="1172" spans="1:8" ht="29" x14ac:dyDescent="0.35">
      <c r="A1172" t="s">
        <v>1908</v>
      </c>
      <c r="B1172" t="s">
        <v>6723</v>
      </c>
      <c r="C1172" t="s">
        <v>1910</v>
      </c>
      <c r="D1172" t="s">
        <v>6724</v>
      </c>
      <c r="E1172" s="10" t="s">
        <v>66</v>
      </c>
      <c r="F1172" s="11" t="s">
        <v>1912</v>
      </c>
      <c r="H1172" s="17" t="str">
        <f>HYPERLINK("https://www.google.com/maps/?q=45.2874277780001,-65.987661111", "https://www.google.com/maps/?q=45.2874277780001,-65.987661111")</f>
        <v>https://www.google.com/maps/?q=45.2874277780001,-65.987661111</v>
      </c>
    </row>
    <row r="1173" spans="1:8" ht="29" x14ac:dyDescent="0.35">
      <c r="A1173" t="s">
        <v>6725</v>
      </c>
      <c r="B1173" t="s">
        <v>6726</v>
      </c>
      <c r="C1173" t="s">
        <v>6727</v>
      </c>
      <c r="D1173" t="s">
        <v>6728</v>
      </c>
      <c r="E1173" s="10" t="s">
        <v>44</v>
      </c>
      <c r="F1173" s="11" t="s">
        <v>6729</v>
      </c>
      <c r="H1173" s="17" t="str">
        <f>HYPERLINK("https://www.google.com/maps/?q=45.1857527780001,-66.9763027779999", "https://www.google.com/maps/?q=45.1857527780001,-66.9763027779999")</f>
        <v>https://www.google.com/maps/?q=45.1857527780001,-66.9763027779999</v>
      </c>
    </row>
    <row r="1174" spans="1:8" ht="29" x14ac:dyDescent="0.35">
      <c r="A1174" t="s">
        <v>6730</v>
      </c>
      <c r="B1174" t="s">
        <v>6731</v>
      </c>
      <c r="C1174" t="s">
        <v>6732</v>
      </c>
      <c r="D1174" t="s">
        <v>6733</v>
      </c>
      <c r="E1174" s="10" t="s">
        <v>1109</v>
      </c>
      <c r="F1174" s="11" t="s">
        <v>6734</v>
      </c>
      <c r="H1174" s="17" t="str">
        <f>HYPERLINK("https://www.google.com/maps/?q=46.2819166670001,-66.3333888889999", "https://www.google.com/maps/?q=46.2819166670001,-66.3333888889999")</f>
        <v>https://www.google.com/maps/?q=46.2819166670001,-66.3333888889999</v>
      </c>
    </row>
    <row r="1175" spans="1:8" ht="29" x14ac:dyDescent="0.35">
      <c r="A1175" t="s">
        <v>6735</v>
      </c>
      <c r="B1175" t="s">
        <v>6736</v>
      </c>
      <c r="C1175" t="s">
        <v>6737</v>
      </c>
      <c r="D1175" t="s">
        <v>6738</v>
      </c>
      <c r="E1175" s="10" t="s">
        <v>1109</v>
      </c>
      <c r="F1175" s="11" t="s">
        <v>6739</v>
      </c>
      <c r="H1175" s="17" t="str">
        <f>HYPERLINK("https://www.google.com/maps/?q=45.8600000000001,-64.4377499999999", "https://www.google.com/maps/?q=45.8600000000001,-64.4377499999999")</f>
        <v>https://www.google.com/maps/?q=45.8600000000001,-64.4377499999999</v>
      </c>
    </row>
    <row r="1176" spans="1:8" ht="29" x14ac:dyDescent="0.35">
      <c r="A1176" t="s">
        <v>5479</v>
      </c>
      <c r="B1176" t="s">
        <v>6740</v>
      </c>
      <c r="C1176" t="s">
        <v>5481</v>
      </c>
      <c r="D1176" t="s">
        <v>6741</v>
      </c>
      <c r="E1176" s="10" t="s">
        <v>28</v>
      </c>
      <c r="F1176" s="11" t="s">
        <v>6742</v>
      </c>
      <c r="H1176" s="17" t="str">
        <f>HYPERLINK("https://www.google.com/maps/?q=46.1288222220001,-64.747347222", "https://www.google.com/maps/?q=46.1288222220001,-64.747347222")</f>
        <v>https://www.google.com/maps/?q=46.1288222220001,-64.747347222</v>
      </c>
    </row>
    <row r="1177" spans="1:8" ht="29" x14ac:dyDescent="0.35">
      <c r="A1177" t="s">
        <v>6743</v>
      </c>
      <c r="B1177" t="s">
        <v>6744</v>
      </c>
      <c r="C1177" t="s">
        <v>6745</v>
      </c>
      <c r="D1177" t="s">
        <v>6746</v>
      </c>
      <c r="E1177" s="10" t="s">
        <v>50</v>
      </c>
      <c r="F1177" s="11" t="s">
        <v>1976</v>
      </c>
      <c r="H1177" s="17" t="str">
        <f>HYPERLINK("https://www.google.com/maps/?q=46.087238889,-64.5925194439999", "https://www.google.com/maps/?q=46.087238889,-64.5925194439999")</f>
        <v>https://www.google.com/maps/?q=46.087238889,-64.5925194439999</v>
      </c>
    </row>
    <row r="1178" spans="1:8" ht="29" x14ac:dyDescent="0.35">
      <c r="A1178" t="s">
        <v>6747</v>
      </c>
      <c r="B1178" t="s">
        <v>6748</v>
      </c>
      <c r="C1178" t="s">
        <v>6749</v>
      </c>
      <c r="D1178" t="s">
        <v>6750</v>
      </c>
      <c r="E1178" s="10" t="s">
        <v>66</v>
      </c>
      <c r="F1178" s="11" t="s">
        <v>6751</v>
      </c>
      <c r="H1178" s="17" t="str">
        <f>HYPERLINK("https://www.google.com/maps/?q=46.979236111,-65.609022222", "https://www.google.com/maps/?q=46.979236111,-65.609022222")</f>
        <v>https://www.google.com/maps/?q=46.979236111,-65.609022222</v>
      </c>
    </row>
    <row r="1179" spans="1:8" ht="29" x14ac:dyDescent="0.35">
      <c r="A1179" t="s">
        <v>6752</v>
      </c>
      <c r="B1179" t="s">
        <v>6753</v>
      </c>
      <c r="C1179" t="s">
        <v>6754</v>
      </c>
      <c r="D1179" t="s">
        <v>6755</v>
      </c>
      <c r="E1179" s="10" t="s">
        <v>1109</v>
      </c>
      <c r="F1179" s="11" t="s">
        <v>1302</v>
      </c>
      <c r="H1179" s="17" t="str">
        <f>HYPERLINK("https://www.google.com/maps/?q=46.7355555560001,-65.419722222", "https://www.google.com/maps/?q=46.7355555560001,-65.419722222")</f>
        <v>https://www.google.com/maps/?q=46.7355555560001,-65.419722222</v>
      </c>
    </row>
    <row r="1180" spans="1:8" ht="29" x14ac:dyDescent="0.35">
      <c r="A1180" t="s">
        <v>6756</v>
      </c>
      <c r="B1180" t="s">
        <v>6757</v>
      </c>
      <c r="C1180" t="s">
        <v>6758</v>
      </c>
      <c r="D1180" t="s">
        <v>6759</v>
      </c>
      <c r="E1180" s="10" t="s">
        <v>1109</v>
      </c>
      <c r="F1180" s="11" t="s">
        <v>1514</v>
      </c>
      <c r="H1180" s="17" t="str">
        <f>HYPERLINK("https://www.google.com/maps/?q=46.071861111,-64.867083333", "https://www.google.com/maps/?q=46.071861111,-64.867083333")</f>
        <v>https://www.google.com/maps/?q=46.071861111,-64.867083333</v>
      </c>
    </row>
    <row r="1181" spans="1:8" ht="29" x14ac:dyDescent="0.35">
      <c r="A1181" t="s">
        <v>6760</v>
      </c>
      <c r="B1181" t="s">
        <v>6761</v>
      </c>
      <c r="C1181" t="s">
        <v>6762</v>
      </c>
      <c r="D1181" t="s">
        <v>6763</v>
      </c>
      <c r="E1181" s="10" t="s">
        <v>44</v>
      </c>
      <c r="F1181" s="11" t="s">
        <v>1382</v>
      </c>
      <c r="H1181" s="17" t="str">
        <f>HYPERLINK("https://www.google.com/maps/?q=46.0637888890001,-66.5816694439999", "https://www.google.com/maps/?q=46.0637888890001,-66.5816694439999")</f>
        <v>https://www.google.com/maps/?q=46.0637888890001,-66.5816694439999</v>
      </c>
    </row>
    <row r="1182" spans="1:8" ht="29" x14ac:dyDescent="0.35">
      <c r="A1182" t="s">
        <v>6764</v>
      </c>
      <c r="B1182" t="s">
        <v>6765</v>
      </c>
      <c r="C1182" t="s">
        <v>6766</v>
      </c>
      <c r="D1182" t="s">
        <v>6767</v>
      </c>
      <c r="E1182" s="10" t="s">
        <v>1109</v>
      </c>
      <c r="F1182" s="11" t="s">
        <v>6768</v>
      </c>
      <c r="H1182" s="17" t="str">
        <f>HYPERLINK("https://www.google.com/maps/?q=46.7776388890001,-67.303111111", "https://www.google.com/maps/?q=46.7776388890001,-67.303111111")</f>
        <v>https://www.google.com/maps/?q=46.7776388890001,-67.303111111</v>
      </c>
    </row>
    <row r="1183" spans="1:8" ht="29" x14ac:dyDescent="0.35">
      <c r="A1183" t="s">
        <v>6769</v>
      </c>
      <c r="B1183" t="s">
        <v>6770</v>
      </c>
      <c r="C1183" t="s">
        <v>6771</v>
      </c>
      <c r="D1183" t="s">
        <v>6772</v>
      </c>
      <c r="E1183" s="10" t="s">
        <v>28</v>
      </c>
      <c r="F1183" s="11" t="s">
        <v>6773</v>
      </c>
      <c r="H1183" s="17" t="str">
        <f>HYPERLINK("https://www.google.com/maps/?q=47.649805556,-65.693330556", "https://www.google.com/maps/?q=47.649805556,-65.693330556")</f>
        <v>https://www.google.com/maps/?q=47.649805556,-65.693330556</v>
      </c>
    </row>
    <row r="1184" spans="1:8" ht="29" x14ac:dyDescent="0.35">
      <c r="A1184" t="s">
        <v>6774</v>
      </c>
      <c r="B1184" t="s">
        <v>6775</v>
      </c>
      <c r="C1184" t="s">
        <v>6776</v>
      </c>
      <c r="D1184" t="s">
        <v>6777</v>
      </c>
      <c r="E1184" s="10" t="s">
        <v>17</v>
      </c>
      <c r="F1184" s="11" t="s">
        <v>4328</v>
      </c>
      <c r="H1184" s="17" t="str">
        <f>HYPERLINK("https://www.google.com/maps/?q=47.599305556,-65.684638889", "https://www.google.com/maps/?q=47.599305556,-65.684638889")</f>
        <v>https://www.google.com/maps/?q=47.599305556,-65.684638889</v>
      </c>
    </row>
    <row r="1185" spans="1:8" ht="29" x14ac:dyDescent="0.35">
      <c r="A1185" t="s">
        <v>6778</v>
      </c>
      <c r="B1185" t="s">
        <v>6779</v>
      </c>
      <c r="C1185" t="s">
        <v>6780</v>
      </c>
      <c r="D1185" t="s">
        <v>6781</v>
      </c>
      <c r="E1185" s="10" t="s">
        <v>50</v>
      </c>
      <c r="F1185" s="11" t="s">
        <v>6782</v>
      </c>
      <c r="H1185" s="17" t="str">
        <f>HYPERLINK("https://www.google.com/maps/?q=46.096469444,-64.7567888889999", "https://www.google.com/maps/?q=46.096469444,-64.7567888889999")</f>
        <v>https://www.google.com/maps/?q=46.096469444,-64.7567888889999</v>
      </c>
    </row>
    <row r="1186" spans="1:8" ht="29" x14ac:dyDescent="0.35">
      <c r="A1186" t="s">
        <v>6783</v>
      </c>
      <c r="B1186" t="s">
        <v>6784</v>
      </c>
      <c r="C1186" t="s">
        <v>6785</v>
      </c>
      <c r="D1186" t="s">
        <v>6786</v>
      </c>
      <c r="E1186" s="10" t="s">
        <v>50</v>
      </c>
      <c r="F1186" s="11" t="s">
        <v>6787</v>
      </c>
      <c r="H1186" s="17" t="str">
        <f>HYPERLINK("https://www.google.com/maps/?q=45.9928166670001,-66.652058333", "https://www.google.com/maps/?q=45.9928166670001,-66.652058333")</f>
        <v>https://www.google.com/maps/?q=45.9928166670001,-66.652058333</v>
      </c>
    </row>
    <row r="1187" spans="1:8" ht="29" x14ac:dyDescent="0.35">
      <c r="A1187" t="s">
        <v>6788</v>
      </c>
      <c r="B1187" t="s">
        <v>6789</v>
      </c>
      <c r="C1187" t="s">
        <v>6790</v>
      </c>
      <c r="D1187" t="s">
        <v>6791</v>
      </c>
      <c r="E1187" s="10" t="s">
        <v>28</v>
      </c>
      <c r="F1187" s="11" t="s">
        <v>6792</v>
      </c>
      <c r="H1187" s="17" t="str">
        <f>HYPERLINK("https://www.google.com/maps/?q=46.0975666670001,-64.796558333", "https://www.google.com/maps/?q=46.0975666670001,-64.796558333")</f>
        <v>https://www.google.com/maps/?q=46.0975666670001,-64.796558333</v>
      </c>
    </row>
    <row r="1188" spans="1:8" ht="29" x14ac:dyDescent="0.35">
      <c r="A1188" t="s">
        <v>6793</v>
      </c>
      <c r="B1188" t="s">
        <v>6794</v>
      </c>
      <c r="C1188" t="s">
        <v>6795</v>
      </c>
      <c r="D1188" t="s">
        <v>6796</v>
      </c>
      <c r="E1188" s="10" t="s">
        <v>44</v>
      </c>
      <c r="F1188" s="11" t="s">
        <v>6797</v>
      </c>
      <c r="H1188" s="17" t="str">
        <f>HYPERLINK("https://www.google.com/maps/?q=46.5153194440001,-66.481019444", "https://www.google.com/maps/?q=46.5153194440001,-66.481019444")</f>
        <v>https://www.google.com/maps/?q=46.5153194440001,-66.481019444</v>
      </c>
    </row>
    <row r="1189" spans="1:8" ht="29" x14ac:dyDescent="0.35">
      <c r="A1189" t="s">
        <v>6798</v>
      </c>
      <c r="B1189" t="s">
        <v>6799</v>
      </c>
      <c r="C1189" t="s">
        <v>6800</v>
      </c>
      <c r="D1189" t="s">
        <v>6801</v>
      </c>
      <c r="E1189" s="10" t="s">
        <v>44</v>
      </c>
      <c r="F1189" s="11" t="s">
        <v>2527</v>
      </c>
      <c r="H1189" s="17" t="str">
        <f>HYPERLINK("https://www.google.com/maps/?q=46.452577778,-66.529247222", "https://www.google.com/maps/?q=46.452577778,-66.529247222")</f>
        <v>https://www.google.com/maps/?q=46.452577778,-66.529247222</v>
      </c>
    </row>
    <row r="1190" spans="1:8" ht="29" x14ac:dyDescent="0.35">
      <c r="A1190" t="s">
        <v>6802</v>
      </c>
      <c r="B1190" t="s">
        <v>6803</v>
      </c>
      <c r="C1190" t="s">
        <v>6804</v>
      </c>
      <c r="D1190" t="s">
        <v>6805</v>
      </c>
      <c r="E1190" s="10" t="s">
        <v>1109</v>
      </c>
      <c r="F1190" s="11" t="s">
        <v>6806</v>
      </c>
      <c r="H1190" s="17" t="str">
        <f>HYPERLINK("https://www.google.com/maps/?q=45.5577777780001,-65.5733333329999", "https://www.google.com/maps/?q=45.5577777780001,-65.5733333329999")</f>
        <v>https://www.google.com/maps/?q=45.5577777780001,-65.5733333329999</v>
      </c>
    </row>
    <row r="1191" spans="1:8" ht="29" x14ac:dyDescent="0.35">
      <c r="A1191" t="s">
        <v>6807</v>
      </c>
      <c r="B1191" t="s">
        <v>6808</v>
      </c>
      <c r="C1191" t="s">
        <v>6809</v>
      </c>
      <c r="D1191" t="s">
        <v>6810</v>
      </c>
      <c r="E1191" s="10" t="s">
        <v>1109</v>
      </c>
      <c r="F1191" s="11" t="s">
        <v>6811</v>
      </c>
      <c r="H1191" s="17" t="str">
        <f>HYPERLINK("https://www.google.com/maps/?q=46.3651944440001,-66.569333333", "https://www.google.com/maps/?q=46.3651944440001,-66.569333333")</f>
        <v>https://www.google.com/maps/?q=46.3651944440001,-66.569333333</v>
      </c>
    </row>
    <row r="1192" spans="1:8" ht="29" x14ac:dyDescent="0.35">
      <c r="A1192" t="s">
        <v>6812</v>
      </c>
      <c r="B1192" t="s">
        <v>6813</v>
      </c>
      <c r="C1192" t="s">
        <v>6814</v>
      </c>
      <c r="D1192" t="s">
        <v>6815</v>
      </c>
      <c r="E1192" s="10" t="s">
        <v>1109</v>
      </c>
      <c r="F1192" s="11" t="s">
        <v>5055</v>
      </c>
      <c r="H1192" s="17" t="str">
        <f>HYPERLINK("https://www.google.com/maps/?q=46.1437222220001,-64.902305556", "https://www.google.com/maps/?q=46.1437222220001,-64.902305556")</f>
        <v>https://www.google.com/maps/?q=46.1437222220001,-64.902305556</v>
      </c>
    </row>
    <row r="1193" spans="1:8" ht="29" x14ac:dyDescent="0.35">
      <c r="A1193" t="s">
        <v>6816</v>
      </c>
      <c r="B1193" t="s">
        <v>6817</v>
      </c>
      <c r="C1193" t="s">
        <v>6818</v>
      </c>
      <c r="D1193" t="s">
        <v>6819</v>
      </c>
      <c r="E1193" s="10" t="s">
        <v>1109</v>
      </c>
      <c r="F1193" s="11" t="s">
        <v>6820</v>
      </c>
      <c r="H1193" s="17" t="str">
        <f>HYPERLINK("https://www.google.com/maps/?q=46.20975,-65.5485555559999", "https://www.google.com/maps/?q=46.20975,-65.5485555559999")</f>
        <v>https://www.google.com/maps/?q=46.20975,-65.5485555559999</v>
      </c>
    </row>
    <row r="1194" spans="1:8" ht="29" x14ac:dyDescent="0.35">
      <c r="A1194" t="s">
        <v>6821</v>
      </c>
      <c r="B1194" t="s">
        <v>6822</v>
      </c>
      <c r="C1194" t="s">
        <v>6823</v>
      </c>
      <c r="D1194" t="s">
        <v>6824</v>
      </c>
      <c r="E1194" s="10" t="s">
        <v>1109</v>
      </c>
      <c r="F1194" s="11" t="s">
        <v>6825</v>
      </c>
      <c r="H1194" s="17" t="str">
        <f>HYPERLINK("https://www.google.com/maps/?q=46.091388889,-64.596388889", "https://www.google.com/maps/?q=46.091388889,-64.596388889")</f>
        <v>https://www.google.com/maps/?q=46.091388889,-64.596388889</v>
      </c>
    </row>
    <row r="1195" spans="1:8" ht="29" x14ac:dyDescent="0.35">
      <c r="A1195" t="s">
        <v>6826</v>
      </c>
      <c r="B1195" t="s">
        <v>6827</v>
      </c>
      <c r="C1195" t="s">
        <v>6828</v>
      </c>
      <c r="D1195" t="s">
        <v>6829</v>
      </c>
      <c r="E1195" s="10" t="s">
        <v>1109</v>
      </c>
      <c r="F1195" s="11" t="s">
        <v>6830</v>
      </c>
      <c r="H1195" s="17" t="str">
        <f>HYPERLINK("https://www.google.com/maps/?q=45.5427777780001,-66.494722222", "https://www.google.com/maps/?q=45.5427777780001,-66.494722222")</f>
        <v>https://www.google.com/maps/?q=45.5427777780001,-66.494722222</v>
      </c>
    </row>
    <row r="1196" spans="1:8" ht="29" x14ac:dyDescent="0.35">
      <c r="A1196" t="s">
        <v>6831</v>
      </c>
      <c r="B1196" t="s">
        <v>6832</v>
      </c>
      <c r="C1196" t="s">
        <v>6833</v>
      </c>
      <c r="D1196" t="s">
        <v>6834</v>
      </c>
      <c r="E1196" s="10" t="s">
        <v>1109</v>
      </c>
      <c r="F1196" s="11" t="s">
        <v>6835</v>
      </c>
      <c r="H1196" s="17" t="str">
        <f>HYPERLINK("https://www.google.com/maps/?q=46.492138889,-67.034472222", "https://www.google.com/maps/?q=46.492138889,-67.034472222")</f>
        <v>https://www.google.com/maps/?q=46.492138889,-67.034472222</v>
      </c>
    </row>
    <row r="1197" spans="1:8" ht="29" x14ac:dyDescent="0.35">
      <c r="A1197" t="s">
        <v>6836</v>
      </c>
      <c r="B1197" t="s">
        <v>6837</v>
      </c>
      <c r="C1197" t="s">
        <v>6838</v>
      </c>
      <c r="D1197" t="s">
        <v>6839</v>
      </c>
      <c r="E1197" s="10" t="s">
        <v>28</v>
      </c>
      <c r="F1197" s="11" t="s">
        <v>6840</v>
      </c>
      <c r="H1197" s="17" t="str">
        <f>HYPERLINK("https://www.google.com/maps/?q=45.068658333,-66.4541555559999", "https://www.google.com/maps/?q=45.068658333,-66.4541555559999")</f>
        <v>https://www.google.com/maps/?q=45.068658333,-66.4541555559999</v>
      </c>
    </row>
    <row r="1198" spans="1:8" ht="29" x14ac:dyDescent="0.35">
      <c r="A1198" t="s">
        <v>6841</v>
      </c>
      <c r="B1198" t="s">
        <v>6842</v>
      </c>
      <c r="C1198" t="s">
        <v>6843</v>
      </c>
      <c r="D1198" t="s">
        <v>6844</v>
      </c>
      <c r="E1198" s="10" t="s">
        <v>1109</v>
      </c>
      <c r="F1198" s="11" t="s">
        <v>6403</v>
      </c>
      <c r="H1198" s="17" t="str">
        <f>HYPERLINK("https://www.google.com/maps/?q=45.887777778,-64.3244444439999", "https://www.google.com/maps/?q=45.887777778,-64.3244444439999")</f>
        <v>https://www.google.com/maps/?q=45.887777778,-64.3244444439999</v>
      </c>
    </row>
    <row r="1199" spans="1:8" ht="29" x14ac:dyDescent="0.35">
      <c r="A1199" t="s">
        <v>6845</v>
      </c>
      <c r="B1199" t="s">
        <v>6846</v>
      </c>
      <c r="C1199" t="s">
        <v>6847</v>
      </c>
      <c r="D1199" t="s">
        <v>6848</v>
      </c>
      <c r="E1199" s="10" t="s">
        <v>50</v>
      </c>
      <c r="F1199" s="11" t="s">
        <v>6849</v>
      </c>
      <c r="H1199" s="17" t="str">
        <f>HYPERLINK("https://www.google.com/maps/?q=46.0563888890001,-64.021111111", "https://www.google.com/maps/?q=46.0563888890001,-64.021111111")</f>
        <v>https://www.google.com/maps/?q=46.0563888890001,-64.021111111</v>
      </c>
    </row>
    <row r="1200" spans="1:8" ht="29" x14ac:dyDescent="0.35">
      <c r="A1200" t="s">
        <v>6850</v>
      </c>
      <c r="B1200" t="s">
        <v>6851</v>
      </c>
      <c r="C1200" t="s">
        <v>6852</v>
      </c>
      <c r="D1200" t="s">
        <v>6853</v>
      </c>
      <c r="E1200" s="10" t="s">
        <v>461</v>
      </c>
      <c r="F1200" s="11" t="s">
        <v>6854</v>
      </c>
      <c r="H1200" s="17" t="str">
        <f>HYPERLINK("https://www.google.com/maps/?q=45.252152778,-66.071911111", "https://www.google.com/maps/?q=45.252152778,-66.071911111")</f>
        <v>https://www.google.com/maps/?q=45.252152778,-66.071911111</v>
      </c>
    </row>
    <row r="1201" spans="1:8" ht="29" x14ac:dyDescent="0.35">
      <c r="A1201" t="s">
        <v>6855</v>
      </c>
      <c r="B1201" t="s">
        <v>6856</v>
      </c>
      <c r="C1201" t="s">
        <v>6857</v>
      </c>
      <c r="D1201" t="s">
        <v>6858</v>
      </c>
      <c r="E1201" s="10" t="s">
        <v>1109</v>
      </c>
      <c r="F1201" s="11" t="s">
        <v>6859</v>
      </c>
      <c r="H1201" s="17" t="str">
        <f>HYPERLINK("https://www.google.com/maps/?q=45.702777778,-67.1152777779999", "https://www.google.com/maps/?q=45.702777778,-67.1152777779999")</f>
        <v>https://www.google.com/maps/?q=45.702777778,-67.1152777779999</v>
      </c>
    </row>
    <row r="1202" spans="1:8" ht="29" x14ac:dyDescent="0.35">
      <c r="A1202" t="s">
        <v>6860</v>
      </c>
      <c r="B1202" t="s">
        <v>6861</v>
      </c>
      <c r="C1202" t="s">
        <v>6862</v>
      </c>
      <c r="D1202" t="s">
        <v>6863</v>
      </c>
      <c r="E1202" s="10" t="s">
        <v>1109</v>
      </c>
      <c r="F1202" s="11" t="s">
        <v>6864</v>
      </c>
      <c r="H1202" s="17" t="str">
        <f>HYPERLINK("https://www.google.com/maps/?q=45.879972222,-64.379861111", "https://www.google.com/maps/?q=45.879972222,-64.379861111")</f>
        <v>https://www.google.com/maps/?q=45.879972222,-64.379861111</v>
      </c>
    </row>
    <row r="1203" spans="1:8" ht="29" x14ac:dyDescent="0.35">
      <c r="A1203" t="s">
        <v>6865</v>
      </c>
      <c r="B1203" t="s">
        <v>6866</v>
      </c>
      <c r="C1203" t="s">
        <v>6867</v>
      </c>
      <c r="D1203" t="s">
        <v>6868</v>
      </c>
      <c r="E1203" s="10" t="s">
        <v>195</v>
      </c>
      <c r="F1203" s="11" t="s">
        <v>6869</v>
      </c>
      <c r="H1203" s="17" t="str">
        <f>HYPERLINK("https://www.google.com/maps/?q=46.1251111110001,-64.677658333", "https://www.google.com/maps/?q=46.1251111110001,-64.677658333")</f>
        <v>https://www.google.com/maps/?q=46.1251111110001,-64.677658333</v>
      </c>
    </row>
    <row r="1204" spans="1:8" ht="29" x14ac:dyDescent="0.35">
      <c r="A1204" t="s">
        <v>6870</v>
      </c>
      <c r="B1204" t="s">
        <v>6871</v>
      </c>
      <c r="C1204" t="s">
        <v>6872</v>
      </c>
      <c r="D1204" t="s">
        <v>6873</v>
      </c>
      <c r="E1204" s="10" t="s">
        <v>44</v>
      </c>
      <c r="F1204" s="11" t="s">
        <v>6874</v>
      </c>
      <c r="H1204" s="17" t="str">
        <f>HYPERLINK("https://www.google.com/maps/?q=45.842052778,-66.508894444", "https://www.google.com/maps/?q=45.842052778,-66.508894444")</f>
        <v>https://www.google.com/maps/?q=45.842052778,-66.508894444</v>
      </c>
    </row>
    <row r="1205" spans="1:8" ht="29" x14ac:dyDescent="0.35">
      <c r="A1205" t="s">
        <v>6875</v>
      </c>
      <c r="B1205" t="s">
        <v>6876</v>
      </c>
      <c r="C1205" t="s">
        <v>6877</v>
      </c>
      <c r="D1205" t="s">
        <v>6878</v>
      </c>
      <c r="E1205" s="10" t="s">
        <v>1109</v>
      </c>
      <c r="F1205" s="11" t="s">
        <v>1350</v>
      </c>
      <c r="H1205" s="17" t="str">
        <f>HYPERLINK("https://www.google.com/maps/?q=46.141388889,-65.045833333", "https://www.google.com/maps/?q=46.141388889,-65.045833333")</f>
        <v>https://www.google.com/maps/?q=46.141388889,-65.045833333</v>
      </c>
    </row>
    <row r="1206" spans="1:8" ht="29" x14ac:dyDescent="0.35">
      <c r="A1206" t="s">
        <v>6879</v>
      </c>
      <c r="B1206" t="s">
        <v>6880</v>
      </c>
      <c r="C1206" t="s">
        <v>6881</v>
      </c>
      <c r="D1206" t="s">
        <v>6882</v>
      </c>
      <c r="E1206" s="10" t="s">
        <v>50</v>
      </c>
      <c r="F1206" s="11" t="s">
        <v>6883</v>
      </c>
      <c r="H1206" s="17" t="str">
        <f>HYPERLINK("https://www.google.com/maps/?q=45.9344972220001,-66.664102778", "https://www.google.com/maps/?q=45.9344972220001,-66.664102778")</f>
        <v>https://www.google.com/maps/?q=45.9344972220001,-66.664102778</v>
      </c>
    </row>
    <row r="1207" spans="1:8" ht="29" x14ac:dyDescent="0.35">
      <c r="A1207" t="s">
        <v>6884</v>
      </c>
      <c r="B1207" t="s">
        <v>6885</v>
      </c>
      <c r="C1207" t="s">
        <v>6886</v>
      </c>
      <c r="D1207" t="s">
        <v>6887</v>
      </c>
      <c r="E1207" s="10" t="s">
        <v>44</v>
      </c>
      <c r="F1207" s="11" t="s">
        <v>4169</v>
      </c>
      <c r="H1207" s="17" t="str">
        <f>HYPERLINK("https://www.google.com/maps/?q=46.7346694440001,-65.4311194439999", "https://www.google.com/maps/?q=46.7346694440001,-65.4311194439999")</f>
        <v>https://www.google.com/maps/?q=46.7346694440001,-65.4311194439999</v>
      </c>
    </row>
    <row r="1208" spans="1:8" ht="29" x14ac:dyDescent="0.35">
      <c r="A1208" t="s">
        <v>6888</v>
      </c>
      <c r="B1208" t="s">
        <v>6889</v>
      </c>
      <c r="C1208" t="s">
        <v>6890</v>
      </c>
      <c r="D1208" t="s">
        <v>6891</v>
      </c>
      <c r="E1208" s="10" t="s">
        <v>1109</v>
      </c>
      <c r="F1208" s="11" t="s">
        <v>6892</v>
      </c>
      <c r="H1208" s="17" t="str">
        <f>HYPERLINK("https://www.google.com/maps/?q=46.372722222,-66.5986944439999", "https://www.google.com/maps/?q=46.372722222,-66.5986944439999")</f>
        <v>https://www.google.com/maps/?q=46.372722222,-66.5986944439999</v>
      </c>
    </row>
    <row r="1209" spans="1:8" ht="29" x14ac:dyDescent="0.35">
      <c r="A1209" t="s">
        <v>6893</v>
      </c>
      <c r="B1209" t="s">
        <v>6894</v>
      </c>
      <c r="C1209" t="s">
        <v>6895</v>
      </c>
      <c r="D1209" t="s">
        <v>6896</v>
      </c>
      <c r="E1209" s="10" t="s">
        <v>1109</v>
      </c>
      <c r="F1209" s="11" t="s">
        <v>6897</v>
      </c>
      <c r="H1209" s="17" t="str">
        <f>HYPERLINK("https://www.google.com/maps/?q=46.3274166670001,-66.420916667", "https://www.google.com/maps/?q=46.3274166670001,-66.420916667")</f>
        <v>https://www.google.com/maps/?q=46.3274166670001,-66.420916667</v>
      </c>
    </row>
    <row r="1210" spans="1:8" ht="29" x14ac:dyDescent="0.35">
      <c r="A1210" t="s">
        <v>6898</v>
      </c>
      <c r="B1210" t="s">
        <v>6899</v>
      </c>
      <c r="C1210" t="s">
        <v>6900</v>
      </c>
      <c r="D1210" t="s">
        <v>6901</v>
      </c>
      <c r="E1210" s="10" t="s">
        <v>28</v>
      </c>
      <c r="F1210" s="11" t="s">
        <v>6902</v>
      </c>
      <c r="H1210" s="17" t="str">
        <f>HYPERLINK("https://www.google.com/maps/?q=45.938316667,-66.6542666669999", "https://www.google.com/maps/?q=45.938316667,-66.6542666669999")</f>
        <v>https://www.google.com/maps/?q=45.938316667,-66.6542666669999</v>
      </c>
    </row>
    <row r="1211" spans="1:8" ht="29" x14ac:dyDescent="0.35">
      <c r="A1211" t="s">
        <v>6903</v>
      </c>
      <c r="B1211" t="s">
        <v>6904</v>
      </c>
      <c r="C1211" t="s">
        <v>6905</v>
      </c>
      <c r="D1211" t="s">
        <v>6906</v>
      </c>
      <c r="E1211" s="10" t="s">
        <v>66</v>
      </c>
      <c r="F1211" s="11" t="s">
        <v>1252</v>
      </c>
      <c r="H1211" s="17" t="str">
        <f>HYPERLINK("https://www.google.com/maps/?q=45.9084444440001,-64.385616667", "https://www.google.com/maps/?q=45.9084444440001,-64.385616667")</f>
        <v>https://www.google.com/maps/?q=45.9084444440001,-64.385616667</v>
      </c>
    </row>
    <row r="1212" spans="1:8" ht="29" x14ac:dyDescent="0.35">
      <c r="A1212" t="s">
        <v>6907</v>
      </c>
      <c r="B1212" t="s">
        <v>6908</v>
      </c>
      <c r="C1212" t="s">
        <v>6909</v>
      </c>
      <c r="D1212" t="s">
        <v>6910</v>
      </c>
      <c r="E1212" s="10" t="s">
        <v>1109</v>
      </c>
      <c r="F1212" s="11" t="s">
        <v>4604</v>
      </c>
      <c r="G1212" s="17"/>
      <c r="H1212" s="17" t="str">
        <f>HYPERLINK("https://www.google.com/maps/?q=46.1780555560001,-65.783611111", "https://www.google.com/maps/?q=46.1780555560001,-65.783611111")</f>
        <v>https://www.google.com/maps/?q=46.1780555560001,-65.783611111</v>
      </c>
    </row>
    <row r="1213" spans="1:8" ht="29" x14ac:dyDescent="0.35">
      <c r="A1213" t="s">
        <v>6911</v>
      </c>
      <c r="B1213" t="s">
        <v>6912</v>
      </c>
      <c r="C1213" t="s">
        <v>6913</v>
      </c>
      <c r="D1213" t="s">
        <v>6914</v>
      </c>
      <c r="E1213" s="10" t="s">
        <v>1109</v>
      </c>
      <c r="F1213" s="11" t="s">
        <v>3512</v>
      </c>
      <c r="H1213" s="17" t="str">
        <f>HYPERLINK("https://www.google.com/maps/?q=46.547638889,-67.1783055559999", "https://www.google.com/maps/?q=46.547638889,-67.1783055559999")</f>
        <v>https://www.google.com/maps/?q=46.547638889,-67.1783055559999</v>
      </c>
    </row>
    <row r="1214" spans="1:8" ht="29" x14ac:dyDescent="0.35">
      <c r="A1214" t="s">
        <v>6915</v>
      </c>
      <c r="B1214" t="s">
        <v>6916</v>
      </c>
      <c r="C1214" t="s">
        <v>6917</v>
      </c>
      <c r="D1214" t="s">
        <v>6918</v>
      </c>
      <c r="E1214" s="10" t="s">
        <v>28</v>
      </c>
      <c r="F1214" s="11" t="s">
        <v>6919</v>
      </c>
      <c r="H1214" s="17" t="str">
        <f>HYPERLINK("https://www.google.com/maps/?q=45.7298000000001,-67.0039", "https://www.google.com/maps/?q=45.7298000000001,-67.0039")</f>
        <v>https://www.google.com/maps/?q=45.7298000000001,-67.0039</v>
      </c>
    </row>
    <row r="1215" spans="1:8" ht="29" x14ac:dyDescent="0.35">
      <c r="A1215" t="s">
        <v>6920</v>
      </c>
      <c r="B1215" t="s">
        <v>6921</v>
      </c>
      <c r="C1215" t="s">
        <v>6922</v>
      </c>
      <c r="D1215" t="s">
        <v>6923</v>
      </c>
      <c r="E1215" s="10" t="s">
        <v>66</v>
      </c>
      <c r="F1215" s="11" t="s">
        <v>6924</v>
      </c>
      <c r="H1215" s="17" t="str">
        <f>HYPERLINK("https://www.google.com/maps/?q=46.0960805560001,-64.7921499999999", "https://www.google.com/maps/?q=46.0960805560001,-64.7921499999999")</f>
        <v>https://www.google.com/maps/?q=46.0960805560001,-64.7921499999999</v>
      </c>
    </row>
    <row r="1216" spans="1:8" ht="29" x14ac:dyDescent="0.35">
      <c r="A1216" t="s">
        <v>6925</v>
      </c>
      <c r="B1216" t="s">
        <v>6926</v>
      </c>
      <c r="C1216" t="s">
        <v>6927</v>
      </c>
      <c r="D1216" t="s">
        <v>6928</v>
      </c>
      <c r="E1216" s="10" t="s">
        <v>1109</v>
      </c>
      <c r="F1216" s="11" t="s">
        <v>6929</v>
      </c>
      <c r="H1216" s="17" t="str">
        <f>HYPERLINK("https://www.google.com/maps/?q=45.6852777780001,-66.918055556", "https://www.google.com/maps/?q=45.6852777780001,-66.918055556")</f>
        <v>https://www.google.com/maps/?q=45.6852777780001,-66.918055556</v>
      </c>
    </row>
    <row r="1217" spans="1:8" ht="29" x14ac:dyDescent="0.35">
      <c r="A1217" t="s">
        <v>6930</v>
      </c>
      <c r="B1217" t="s">
        <v>6931</v>
      </c>
      <c r="C1217" t="s">
        <v>6932</v>
      </c>
      <c r="D1217" t="s">
        <v>6933</v>
      </c>
      <c r="E1217" s="10" t="s">
        <v>28</v>
      </c>
      <c r="F1217" s="11" t="s">
        <v>6934</v>
      </c>
      <c r="H1217" s="17" t="str">
        <f>HYPERLINK("https://www.google.com/maps/?q=45.398641667,-65.979433333", "https://www.google.com/maps/?q=45.398641667,-65.979433333")</f>
        <v>https://www.google.com/maps/?q=45.398641667,-65.979433333</v>
      </c>
    </row>
    <row r="1218" spans="1:8" ht="29" x14ac:dyDescent="0.35">
      <c r="A1218" t="s">
        <v>6935</v>
      </c>
      <c r="B1218" t="s">
        <v>6936</v>
      </c>
      <c r="C1218" t="s">
        <v>6937</v>
      </c>
      <c r="D1218" t="s">
        <v>6938</v>
      </c>
      <c r="E1218" s="10" t="s">
        <v>66</v>
      </c>
      <c r="F1218" s="11" t="s">
        <v>6939</v>
      </c>
      <c r="H1218" s="17" t="str">
        <f>HYPERLINK("https://www.google.com/maps/?q=47.0052833330001,-65.535886111", "https://www.google.com/maps/?q=47.0052833330001,-65.535886111")</f>
        <v>https://www.google.com/maps/?q=47.0052833330001,-65.535886111</v>
      </c>
    </row>
    <row r="1219" spans="1:8" ht="29" x14ac:dyDescent="0.35">
      <c r="A1219" t="s">
        <v>6940</v>
      </c>
      <c r="B1219" t="s">
        <v>6941</v>
      </c>
      <c r="C1219" t="s">
        <v>6942</v>
      </c>
      <c r="D1219" t="s">
        <v>6943</v>
      </c>
      <c r="E1219" s="10" t="s">
        <v>1109</v>
      </c>
      <c r="F1219" s="11" t="s">
        <v>6944</v>
      </c>
      <c r="H1219" s="17" t="str">
        <f>HYPERLINK("https://www.google.com/maps/?q=45.8498888890001,-64.2709166669999", "https://www.google.com/maps/?q=45.8498888890001,-64.2709166669999")</f>
        <v>https://www.google.com/maps/?q=45.8498888890001,-64.2709166669999</v>
      </c>
    </row>
    <row r="1220" spans="1:8" ht="29" x14ac:dyDescent="0.35">
      <c r="A1220" t="s">
        <v>6945</v>
      </c>
      <c r="B1220" t="s">
        <v>6946</v>
      </c>
      <c r="C1220" t="s">
        <v>6947</v>
      </c>
      <c r="D1220" t="s">
        <v>6948</v>
      </c>
      <c r="E1220" s="10" t="s">
        <v>1109</v>
      </c>
      <c r="F1220" s="11" t="s">
        <v>6929</v>
      </c>
      <c r="H1220" s="17" t="str">
        <f>HYPERLINK("https://www.google.com/maps/?q=45.6847222220001,-66.916944444", "https://www.google.com/maps/?q=45.6847222220001,-66.916944444")</f>
        <v>https://www.google.com/maps/?q=45.6847222220001,-66.916944444</v>
      </c>
    </row>
    <row r="1221" spans="1:8" ht="29" x14ac:dyDescent="0.35">
      <c r="A1221" t="s">
        <v>6949</v>
      </c>
      <c r="B1221" t="s">
        <v>6950</v>
      </c>
      <c r="C1221" t="s">
        <v>6951</v>
      </c>
      <c r="D1221" t="s">
        <v>6952</v>
      </c>
      <c r="E1221" s="10" t="s">
        <v>1109</v>
      </c>
      <c r="F1221" s="11" t="s">
        <v>6953</v>
      </c>
      <c r="H1221" s="17" t="str">
        <f>HYPERLINK("https://www.google.com/maps/?q=46.14075,-64.9865833329999", "https://www.google.com/maps/?q=46.14075,-64.9865833329999")</f>
        <v>https://www.google.com/maps/?q=46.14075,-64.9865833329999</v>
      </c>
    </row>
    <row r="1222" spans="1:8" ht="29" x14ac:dyDescent="0.35">
      <c r="A1222" t="s">
        <v>6954</v>
      </c>
      <c r="B1222" t="s">
        <v>6955</v>
      </c>
      <c r="C1222" t="s">
        <v>6956</v>
      </c>
      <c r="D1222" t="s">
        <v>6957</v>
      </c>
      <c r="E1222" s="10" t="s">
        <v>50</v>
      </c>
      <c r="F1222" s="11" t="s">
        <v>6958</v>
      </c>
      <c r="H1222" s="17" t="str">
        <f>HYPERLINK("https://www.google.com/maps/?q=45.420588889,-65.991197222", "https://www.google.com/maps/?q=45.420588889,-65.991197222")</f>
        <v>https://www.google.com/maps/?q=45.420588889,-65.991197222</v>
      </c>
    </row>
    <row r="1223" spans="1:8" ht="29" x14ac:dyDescent="0.35">
      <c r="A1223" t="s">
        <v>6959</v>
      </c>
      <c r="B1223" t="s">
        <v>6960</v>
      </c>
      <c r="C1223" t="s">
        <v>6961</v>
      </c>
      <c r="D1223" t="s">
        <v>6962</v>
      </c>
      <c r="E1223" s="10" t="s">
        <v>1109</v>
      </c>
      <c r="F1223" s="11" t="s">
        <v>6963</v>
      </c>
      <c r="H1223" s="17" t="str">
        <f>HYPERLINK("https://www.google.com/maps/?q=46.413722222,-66.9358055559999", "https://www.google.com/maps/?q=46.413722222,-66.9358055559999")</f>
        <v>https://www.google.com/maps/?q=46.413722222,-66.9358055559999</v>
      </c>
    </row>
    <row r="1224" spans="1:8" ht="29" x14ac:dyDescent="0.35">
      <c r="A1224" t="s">
        <v>6964</v>
      </c>
      <c r="B1224" t="s">
        <v>6965</v>
      </c>
      <c r="C1224" t="s">
        <v>6966</v>
      </c>
      <c r="D1224" t="s">
        <v>6967</v>
      </c>
      <c r="E1224" s="10" t="s">
        <v>1109</v>
      </c>
      <c r="F1224" s="11" t="s">
        <v>6968</v>
      </c>
      <c r="H1224" s="17" t="str">
        <f>HYPERLINK("https://www.google.com/maps/?q=46.1998333330001,-65.198583333", "https://www.google.com/maps/?q=46.1998333330001,-65.198583333")</f>
        <v>https://www.google.com/maps/?q=46.1998333330001,-65.198583333</v>
      </c>
    </row>
    <row r="1225" spans="1:8" ht="29" x14ac:dyDescent="0.35">
      <c r="A1225" t="s">
        <v>6969</v>
      </c>
      <c r="B1225" t="s">
        <v>6970</v>
      </c>
      <c r="C1225" t="s">
        <v>6971</v>
      </c>
      <c r="D1225" t="s">
        <v>6972</v>
      </c>
      <c r="E1225" s="10" t="s">
        <v>1109</v>
      </c>
      <c r="F1225" s="11" t="s">
        <v>6973</v>
      </c>
      <c r="H1225" s="17" t="str">
        <f>HYPERLINK("https://www.google.com/maps/?q=46.1320277780001,-64.692694444", "https://www.google.com/maps/?q=46.1320277780001,-64.692694444")</f>
        <v>https://www.google.com/maps/?q=46.1320277780001,-64.692694444</v>
      </c>
    </row>
    <row r="1226" spans="1:8" ht="29" x14ac:dyDescent="0.35">
      <c r="A1226" t="s">
        <v>6974</v>
      </c>
      <c r="B1226" t="s">
        <v>6975</v>
      </c>
      <c r="C1226" t="s">
        <v>6976</v>
      </c>
      <c r="D1226" t="s">
        <v>6977</v>
      </c>
      <c r="E1226" s="10" t="s">
        <v>28</v>
      </c>
      <c r="F1226" s="11" t="s">
        <v>6978</v>
      </c>
      <c r="H1226" s="17" t="str">
        <f>HYPERLINK("https://www.google.com/maps/?q=45.919130556,-66.619413889", "https://www.google.com/maps/?q=45.919130556,-66.619413889")</f>
        <v>https://www.google.com/maps/?q=45.919130556,-66.619413889</v>
      </c>
    </row>
    <row r="1227" spans="1:8" ht="29" x14ac:dyDescent="0.35">
      <c r="A1227" t="s">
        <v>1510</v>
      </c>
      <c r="B1227" t="s">
        <v>6979</v>
      </c>
      <c r="C1227" t="s">
        <v>1512</v>
      </c>
      <c r="D1227" t="s">
        <v>6980</v>
      </c>
      <c r="E1227" s="10" t="s">
        <v>1109</v>
      </c>
      <c r="F1227" s="11" t="s">
        <v>1514</v>
      </c>
      <c r="H1227" s="17" t="str">
        <f>HYPERLINK("https://www.google.com/maps/?q=46.071916667,-64.8671388889999", "https://www.google.com/maps/?q=46.071916667,-64.8671388889999")</f>
        <v>https://www.google.com/maps/?q=46.071916667,-64.8671388889999</v>
      </c>
    </row>
    <row r="1228" spans="1:8" ht="29" x14ac:dyDescent="0.35">
      <c r="A1228" t="s">
        <v>6981</v>
      </c>
      <c r="B1228" t="s">
        <v>6982</v>
      </c>
      <c r="C1228" t="s">
        <v>6983</v>
      </c>
      <c r="D1228" t="s">
        <v>6984</v>
      </c>
      <c r="E1228" s="10" t="s">
        <v>1109</v>
      </c>
      <c r="F1228" s="11" t="s">
        <v>6985</v>
      </c>
      <c r="H1228" s="17" t="str">
        <f>HYPERLINK("https://www.google.com/maps/?q=46.555111111,-67.192027778", "https://www.google.com/maps/?q=46.555111111,-67.192027778")</f>
        <v>https://www.google.com/maps/?q=46.555111111,-67.192027778</v>
      </c>
    </row>
    <row r="1229" spans="1:8" ht="29" x14ac:dyDescent="0.35">
      <c r="A1229" t="s">
        <v>6986</v>
      </c>
      <c r="B1229" t="s">
        <v>6987</v>
      </c>
      <c r="C1229" t="s">
        <v>6988</v>
      </c>
      <c r="D1229" t="s">
        <v>6989</v>
      </c>
      <c r="E1229" s="10" t="s">
        <v>1109</v>
      </c>
      <c r="F1229" s="11" t="s">
        <v>6990</v>
      </c>
      <c r="H1229" s="17" t="str">
        <f>HYPERLINK("https://www.google.com/maps/?q=46.3647222220001,-66.5669444439999", "https://www.google.com/maps/?q=46.3647222220001,-66.5669444439999")</f>
        <v>https://www.google.com/maps/?q=46.3647222220001,-66.5669444439999</v>
      </c>
    </row>
    <row r="1230" spans="1:8" ht="29" x14ac:dyDescent="0.35">
      <c r="A1230" t="s">
        <v>6991</v>
      </c>
      <c r="B1230" t="s">
        <v>6992</v>
      </c>
      <c r="C1230" t="s">
        <v>6993</v>
      </c>
      <c r="D1230" t="s">
        <v>6994</v>
      </c>
      <c r="E1230" s="10" t="s">
        <v>1109</v>
      </c>
      <c r="F1230" s="11" t="s">
        <v>6995</v>
      </c>
      <c r="H1230" s="17" t="str">
        <f>HYPERLINK("https://www.google.com/maps/?q=46.3619444440001,-66.5549999999999", "https://www.google.com/maps/?q=46.3619444440001,-66.5549999999999")</f>
        <v>https://www.google.com/maps/?q=46.3619444440001,-66.5549999999999</v>
      </c>
    </row>
    <row r="1231" spans="1:8" ht="29" x14ac:dyDescent="0.35">
      <c r="A1231" t="s">
        <v>6996</v>
      </c>
      <c r="B1231" t="s">
        <v>6997</v>
      </c>
      <c r="C1231" t="s">
        <v>6998</v>
      </c>
      <c r="D1231" t="s">
        <v>6999</v>
      </c>
      <c r="E1231" s="10" t="s">
        <v>1109</v>
      </c>
      <c r="F1231" s="11" t="s">
        <v>7000</v>
      </c>
      <c r="H1231" s="17" t="str">
        <f>HYPERLINK("https://www.google.com/maps/?q=46.2597222220001,-66.286111111", "https://www.google.com/maps/?q=46.2597222220001,-66.286111111")</f>
        <v>https://www.google.com/maps/?q=46.2597222220001,-66.286111111</v>
      </c>
    </row>
    <row r="1232" spans="1:8" ht="29" x14ac:dyDescent="0.35">
      <c r="A1232" t="s">
        <v>7001</v>
      </c>
      <c r="B1232" t="s">
        <v>7002</v>
      </c>
      <c r="C1232" t="s">
        <v>7003</v>
      </c>
      <c r="D1232" t="s">
        <v>7004</v>
      </c>
      <c r="E1232" s="10" t="s">
        <v>28</v>
      </c>
      <c r="F1232" s="11" t="s">
        <v>2006</v>
      </c>
      <c r="H1232" s="17" t="str">
        <f>HYPERLINK("https://www.google.com/maps/?q=45.4689777780001,-65.8468055559999", "https://www.google.com/maps/?q=45.4689777780001,-65.8468055559999")</f>
        <v>https://www.google.com/maps/?q=45.4689777780001,-65.8468055559999</v>
      </c>
    </row>
    <row r="1233" spans="1:8" ht="29" x14ac:dyDescent="0.35">
      <c r="A1233" t="s">
        <v>7005</v>
      </c>
      <c r="B1233" t="s">
        <v>7006</v>
      </c>
      <c r="C1233" t="s">
        <v>7007</v>
      </c>
      <c r="D1233" t="s">
        <v>7008</v>
      </c>
      <c r="E1233" s="10" t="s">
        <v>1109</v>
      </c>
      <c r="F1233" s="11" t="s">
        <v>7009</v>
      </c>
      <c r="H1233" s="17" t="str">
        <f>HYPERLINK("https://www.google.com/maps/?q=47.161944444,-67.9299999999999", "https://www.google.com/maps/?q=47.161944444,-67.9299999999999")</f>
        <v>https://www.google.com/maps/?q=47.161944444,-67.9299999999999</v>
      </c>
    </row>
    <row r="1234" spans="1:8" ht="29" x14ac:dyDescent="0.35">
      <c r="A1234" t="s">
        <v>7010</v>
      </c>
      <c r="B1234" t="s">
        <v>7011</v>
      </c>
      <c r="C1234" t="s">
        <v>7012</v>
      </c>
      <c r="D1234" t="s">
        <v>7013</v>
      </c>
      <c r="E1234" s="10" t="s">
        <v>1109</v>
      </c>
      <c r="F1234" s="11" t="s">
        <v>7014</v>
      </c>
      <c r="H1234" s="17" t="str">
        <f>HYPERLINK("https://www.google.com/maps/?q=46.8783333330001,-67.3786111109999", "https://www.google.com/maps/?q=46.8783333330001,-67.3786111109999")</f>
        <v>https://www.google.com/maps/?q=46.8783333330001,-67.3786111109999</v>
      </c>
    </row>
    <row r="1235" spans="1:8" ht="29" x14ac:dyDescent="0.35">
      <c r="A1235" t="s">
        <v>7015</v>
      </c>
      <c r="B1235" t="s">
        <v>7016</v>
      </c>
      <c r="C1235" t="s">
        <v>7017</v>
      </c>
      <c r="D1235" t="s">
        <v>7018</v>
      </c>
      <c r="E1235" s="10" t="s">
        <v>44</v>
      </c>
      <c r="F1235" s="11" t="s">
        <v>7019</v>
      </c>
      <c r="H1235" s="17" t="str">
        <f>HYPERLINK("https://www.google.com/maps/?q=45.1571138890001,-66.907802778", "https://www.google.com/maps/?q=45.1571138890001,-66.907802778")</f>
        <v>https://www.google.com/maps/?q=45.1571138890001,-66.907802778</v>
      </c>
    </row>
    <row r="1236" spans="1:8" ht="29" x14ac:dyDescent="0.35">
      <c r="A1236" t="s">
        <v>7020</v>
      </c>
      <c r="B1236" t="s">
        <v>7021</v>
      </c>
      <c r="C1236" t="s">
        <v>7022</v>
      </c>
      <c r="D1236" t="s">
        <v>7023</v>
      </c>
      <c r="E1236" s="10" t="s">
        <v>50</v>
      </c>
      <c r="F1236" s="11" t="s">
        <v>7024</v>
      </c>
      <c r="H1236" s="17" t="str">
        <f>HYPERLINK("https://www.google.com/maps/?q=47.7107583330001,-65.1125777779999", "https://www.google.com/maps/?q=47.7107583330001,-65.1125777779999")</f>
        <v>https://www.google.com/maps/?q=47.7107583330001,-65.1125777779999</v>
      </c>
    </row>
    <row r="1237" spans="1:8" ht="29" x14ac:dyDescent="0.35">
      <c r="A1237" t="s">
        <v>7025</v>
      </c>
      <c r="B1237" t="s">
        <v>7026</v>
      </c>
      <c r="C1237" t="s">
        <v>7027</v>
      </c>
      <c r="D1237" t="s">
        <v>7028</v>
      </c>
      <c r="E1237" s="10" t="s">
        <v>1109</v>
      </c>
      <c r="F1237" s="11" t="s">
        <v>7029</v>
      </c>
      <c r="H1237" s="17" t="str">
        <f>HYPERLINK("https://www.google.com/maps/?q=47.0316666670001,-67.648055556", "https://www.google.com/maps/?q=47.0316666670001,-67.648055556")</f>
        <v>https://www.google.com/maps/?q=47.0316666670001,-67.648055556</v>
      </c>
    </row>
    <row r="1238" spans="1:8" ht="29" x14ac:dyDescent="0.35">
      <c r="A1238" t="s">
        <v>7030</v>
      </c>
      <c r="B1238" t="s">
        <v>7031</v>
      </c>
      <c r="C1238" t="s">
        <v>7032</v>
      </c>
      <c r="D1238" t="s">
        <v>7033</v>
      </c>
      <c r="E1238" s="10" t="s">
        <v>1109</v>
      </c>
      <c r="F1238" s="11" t="s">
        <v>7034</v>
      </c>
      <c r="H1238" s="17" t="str">
        <f>HYPERLINK("https://www.google.com/maps/?q=47.3613888890001,-68.3247222219999", "https://www.google.com/maps/?q=47.3613888890001,-68.3247222219999")</f>
        <v>https://www.google.com/maps/?q=47.3613888890001,-68.3247222219999</v>
      </c>
    </row>
    <row r="1239" spans="1:8" ht="29" x14ac:dyDescent="0.35">
      <c r="A1239" t="s">
        <v>7035</v>
      </c>
      <c r="B1239" t="s">
        <v>7036</v>
      </c>
      <c r="C1239" t="s">
        <v>7037</v>
      </c>
      <c r="D1239" t="s">
        <v>7038</v>
      </c>
      <c r="E1239" s="10" t="s">
        <v>44</v>
      </c>
      <c r="F1239" s="11" t="s">
        <v>4293</v>
      </c>
      <c r="H1239" s="17" t="str">
        <f>HYPERLINK("https://www.google.com/maps/?q=46.971552778,-65.712961111", "https://www.google.com/maps/?q=46.971552778,-65.712961111")</f>
        <v>https://www.google.com/maps/?q=46.971552778,-65.712961111</v>
      </c>
    </row>
    <row r="1240" spans="1:8" ht="29" x14ac:dyDescent="0.35">
      <c r="A1240" t="s">
        <v>7039</v>
      </c>
      <c r="B1240" t="s">
        <v>7040</v>
      </c>
      <c r="C1240" t="s">
        <v>7041</v>
      </c>
      <c r="D1240" t="s">
        <v>7042</v>
      </c>
      <c r="E1240" s="10" t="s">
        <v>1109</v>
      </c>
      <c r="F1240" s="11" t="s">
        <v>5276</v>
      </c>
      <c r="H1240" s="17" t="str">
        <f>HYPERLINK("https://www.google.com/maps/?q=46.4241111110001,-66.946055556", "https://www.google.com/maps/?q=46.4241111110001,-66.946055556")</f>
        <v>https://www.google.com/maps/?q=46.4241111110001,-66.946055556</v>
      </c>
    </row>
    <row r="1241" spans="1:8" ht="29" x14ac:dyDescent="0.35">
      <c r="A1241" t="s">
        <v>7043</v>
      </c>
      <c r="B1241" t="s">
        <v>7044</v>
      </c>
      <c r="C1241" t="s">
        <v>7045</v>
      </c>
      <c r="D1241" t="s">
        <v>7046</v>
      </c>
      <c r="E1241" s="10" t="s">
        <v>1109</v>
      </c>
      <c r="F1241" s="11" t="s">
        <v>6892</v>
      </c>
      <c r="H1241" s="17" t="str">
        <f>HYPERLINK("https://www.google.com/maps/?q=46.3922777780001,-66.784166667", "https://www.google.com/maps/?q=46.3922777780001,-66.784166667")</f>
        <v>https://www.google.com/maps/?q=46.3922777780001,-66.784166667</v>
      </c>
    </row>
    <row r="1242" spans="1:8" ht="29" x14ac:dyDescent="0.35">
      <c r="A1242" t="s">
        <v>7047</v>
      </c>
      <c r="B1242" t="s">
        <v>7048</v>
      </c>
      <c r="C1242" t="s">
        <v>7049</v>
      </c>
      <c r="D1242" t="s">
        <v>7050</v>
      </c>
      <c r="E1242" s="10" t="s">
        <v>1109</v>
      </c>
      <c r="F1242" s="11" t="s">
        <v>7051</v>
      </c>
      <c r="H1242" s="17" t="str">
        <f>HYPERLINK("https://www.google.com/maps/?q=46.135527778,-64.655277778", "https://www.google.com/maps/?q=46.135527778,-64.655277778")</f>
        <v>https://www.google.com/maps/?q=46.135527778,-64.655277778</v>
      </c>
    </row>
    <row r="1243" spans="1:8" ht="29" x14ac:dyDescent="0.35">
      <c r="A1243" t="s">
        <v>7052</v>
      </c>
      <c r="B1243" t="s">
        <v>7053</v>
      </c>
      <c r="C1243" t="s">
        <v>7054</v>
      </c>
      <c r="D1243" t="s">
        <v>7055</v>
      </c>
      <c r="E1243" s="10" t="s">
        <v>461</v>
      </c>
      <c r="F1243" s="11" t="s">
        <v>7056</v>
      </c>
      <c r="H1243" s="17" t="str">
        <f>HYPERLINK("https://www.google.com/maps/?q=45.328888889,-65.8897222219999", "https://www.google.com/maps/?q=45.328888889,-65.8897222219999")</f>
        <v>https://www.google.com/maps/?q=45.328888889,-65.8897222219999</v>
      </c>
    </row>
    <row r="1244" spans="1:8" ht="29" x14ac:dyDescent="0.35">
      <c r="A1244" t="s">
        <v>7057</v>
      </c>
      <c r="B1244" t="s">
        <v>7058</v>
      </c>
      <c r="C1244" t="s">
        <v>7059</v>
      </c>
      <c r="D1244" t="s">
        <v>7060</v>
      </c>
      <c r="E1244" s="10" t="s">
        <v>1109</v>
      </c>
      <c r="F1244" s="11" t="s">
        <v>1514</v>
      </c>
      <c r="H1244" s="17" t="str">
        <f>HYPERLINK("https://www.google.com/maps/?q=46.079083333,-64.851416667", "https://www.google.com/maps/?q=46.079083333,-64.851416667")</f>
        <v>https://www.google.com/maps/?q=46.079083333,-64.851416667</v>
      </c>
    </row>
    <row r="1245" spans="1:8" ht="29" x14ac:dyDescent="0.35">
      <c r="A1245" t="s">
        <v>7061</v>
      </c>
      <c r="B1245" t="s">
        <v>7062</v>
      </c>
      <c r="C1245" t="s">
        <v>7063</v>
      </c>
      <c r="D1245" t="s">
        <v>7064</v>
      </c>
      <c r="E1245" s="10" t="s">
        <v>44</v>
      </c>
      <c r="F1245" s="11" t="s">
        <v>7065</v>
      </c>
      <c r="H1245" s="17" t="str">
        <f>HYPERLINK("https://www.google.com/maps/?q=46.6692694440001,-64.974011111", "https://www.google.com/maps/?q=46.6692694440001,-64.974011111")</f>
        <v>https://www.google.com/maps/?q=46.6692694440001,-64.974011111</v>
      </c>
    </row>
    <row r="1246" spans="1:8" ht="29" x14ac:dyDescent="0.35">
      <c r="A1246" t="s">
        <v>1704</v>
      </c>
      <c r="B1246" t="s">
        <v>7066</v>
      </c>
      <c r="C1246" t="s">
        <v>1706</v>
      </c>
      <c r="D1246" t="s">
        <v>7067</v>
      </c>
      <c r="E1246" s="10" t="s">
        <v>1109</v>
      </c>
      <c r="F1246" s="11" t="s">
        <v>1514</v>
      </c>
      <c r="H1246" s="17" t="str">
        <f>HYPERLINK("https://www.google.com/maps/?q=46.072166667,-64.868805556", "https://www.google.com/maps/?q=46.072166667,-64.868805556")</f>
        <v>https://www.google.com/maps/?q=46.072166667,-64.868805556</v>
      </c>
    </row>
    <row r="1247" spans="1:8" ht="29" x14ac:dyDescent="0.35">
      <c r="A1247" t="s">
        <v>7068</v>
      </c>
      <c r="B1247" t="s">
        <v>7069</v>
      </c>
      <c r="C1247" t="s">
        <v>7070</v>
      </c>
      <c r="D1247" t="s">
        <v>7071</v>
      </c>
      <c r="E1247" s="10" t="s">
        <v>1109</v>
      </c>
      <c r="F1247" s="11" t="s">
        <v>7072</v>
      </c>
      <c r="H1247" s="17" t="str">
        <f>HYPERLINK("https://www.google.com/maps/?q=46.5275,-67.14", "https://www.google.com/maps/?q=46.5275,-67.14")</f>
        <v>https://www.google.com/maps/?q=46.5275,-67.14</v>
      </c>
    </row>
    <row r="1248" spans="1:8" ht="29" x14ac:dyDescent="0.35">
      <c r="A1248" t="s">
        <v>7073</v>
      </c>
      <c r="B1248" t="s">
        <v>7074</v>
      </c>
      <c r="C1248" t="s">
        <v>7075</v>
      </c>
      <c r="D1248" t="s">
        <v>7076</v>
      </c>
      <c r="E1248" s="10" t="s">
        <v>1109</v>
      </c>
      <c r="F1248" s="11" t="s">
        <v>1514</v>
      </c>
      <c r="H1248" s="17" t="str">
        <f>HYPERLINK("https://www.google.com/maps/?q=46.069333333,-64.86475", "https://www.google.com/maps/?q=46.069333333,-64.86475")</f>
        <v>https://www.google.com/maps/?q=46.069333333,-64.86475</v>
      </c>
    </row>
    <row r="1249" spans="1:9" ht="29" x14ac:dyDescent="0.35">
      <c r="A1249" t="s">
        <v>7077</v>
      </c>
      <c r="B1249" t="s">
        <v>7078</v>
      </c>
      <c r="C1249" t="s">
        <v>7079</v>
      </c>
      <c r="D1249" t="s">
        <v>7080</v>
      </c>
      <c r="E1249" s="10" t="s">
        <v>50</v>
      </c>
      <c r="F1249" s="11" t="s">
        <v>7081</v>
      </c>
      <c r="H1249" s="17" t="str">
        <f>HYPERLINK("https://www.google.com/maps/?q=45.306777778,-66.015780556", "https://www.google.com/maps/?q=45.306777778,-66.015780556")</f>
        <v>https://www.google.com/maps/?q=45.306777778,-66.015780556</v>
      </c>
    </row>
    <row r="1250" spans="1:9" ht="29" x14ac:dyDescent="0.35">
      <c r="A1250" t="s">
        <v>7082</v>
      </c>
      <c r="B1250" t="s">
        <v>7083</v>
      </c>
      <c r="C1250" t="s">
        <v>7084</v>
      </c>
      <c r="D1250" t="s">
        <v>7085</v>
      </c>
      <c r="E1250" s="10" t="s">
        <v>66</v>
      </c>
      <c r="F1250" s="11" t="s">
        <v>7086</v>
      </c>
      <c r="H1250" s="17" t="str">
        <f>HYPERLINK("https://www.google.com/maps/?q=46.0956944440001,-64.783508333", "https://www.google.com/maps/?q=46.0956944440001,-64.783508333")</f>
        <v>https://www.google.com/maps/?q=46.0956944440001,-64.783508333</v>
      </c>
    </row>
    <row r="1251" spans="1:9" ht="29" x14ac:dyDescent="0.35">
      <c r="A1251" t="s">
        <v>6986</v>
      </c>
      <c r="B1251" t="s">
        <v>7087</v>
      </c>
      <c r="C1251" t="s">
        <v>6988</v>
      </c>
      <c r="D1251" t="s">
        <v>7088</v>
      </c>
      <c r="E1251" s="10" t="s">
        <v>1109</v>
      </c>
      <c r="F1251" s="11" t="s">
        <v>7089</v>
      </c>
      <c r="H1251" s="17" t="str">
        <f>HYPERLINK("https://www.google.com/maps/?q=46.3647222220001,-66.5666666669999", "https://www.google.com/maps/?q=46.3647222220001,-66.5666666669999")</f>
        <v>https://www.google.com/maps/?q=46.3647222220001,-66.5666666669999</v>
      </c>
    </row>
    <row r="1252" spans="1:9" ht="29" x14ac:dyDescent="0.35">
      <c r="A1252" t="s">
        <v>7090</v>
      </c>
      <c r="B1252" t="s">
        <v>7091</v>
      </c>
      <c r="C1252" t="s">
        <v>7092</v>
      </c>
      <c r="D1252" t="s">
        <v>7093</v>
      </c>
      <c r="E1252" s="10" t="s">
        <v>1109</v>
      </c>
      <c r="F1252" s="11" t="s">
        <v>7094</v>
      </c>
      <c r="H1252" s="17" t="str">
        <f>HYPERLINK("https://www.google.com/maps/?q=46.543083333,-67.1695833329999", "https://www.google.com/maps/?q=46.543083333,-67.1695833329999")</f>
        <v>https://www.google.com/maps/?q=46.543083333,-67.1695833329999</v>
      </c>
    </row>
    <row r="1253" spans="1:9" ht="29" x14ac:dyDescent="0.35">
      <c r="A1253" t="s">
        <v>7095</v>
      </c>
      <c r="B1253" t="s">
        <v>7096</v>
      </c>
      <c r="C1253" t="s">
        <v>7097</v>
      </c>
      <c r="D1253" t="s">
        <v>7098</v>
      </c>
      <c r="E1253" s="10" t="s">
        <v>50</v>
      </c>
      <c r="F1253" s="11" t="s">
        <v>7099</v>
      </c>
      <c r="H1253" s="17" t="str">
        <f>HYPERLINK("https://www.google.com/maps/?q=45.9573472220001,-66.647572222", "https://www.google.com/maps/?q=45.9573472220001,-66.647572222")</f>
        <v>https://www.google.com/maps/?q=45.9573472220001,-66.647572222</v>
      </c>
    </row>
    <row r="1254" spans="1:9" ht="29" x14ac:dyDescent="0.35">
      <c r="A1254" t="s">
        <v>7100</v>
      </c>
      <c r="B1254" t="s">
        <v>7101</v>
      </c>
      <c r="C1254" t="s">
        <v>7102</v>
      </c>
      <c r="D1254" t="s">
        <v>7103</v>
      </c>
      <c r="E1254" s="10" t="s">
        <v>44</v>
      </c>
      <c r="F1254" s="11" t="s">
        <v>7104</v>
      </c>
      <c r="H1254" s="17" t="str">
        <f>HYPERLINK("https://www.google.com/maps/?q=46.361647222,-67.569466667", "https://www.google.com/maps/?q=46.361647222,-67.569466667")</f>
        <v>https://www.google.com/maps/?q=46.361647222,-67.569466667</v>
      </c>
    </row>
    <row r="1255" spans="1:9" ht="29" x14ac:dyDescent="0.35">
      <c r="A1255" t="s">
        <v>7105</v>
      </c>
      <c r="B1255" t="s">
        <v>2988</v>
      </c>
      <c r="C1255" t="s">
        <v>7106</v>
      </c>
      <c r="D1255" t="s">
        <v>2990</v>
      </c>
      <c r="E1255" s="10" t="s">
        <v>66</v>
      </c>
      <c r="F1255" s="11" t="s">
        <v>2991</v>
      </c>
      <c r="H1255" s="17" t="str">
        <f>HYPERLINK("https://www.google.com/maps/?q=45.9208,-65.6446999999999", "https://www.google.com/maps/?q=45.9208,-65.6446999999999")</f>
        <v>https://www.google.com/maps/?q=45.9208,-65.6446999999999</v>
      </c>
    </row>
    <row r="1256" spans="1:9" ht="29" x14ac:dyDescent="0.35">
      <c r="A1256" t="s">
        <v>7107</v>
      </c>
      <c r="B1256" t="s">
        <v>7108</v>
      </c>
      <c r="C1256" t="s">
        <v>7109</v>
      </c>
      <c r="D1256" t="s">
        <v>7110</v>
      </c>
      <c r="E1256" s="10" t="s">
        <v>1109</v>
      </c>
      <c r="F1256" s="11" t="s">
        <v>7111</v>
      </c>
      <c r="H1256" s="17" t="str">
        <f>HYPERLINK("https://www.google.com/maps/?q=47.339444444,-68.653333333", "https://www.google.com/maps/?q=47.339444444,-68.653333333")</f>
        <v>https://www.google.com/maps/?q=47.339444444,-68.653333333</v>
      </c>
    </row>
    <row r="1257" spans="1:9" ht="29" x14ac:dyDescent="0.35">
      <c r="A1257" t="s">
        <v>7112</v>
      </c>
      <c r="B1257" t="s">
        <v>7113</v>
      </c>
      <c r="C1257" t="s">
        <v>7114</v>
      </c>
      <c r="D1257" t="s">
        <v>7115</v>
      </c>
      <c r="E1257" s="10" t="s">
        <v>50</v>
      </c>
      <c r="F1257" s="11" t="s">
        <v>2952</v>
      </c>
      <c r="H1257" s="17" t="str">
        <f>HYPERLINK("https://www.google.com/maps/?q=45.9602944440001,-66.637544444", "https://www.google.com/maps/?q=45.9602944440001,-66.637544444")</f>
        <v>https://www.google.com/maps/?q=45.9602944440001,-66.637544444</v>
      </c>
    </row>
    <row r="1258" spans="1:9" ht="29" x14ac:dyDescent="0.35">
      <c r="A1258" t="s">
        <v>7116</v>
      </c>
      <c r="B1258" t="s">
        <v>7117</v>
      </c>
      <c r="C1258" t="s">
        <v>7118</v>
      </c>
      <c r="D1258" t="s">
        <v>7119</v>
      </c>
      <c r="E1258" s="10" t="s">
        <v>1109</v>
      </c>
      <c r="F1258" s="11" t="s">
        <v>7120</v>
      </c>
      <c r="H1258" s="17" t="str">
        <f>HYPERLINK("https://www.google.com/maps/?q=47.6200000000001,-65.670277778", "https://www.google.com/maps/?q=47.6200000000001,-65.670277778")</f>
        <v>https://www.google.com/maps/?q=47.6200000000001,-65.670277778</v>
      </c>
    </row>
    <row r="1259" spans="1:9" ht="29" x14ac:dyDescent="0.35">
      <c r="A1259" t="s">
        <v>7121</v>
      </c>
      <c r="B1259" t="s">
        <v>7122</v>
      </c>
      <c r="C1259" t="s">
        <v>7123</v>
      </c>
      <c r="D1259" t="s">
        <v>7124</v>
      </c>
      <c r="E1259" s="10" t="s">
        <v>1109</v>
      </c>
      <c r="F1259" s="11" t="s">
        <v>1702</v>
      </c>
      <c r="H1259" s="17" t="str">
        <f>HYPERLINK("https://www.google.com/maps/?q=46.890861111,-67.4053888889999", "https://www.google.com/maps/?q=46.890861111,-67.4053888889999")</f>
        <v>https://www.google.com/maps/?q=46.890861111,-67.4053888889999</v>
      </c>
    </row>
    <row r="1260" spans="1:9" ht="29" x14ac:dyDescent="0.35">
      <c r="A1260" t="s">
        <v>7125</v>
      </c>
      <c r="B1260" t="s">
        <v>7126</v>
      </c>
      <c r="C1260" t="s">
        <v>7127</v>
      </c>
      <c r="D1260" t="s">
        <v>7128</v>
      </c>
      <c r="E1260" s="10" t="s">
        <v>1109</v>
      </c>
      <c r="F1260" s="11" t="s">
        <v>6768</v>
      </c>
      <c r="H1260" s="17" t="str">
        <f>HYPERLINK("https://www.google.com/maps/?q=46.715277778,-67.248472222", "https://www.google.com/maps/?q=46.715277778,-67.248472222")</f>
        <v>https://www.google.com/maps/?q=46.715277778,-67.248472222</v>
      </c>
    </row>
    <row r="1261" spans="1:9" ht="29" x14ac:dyDescent="0.35">
      <c r="A1261" t="s">
        <v>7129</v>
      </c>
      <c r="B1261" t="s">
        <v>7130</v>
      </c>
      <c r="C1261" t="s">
        <v>7131</v>
      </c>
      <c r="D1261" t="s">
        <v>7132</v>
      </c>
      <c r="E1261" s="10" t="s">
        <v>50</v>
      </c>
      <c r="F1261" s="11" t="s">
        <v>6481</v>
      </c>
      <c r="H1261" s="17" t="str">
        <f>HYPERLINK("https://www.google.com/maps/?q=47.639972222,-65.6788972219999", "https://www.google.com/maps/?q=47.639972222,-65.6788972219999")</f>
        <v>https://www.google.com/maps/?q=47.639972222,-65.6788972219999</v>
      </c>
    </row>
    <row r="1262" spans="1:9" ht="29" x14ac:dyDescent="0.35">
      <c r="A1262" t="s">
        <v>7133</v>
      </c>
      <c r="B1262" t="s">
        <v>7134</v>
      </c>
      <c r="C1262" t="s">
        <v>7135</v>
      </c>
      <c r="D1262" t="s">
        <v>7136</v>
      </c>
      <c r="E1262" s="10" t="s">
        <v>50</v>
      </c>
      <c r="F1262" s="11" t="s">
        <v>1462</v>
      </c>
      <c r="H1262" s="17" t="str">
        <f>HYPERLINK("https://www.google.com/maps/?q=45.961113889,-66.643333333", "https://www.google.com/maps/?q=45.961113889,-66.643333333")</f>
        <v>https://www.google.com/maps/?q=45.961113889,-66.643333333</v>
      </c>
    </row>
    <row r="1263" spans="1:9" ht="29" x14ac:dyDescent="0.35">
      <c r="A1263" t="s">
        <v>7137</v>
      </c>
      <c r="B1263" t="s">
        <v>7138</v>
      </c>
      <c r="C1263" t="s">
        <v>7139</v>
      </c>
      <c r="D1263" t="s">
        <v>7140</v>
      </c>
      <c r="E1263" s="10" t="s">
        <v>1109</v>
      </c>
      <c r="F1263" s="11" t="s">
        <v>7141</v>
      </c>
      <c r="H1263" s="17" t="str">
        <f>HYPERLINK("https://www.google.com/maps/?q=46.0441666670001,-64.5644444439999", "https://www.google.com/maps/?q=46.0441666670001,-64.5644444439999")</f>
        <v>https://www.google.com/maps/?q=46.0441666670001,-64.5644444439999</v>
      </c>
    </row>
    <row r="1264" spans="1:9" ht="29" x14ac:dyDescent="0.35">
      <c r="A1264" t="s">
        <v>7142</v>
      </c>
      <c r="B1264" t="s">
        <v>7143</v>
      </c>
      <c r="C1264" t="s">
        <v>7144</v>
      </c>
      <c r="D1264" t="s">
        <v>7145</v>
      </c>
      <c r="E1264" s="10" t="s">
        <v>1109</v>
      </c>
      <c r="F1264" s="11" t="s">
        <v>7146</v>
      </c>
      <c r="H1264" s="17" t="str">
        <f>HYPERLINK("https://www.google.com/maps/?q=46.1828055560001,-65.8554722219999", "https://www.google.com/maps/?q=46.1828055560001,-65.8554722219999")</f>
        <v>https://www.google.com/maps/?q=46.1828055560001,-65.8554722219999</v>
      </c>
      <c r="I1264" s="23" t="s">
        <v>7147</v>
      </c>
    </row>
    <row r="1265" spans="1:12" ht="29" x14ac:dyDescent="0.35">
      <c r="A1265" t="s">
        <v>7148</v>
      </c>
      <c r="B1265" t="s">
        <v>7149</v>
      </c>
      <c r="C1265" t="s">
        <v>7150</v>
      </c>
      <c r="D1265" t="s">
        <v>7151</v>
      </c>
      <c r="E1265" s="10" t="s">
        <v>66</v>
      </c>
      <c r="F1265" s="11" t="s">
        <v>7152</v>
      </c>
      <c r="H1265" s="17" t="str">
        <f>HYPERLINK("https://www.google.com/maps/?q=46.098547222,-64.798413889", "https://www.google.com/maps/?q=46.098547222,-64.798413889")</f>
        <v>https://www.google.com/maps/?q=46.098547222,-64.798413889</v>
      </c>
      <c r="I1265" s="23" t="s">
        <v>7147</v>
      </c>
    </row>
    <row r="1266" spans="1:12" ht="29" x14ac:dyDescent="0.35">
      <c r="A1266" t="s">
        <v>7153</v>
      </c>
      <c r="B1266" t="s">
        <v>7154</v>
      </c>
      <c r="C1266" t="s">
        <v>7155</v>
      </c>
      <c r="D1266" t="s">
        <v>7156</v>
      </c>
      <c r="E1266" s="10" t="s">
        <v>1109</v>
      </c>
      <c r="F1266" s="11" t="s">
        <v>7157</v>
      </c>
      <c r="H1266" s="17" t="str">
        <f>HYPERLINK("https://www.google.com/maps/?q=45.463055556,-66.359444444", "https://www.google.com/maps/?q=45.463055556,-66.359444444")</f>
        <v>https://www.google.com/maps/?q=45.463055556,-66.359444444</v>
      </c>
      <c r="I1266" s="23" t="s">
        <v>7147</v>
      </c>
    </row>
    <row r="1267" spans="1:12" ht="29" x14ac:dyDescent="0.35">
      <c r="A1267" t="s">
        <v>7158</v>
      </c>
      <c r="B1267" t="s">
        <v>7159</v>
      </c>
      <c r="C1267" t="s">
        <v>7160</v>
      </c>
      <c r="D1267" t="s">
        <v>7161</v>
      </c>
      <c r="E1267" s="10" t="s">
        <v>50</v>
      </c>
      <c r="F1267" s="11" t="s">
        <v>7162</v>
      </c>
      <c r="H1267" s="17" t="str">
        <f>HYPERLINK("https://www.google.com/maps/?q=47.0541805560001,-67.743152778", "https://www.google.com/maps/?q=47.0541805560001,-67.743152778")</f>
        <v>https://www.google.com/maps/?q=47.0541805560001,-67.743152778</v>
      </c>
      <c r="I1267" s="23" t="s">
        <v>7147</v>
      </c>
    </row>
    <row r="1268" spans="1:12" ht="29" x14ac:dyDescent="0.35">
      <c r="A1268" t="s">
        <v>7163</v>
      </c>
      <c r="B1268" t="s">
        <v>1705</v>
      </c>
      <c r="C1268" t="s">
        <v>7164</v>
      </c>
      <c r="D1268" t="s">
        <v>1707</v>
      </c>
      <c r="E1268" s="10" t="s">
        <v>1109</v>
      </c>
      <c r="F1268" s="11" t="s">
        <v>1514</v>
      </c>
      <c r="H1268" s="17" t="str">
        <f>HYPERLINK("https://www.google.com/maps/?q=46.072194444,-64.869194444", "https://www.google.com/maps/?q=46.072194444,-64.869194444")</f>
        <v>https://www.google.com/maps/?q=46.072194444,-64.869194444</v>
      </c>
      <c r="I1268" s="23" t="s">
        <v>7165</v>
      </c>
    </row>
    <row r="1269" spans="1:12" ht="29" x14ac:dyDescent="0.35">
      <c r="A1269" t="s">
        <v>7166</v>
      </c>
      <c r="B1269" t="s">
        <v>7167</v>
      </c>
      <c r="C1269" t="s">
        <v>7168</v>
      </c>
      <c r="D1269" t="s">
        <v>7169</v>
      </c>
      <c r="E1269" s="10" t="s">
        <v>1109</v>
      </c>
      <c r="F1269" s="11" t="s">
        <v>7170</v>
      </c>
      <c r="H1269" s="17" t="str">
        <f>HYPERLINK("https://www.google.com/maps/?q=47.8480555560001,-65.768888889", "https://www.google.com/maps/?q=47.8480555560001,-65.768888889")</f>
        <v>https://www.google.com/maps/?q=47.8480555560001,-65.768888889</v>
      </c>
      <c r="I1269" s="23" t="s">
        <v>7147</v>
      </c>
    </row>
    <row r="1270" spans="1:12" ht="29" x14ac:dyDescent="0.35">
      <c r="A1270" t="s">
        <v>7171</v>
      </c>
      <c r="B1270" t="s">
        <v>7172</v>
      </c>
      <c r="C1270" t="s">
        <v>7173</v>
      </c>
      <c r="D1270" t="s">
        <v>7174</v>
      </c>
      <c r="E1270" s="10" t="s">
        <v>1109</v>
      </c>
      <c r="F1270" s="11" t="s">
        <v>6635</v>
      </c>
      <c r="H1270" s="17" t="str">
        <f>HYPERLINK("https://www.google.com/maps/?q=45.9405833330001,-64.5293055559999", "https://www.google.com/maps/?q=45.9405833330001,-64.5293055559999")</f>
        <v>https://www.google.com/maps/?q=45.9405833330001,-64.5293055559999</v>
      </c>
      <c r="I1270" s="23" t="s">
        <v>7147</v>
      </c>
    </row>
    <row r="1271" spans="1:12" ht="29" x14ac:dyDescent="0.35">
      <c r="A1271" t="s">
        <v>7175</v>
      </c>
      <c r="B1271" t="s">
        <v>7176</v>
      </c>
      <c r="C1271" t="s">
        <v>7177</v>
      </c>
      <c r="D1271" t="s">
        <v>7178</v>
      </c>
      <c r="E1271" s="10" t="s">
        <v>1109</v>
      </c>
      <c r="F1271" s="11" t="s">
        <v>5991</v>
      </c>
      <c r="H1271" s="17" t="str">
        <f>HYPERLINK("https://www.google.com/maps/?q=46.835888889,-67.29875", "https://www.google.com/maps/?q=46.835888889,-67.29875")</f>
        <v>https://www.google.com/maps/?q=46.835888889,-67.29875</v>
      </c>
      <c r="I1271" s="17" t="s">
        <v>7179</v>
      </c>
      <c r="J1271" s="12" t="s">
        <v>7180</v>
      </c>
    </row>
    <row r="1272" spans="1:12" ht="29" x14ac:dyDescent="0.35">
      <c r="A1272" t="s">
        <v>7181</v>
      </c>
      <c r="B1272" t="s">
        <v>7182</v>
      </c>
      <c r="C1272" t="s">
        <v>7183</v>
      </c>
      <c r="D1272" t="s">
        <v>7184</v>
      </c>
      <c r="E1272" s="10" t="s">
        <v>28</v>
      </c>
      <c r="F1272" s="11" t="s">
        <v>7185</v>
      </c>
      <c r="H1272" s="17" t="str">
        <f>HYPERLINK("https://www.google.com/maps/?q=48.006808333,-66.6763583329999", "https://www.google.com/maps/?q=48.006808333,-66.6763583329999")</f>
        <v>https://www.google.com/maps/?q=48.006808333,-66.6763583329999</v>
      </c>
      <c r="I1272" s="23" t="s">
        <v>7186</v>
      </c>
    </row>
    <row r="1273" spans="1:12" ht="29" x14ac:dyDescent="0.35">
      <c r="A1273" t="s">
        <v>7187</v>
      </c>
      <c r="B1273" t="s">
        <v>7188</v>
      </c>
      <c r="C1273" t="s">
        <v>7189</v>
      </c>
      <c r="D1273" t="s">
        <v>7190</v>
      </c>
      <c r="E1273" s="10" t="s">
        <v>28</v>
      </c>
      <c r="F1273" s="11" t="s">
        <v>7191</v>
      </c>
      <c r="H1273" s="17" t="str">
        <f>HYPERLINK("https://www.google.com/maps/?q=48.0322,-66.4757999999999", "https://www.google.com/maps/?q=48.0322,-66.4757999999999")</f>
        <v>https://www.google.com/maps/?q=48.0322,-66.4757999999999</v>
      </c>
      <c r="I1273" s="23" t="s">
        <v>7192</v>
      </c>
      <c r="J1273" s="118" t="s">
        <v>7193</v>
      </c>
    </row>
    <row r="1274" spans="1:12" ht="58" x14ac:dyDescent="0.35">
      <c r="A1274" t="s">
        <v>7194</v>
      </c>
      <c r="B1274" t="s">
        <v>7195</v>
      </c>
      <c r="C1274" t="s">
        <v>7196</v>
      </c>
      <c r="D1274" t="s">
        <v>7197</v>
      </c>
      <c r="E1274" s="10" t="s">
        <v>28</v>
      </c>
      <c r="F1274" s="11" t="s">
        <v>4867</v>
      </c>
      <c r="H1274" s="17" t="str">
        <f>HYPERLINK("https://www.google.com/maps/?q=48.0002277780001,-66.625958333", "https://www.google.com/maps/?q=48.0002277780001,-66.625958333")</f>
        <v>https://www.google.com/maps/?q=48.0002277780001,-66.625958333</v>
      </c>
      <c r="I1274" s="17" t="s">
        <v>7198</v>
      </c>
      <c r="J1274" s="17" t="s">
        <v>7199</v>
      </c>
      <c r="K1274" s="74">
        <v>15067597240</v>
      </c>
      <c r="L1274" s="48" t="s">
        <v>7200</v>
      </c>
    </row>
    <row r="1275" spans="1:12" ht="29" x14ac:dyDescent="0.35">
      <c r="A1275" t="s">
        <v>7201</v>
      </c>
      <c r="B1275" t="s">
        <v>7202</v>
      </c>
      <c r="C1275" t="s">
        <v>7203</v>
      </c>
      <c r="D1275" t="s">
        <v>7204</v>
      </c>
      <c r="E1275" s="10" t="s">
        <v>461</v>
      </c>
      <c r="F1275" s="11" t="s">
        <v>7185</v>
      </c>
      <c r="G1275" s="12" t="s">
        <v>1147</v>
      </c>
      <c r="H1275" s="17" t="str">
        <f>HYPERLINK("https://www.google.com/maps/?q=48.0069638890001,-66.676661111", "https://www.google.com/maps/?q=48.0069638890001,-66.676661111")</f>
        <v>https://www.google.com/maps/?q=48.0069638890001,-66.676661111</v>
      </c>
      <c r="I1275" s="17" t="s">
        <v>7205</v>
      </c>
      <c r="J1275" s="17" t="s">
        <v>7206</v>
      </c>
      <c r="K1275" s="74">
        <v>15067892364</v>
      </c>
    </row>
    <row r="1276" spans="1:12" ht="29" x14ac:dyDescent="0.35">
      <c r="A1276" t="s">
        <v>7207</v>
      </c>
      <c r="B1276" t="s">
        <v>7208</v>
      </c>
      <c r="C1276" t="s">
        <v>7209</v>
      </c>
      <c r="D1276" t="s">
        <v>7210</v>
      </c>
      <c r="E1276" s="10" t="s">
        <v>50</v>
      </c>
      <c r="F1276" s="11" t="s">
        <v>7211</v>
      </c>
      <c r="H1276" s="17" t="str">
        <f>HYPERLINK("https://www.google.com/maps/?q=48.0297444440001,-66.521691667", "https://www.google.com/maps/?q=48.0297444440001,-66.521691667")</f>
        <v>https://www.google.com/maps/?q=48.0297444440001,-66.521691667</v>
      </c>
      <c r="I1276" s="23" t="s">
        <v>7192</v>
      </c>
    </row>
    <row r="1277" spans="1:12" ht="29" x14ac:dyDescent="0.35">
      <c r="A1277" t="s">
        <v>7212</v>
      </c>
      <c r="B1277" t="s">
        <v>7213</v>
      </c>
      <c r="C1277" t="s">
        <v>7214</v>
      </c>
      <c r="D1277" t="s">
        <v>7215</v>
      </c>
      <c r="E1277" s="10" t="s">
        <v>1109</v>
      </c>
      <c r="F1277" s="11" t="s">
        <v>7216</v>
      </c>
      <c r="H1277" s="17" t="str">
        <f>HYPERLINK("https://www.google.com/maps/?q=48.0025000000001,-66.6872222219999", "https://www.google.com/maps/?q=48.0025000000001,-66.6872222219999")</f>
        <v>https://www.google.com/maps/?q=48.0025000000001,-66.6872222219999</v>
      </c>
      <c r="I1277" s="23" t="s">
        <v>7147</v>
      </c>
    </row>
    <row r="1278" spans="1:12" ht="29" x14ac:dyDescent="0.35">
      <c r="A1278" t="s">
        <v>7217</v>
      </c>
      <c r="B1278" t="s">
        <v>7218</v>
      </c>
      <c r="C1278" t="s">
        <v>7219</v>
      </c>
      <c r="D1278" t="s">
        <v>7220</v>
      </c>
      <c r="E1278" s="10" t="s">
        <v>28</v>
      </c>
      <c r="F1278" s="11" t="s">
        <v>7221</v>
      </c>
      <c r="G1278" s="12" t="s">
        <v>1253</v>
      </c>
      <c r="H1278" s="17" t="str">
        <f>HYPERLINK("https://www.google.com/maps/?q=48.057877778,-66.3917999999999", "https://www.google.com/maps/?q=48.057877778,-66.3917999999999")</f>
        <v>https://www.google.com/maps/?q=48.057877778,-66.3917999999999</v>
      </c>
      <c r="I1278" s="17" t="s">
        <v>7222</v>
      </c>
      <c r="J1278" s="17"/>
      <c r="K1278" s="74">
        <v>15066847553</v>
      </c>
    </row>
    <row r="1279" spans="1:12" ht="29" x14ac:dyDescent="0.35">
      <c r="A1279" t="s">
        <v>7223</v>
      </c>
      <c r="B1279" t="s">
        <v>7224</v>
      </c>
      <c r="C1279" t="s">
        <v>7225</v>
      </c>
      <c r="D1279" t="s">
        <v>7226</v>
      </c>
      <c r="E1279" s="10" t="s">
        <v>28</v>
      </c>
      <c r="F1279" s="11" t="s">
        <v>7227</v>
      </c>
      <c r="H1279" s="17" t="str">
        <f>HYPERLINK("https://www.google.com/maps/?q=48.005552778,-66.673033333", "https://www.google.com/maps/?q=48.005552778,-66.673033333")</f>
        <v>https://www.google.com/maps/?q=48.005552778,-66.673033333</v>
      </c>
      <c r="I1279" s="23" t="s">
        <v>7147</v>
      </c>
    </row>
    <row r="1280" spans="1:12" ht="29" x14ac:dyDescent="0.35">
      <c r="A1280" t="s">
        <v>7228</v>
      </c>
      <c r="B1280" t="s">
        <v>7229</v>
      </c>
      <c r="C1280" t="s">
        <v>7230</v>
      </c>
      <c r="D1280" t="s">
        <v>7231</v>
      </c>
      <c r="E1280" s="10" t="s">
        <v>50</v>
      </c>
      <c r="F1280" s="11" t="s">
        <v>7232</v>
      </c>
      <c r="G1280" s="12" t="s">
        <v>1253</v>
      </c>
      <c r="H1280" s="17" t="str">
        <f>HYPERLINK("https://www.google.com/maps/?q=48.061691667,-66.3800249999999", "https://www.google.com/maps/?q=48.061691667,-66.3800249999999")</f>
        <v>https://www.google.com/maps/?q=48.061691667,-66.3800249999999</v>
      </c>
      <c r="I1280" s="17" t="s">
        <v>7233</v>
      </c>
      <c r="J1280" s="17" t="s">
        <v>7234</v>
      </c>
      <c r="K1280" s="74" t="s">
        <v>7235</v>
      </c>
    </row>
    <row r="1281" spans="1:12" ht="29" x14ac:dyDescent="0.35">
      <c r="A1281" t="s">
        <v>7236</v>
      </c>
      <c r="B1281" t="s">
        <v>7237</v>
      </c>
      <c r="C1281" t="s">
        <v>7238</v>
      </c>
      <c r="D1281" t="s">
        <v>7239</v>
      </c>
      <c r="E1281" s="10" t="s">
        <v>1109</v>
      </c>
      <c r="F1281" s="11" t="s">
        <v>7240</v>
      </c>
      <c r="H1281" s="17" t="str">
        <f>HYPERLINK("https://www.google.com/maps/?q=48.0511111110001,-66.4383333329999", "https://www.google.com/maps/?q=48.0511111110001,-66.4383333329999")</f>
        <v>https://www.google.com/maps/?q=48.0511111110001,-66.4383333329999</v>
      </c>
      <c r="I1281" s="23" t="s">
        <v>7192</v>
      </c>
    </row>
    <row r="1282" spans="1:12" ht="29" x14ac:dyDescent="0.35">
      <c r="A1282" t="s">
        <v>7241</v>
      </c>
      <c r="B1282" t="s">
        <v>7242</v>
      </c>
      <c r="C1282" t="s">
        <v>7243</v>
      </c>
      <c r="D1282" t="s">
        <v>7244</v>
      </c>
      <c r="E1282" s="10" t="s">
        <v>1109</v>
      </c>
      <c r="F1282" s="11" t="s">
        <v>7245</v>
      </c>
      <c r="H1282" s="51" t="str">
        <f>HYPERLINK("https://www.google.com/maps/?q=48.004166667,-66.6802777779999", "https://www.google.com/maps/?q=48.004166667,-66.6802777779999")</f>
        <v>https://www.google.com/maps/?q=48.004166667,-66.6802777779999</v>
      </c>
      <c r="I1282" s="23" t="s">
        <v>7147</v>
      </c>
    </row>
    <row r="1283" spans="1:12" ht="76.5" customHeight="1" x14ac:dyDescent="0.35">
      <c r="E1283" s="56" t="s">
        <v>7246</v>
      </c>
      <c r="F1283" s="57" t="s">
        <v>7247</v>
      </c>
      <c r="G1283" s="12" t="s">
        <v>1138</v>
      </c>
      <c r="H1283" s="51" t="s">
        <v>7248</v>
      </c>
      <c r="I1283" s="17" t="s">
        <v>7249</v>
      </c>
      <c r="J1283" s="113" t="s">
        <v>7250</v>
      </c>
      <c r="K1283" s="66" t="s">
        <v>7251</v>
      </c>
      <c r="L1283" s="47"/>
    </row>
    <row r="1423" spans="7:7" x14ac:dyDescent="0.35">
      <c r="G1423" s="17"/>
    </row>
    <row r="2016" spans="7:7" x14ac:dyDescent="0.35">
      <c r="G2016" s="17"/>
    </row>
    <row r="1032808" spans="9:11" ht="18.5" x14ac:dyDescent="0.35">
      <c r="I1032808" s="21"/>
      <c r="J1032808" s="5"/>
      <c r="K1032808" s="75"/>
    </row>
    <row r="1032809" spans="9:11" x14ac:dyDescent="0.35">
      <c r="K1032809" s="76"/>
    </row>
    <row r="1032810" spans="9:11" x14ac:dyDescent="0.35">
      <c r="K1032810" s="76"/>
    </row>
    <row r="1032811" spans="9:11" x14ac:dyDescent="0.35">
      <c r="I1032811" s="15"/>
      <c r="J1032811" s="15"/>
      <c r="K1032811" s="76"/>
    </row>
    <row r="1032812" spans="9:11" x14ac:dyDescent="0.35">
      <c r="K1032812" s="76"/>
    </row>
    <row r="1032815" spans="9:11" x14ac:dyDescent="0.35">
      <c r="K1032815" s="76"/>
    </row>
    <row r="1032817" spans="9:11" x14ac:dyDescent="0.35">
      <c r="J1032817" s="16"/>
    </row>
    <row r="1032818" spans="9:11" x14ac:dyDescent="0.35">
      <c r="K1032818" s="76"/>
    </row>
    <row r="1032819" spans="9:11" x14ac:dyDescent="0.35">
      <c r="K1032819" s="76"/>
    </row>
    <row r="1032820" spans="9:11" x14ac:dyDescent="0.35">
      <c r="K1032820" s="76"/>
    </row>
    <row r="1032822" spans="9:11" x14ac:dyDescent="0.35">
      <c r="I1032822" s="25"/>
      <c r="J1032822" s="17"/>
    </row>
    <row r="1032823" spans="9:11" x14ac:dyDescent="0.35">
      <c r="I1032823" s="25"/>
    </row>
    <row r="1032824" spans="9:11" x14ac:dyDescent="0.35">
      <c r="K1032824" s="76"/>
    </row>
    <row r="1032825" spans="9:11" x14ac:dyDescent="0.35">
      <c r="K1032825" s="76"/>
    </row>
    <row r="1032826" spans="9:11" x14ac:dyDescent="0.35">
      <c r="K1032826" s="76"/>
    </row>
    <row r="1032827" spans="9:11" x14ac:dyDescent="0.35">
      <c r="K1032827" s="76"/>
    </row>
    <row r="1032829" spans="9:11" x14ac:dyDescent="0.35">
      <c r="K1032829" s="77"/>
    </row>
    <row r="1032830" spans="9:11" x14ac:dyDescent="0.35">
      <c r="K1032830" s="77"/>
    </row>
    <row r="1032831" spans="9:11" x14ac:dyDescent="0.35">
      <c r="K1032831" s="76"/>
    </row>
    <row r="1032832" spans="9:11" x14ac:dyDescent="0.35">
      <c r="K1032832" s="76"/>
    </row>
    <row r="1032833" spans="10:11" x14ac:dyDescent="0.35">
      <c r="K1032833" s="76"/>
    </row>
    <row r="1032834" spans="10:11" x14ac:dyDescent="0.35">
      <c r="K1032834" s="76"/>
    </row>
    <row r="1032835" spans="10:11" x14ac:dyDescent="0.35">
      <c r="K1032835" s="76"/>
    </row>
    <row r="1032836" spans="10:11" x14ac:dyDescent="0.35">
      <c r="J1032836" s="17"/>
    </row>
    <row r="1032953" spans="10:10" x14ac:dyDescent="0.35">
      <c r="J1032953" s="17"/>
    </row>
    <row r="1033039" spans="10:10" x14ac:dyDescent="0.35">
      <c r="J1033039" s="17"/>
    </row>
    <row r="1033258" spans="9:10" x14ac:dyDescent="0.35">
      <c r="I1033258" s="29"/>
      <c r="J1033258" s="20"/>
    </row>
    <row r="1033259" spans="9:10" x14ac:dyDescent="0.35">
      <c r="I1033259" s="29"/>
      <c r="J1033259" s="20"/>
    </row>
    <row r="1033260" spans="9:10" x14ac:dyDescent="0.35">
      <c r="I1033260" s="29"/>
      <c r="J1033260" s="20"/>
    </row>
    <row r="1033261" spans="9:10" x14ac:dyDescent="0.35">
      <c r="I1033261" s="29"/>
      <c r="J1033261" s="20"/>
    </row>
    <row r="1033262" spans="9:10" x14ac:dyDescent="0.35">
      <c r="I1033262" s="29"/>
      <c r="J1033262" s="20"/>
    </row>
  </sheetData>
  <autoFilter ref="A1:M1" xr:uid="{8B828D0D-B3EA-4785-90CC-FF1231BA3666}"/>
  <conditionalFormatting sqref="E1:E1048576">
    <cfRule type="expression" dxfId="15" priority="9">
      <formula>MOD(ROW(),2)=0</formula>
    </cfRule>
    <cfRule type="colorScale" priority="10">
      <colorScale>
        <cfvo type="min"/>
        <cfvo type="max"/>
        <color theme="6"/>
        <color theme="0"/>
      </colorScale>
    </cfRule>
    <cfRule type="expression" priority="11">
      <formula>MOD(ROW(),2)=0</formula>
    </cfRule>
  </conditionalFormatting>
  <conditionalFormatting sqref="E1:F1048576">
    <cfRule type="expression" dxfId="14" priority="6">
      <formula>MOD(ROW(),2)=0</formula>
    </cfRule>
  </conditionalFormatting>
  <conditionalFormatting sqref="F1:F1048576">
    <cfRule type="expression" dxfId="13" priority="7">
      <formula>MOD(ROW(),2)=0</formula>
    </cfRule>
  </conditionalFormatting>
  <conditionalFormatting sqref="G1:G1048576">
    <cfRule type="expression" dxfId="12" priority="4">
      <formula>MOD(ROW(),2)=0</formula>
    </cfRule>
  </conditionalFormatting>
  <conditionalFormatting sqref="H1:H1048576">
    <cfRule type="expression" dxfId="11" priority="5">
      <formula>MOD(ROW(),2)=0</formula>
    </cfRule>
  </conditionalFormatting>
  <conditionalFormatting sqref="I1:I1033278">
    <cfRule type="expression" dxfId="10" priority="3">
      <formula>MOD(ROW(),2)=0</formula>
    </cfRule>
  </conditionalFormatting>
  <conditionalFormatting sqref="J1:J102 J104:J1033278">
    <cfRule type="expression" dxfId="9" priority="2">
      <formula>MOD(ROW(),2)=0</formula>
    </cfRule>
  </conditionalFormatting>
  <conditionalFormatting sqref="K1:K4 K6:K1033278">
    <cfRule type="expression" dxfId="8" priority="1">
      <formula>MOD(ROW(),2)=0</formula>
    </cfRule>
  </conditionalFormatting>
  <dataValidations count="1">
    <dataValidation type="list" allowBlank="1" showInputMessage="1" showErrorMessage="1" sqref="G1:G1048576" xr:uid="{E35359DE-D457-401F-8994-7F1DA6FD94AA}">
      <formula1>"Apartment,Commercial Building,Warehouse,Office,Guyed,Lattice Tower,Monopole Tower,Tree,Other Structure"</formula1>
    </dataValidation>
  </dataValidations>
  <hyperlinks>
    <hyperlink ref="H1283" r:id="rId1" display="https://www.google.com/maps/place/97+Runneymeade+Rd,+Riverview,+NB+E1B+4M5,+Canada/@46.0704881,-64.7644875,19.75z/data=!4m14!1m7!3m6!1s0x4ca0b9639b7b2ac1:0x892e3ec11423cfb3!2s95+Runneymeade+Rd,+Riverview,+NB+E1B+5J7,+Canada!3b1!8m2!3d46.0716352!4d-64.7626174!3m5!1s0x4ca0b96360214d53:0xd93174725a82e1e2!8m2!3d46.0704083!4d-64.7646541!16s%2Fg%2F11pz7lfvkc?entry=ttu&amp;g_ep=EgoyMDI2MDExMy4wIKXMDSoASAFQAw%3D%3D" xr:uid="{8CF00A1A-CBAE-4562-B0FB-B76698E26095}"/>
    <hyperlink ref="H5" r:id="rId2" display="https://www.google.com/maps/place/45%C2%B014'18.9%22N+66%C2%B007'19.5%22W/@45.2392849,-66.1219603,3a,60y,188.19h,90.96t/data=!3m7!1e1!3m5!1sPXhV8R34DaEHXoA3646PtQ!2e0!6shttps:%2F%2Fstreetviewpixels-pa.googleapis.com%2Fv1%2Fthumbnail%3Fcb_client%3Dmaps_sv.tactile%26w%3D900%26h%3D600%26pitch%3D-0.9585136564251542%26panoid%3DPXhV8R34DaEHXoA3646PtQ%26yaw%3D188.18837597109712!7i16384!8i8192!4m4!3m3!8m2!3d45.2385694!4d-66.1220889?entry=ttu&amp;g_ep=EgoyMDI2MDExMy4wIKXMDSoASAFQAw%3D%3D" xr:uid="{E072A384-AAC7-4180-8BF7-6B4DD44A2202}"/>
    <hyperlink ref="J110" r:id="rId3" xr:uid="{04029B96-F0DB-4972-9AD0-798B5EA3A417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EECB3-7860-4858-A6FB-D07D48E1E0AF}">
  <sheetPr>
    <tabColor theme="7" tint="-0.249977111117893"/>
  </sheetPr>
  <dimension ref="A1:M1033262"/>
  <sheetViews>
    <sheetView tabSelected="1" topLeftCell="E1" zoomScale="90" zoomScaleNormal="90" workbookViewId="0">
      <pane ySplit="1" topLeftCell="A699" activePane="bottomLeft" state="frozen"/>
      <selection activeCell="E1" sqref="E1"/>
      <selection pane="bottomLeft" activeCell="A235" sqref="A235:XFD235"/>
    </sheetView>
  </sheetViews>
  <sheetFormatPr defaultColWidth="8.7265625" defaultRowHeight="15.5" x14ac:dyDescent="0.35"/>
  <cols>
    <col min="1" max="1" width="0" hidden="1" customWidth="1"/>
    <col min="2" max="2" width="17.1796875" hidden="1" customWidth="1"/>
    <col min="3" max="3" width="13" hidden="1" customWidth="1"/>
    <col min="4" max="4" width="14.54296875" hidden="1" customWidth="1"/>
    <col min="5" max="5" width="26.1796875" style="33" customWidth="1"/>
    <col min="6" max="6" width="70.54296875" style="34" customWidth="1"/>
    <col min="7" max="7" width="16.7265625" style="35" customWidth="1"/>
    <col min="8" max="8" width="64.453125" style="36" customWidth="1"/>
    <col min="9" max="9" width="68.1796875" style="37" customWidth="1"/>
    <col min="10" max="10" width="34.81640625" style="37" customWidth="1"/>
    <col min="11" max="11" width="36.54296875" style="104" bestFit="1" customWidth="1"/>
    <col min="12" max="12" width="36.54296875" style="38" bestFit="1" customWidth="1"/>
    <col min="13" max="13" width="19.7265625" style="38" customWidth="1"/>
  </cols>
  <sheetData>
    <row r="1" spans="1:13" ht="34.5" customHeight="1" x14ac:dyDescent="0.35">
      <c r="A1" s="45" t="s">
        <v>0</v>
      </c>
      <c r="B1" s="45" t="s">
        <v>1</v>
      </c>
      <c r="C1" s="45" t="s">
        <v>2</v>
      </c>
      <c r="D1" s="45" t="s">
        <v>3</v>
      </c>
      <c r="E1" s="30" t="s">
        <v>4</v>
      </c>
      <c r="F1" s="31" t="s">
        <v>5</v>
      </c>
      <c r="G1" s="32" t="s">
        <v>6</v>
      </c>
      <c r="H1" s="79" t="s">
        <v>7</v>
      </c>
      <c r="I1" s="21" t="s">
        <v>8</v>
      </c>
      <c r="J1" s="88" t="s">
        <v>9</v>
      </c>
      <c r="K1" s="103" t="s">
        <v>10</v>
      </c>
      <c r="L1" s="7" t="s">
        <v>11</v>
      </c>
      <c r="M1" s="49" t="s">
        <v>1108</v>
      </c>
    </row>
    <row r="2" spans="1:13" ht="45" customHeight="1" x14ac:dyDescent="0.35">
      <c r="A2" t="s">
        <v>7252</v>
      </c>
      <c r="B2" t="s">
        <v>7253</v>
      </c>
      <c r="C2" t="s">
        <v>7254</v>
      </c>
      <c r="D2" t="s">
        <v>7255</v>
      </c>
      <c r="E2" s="33" t="s">
        <v>66</v>
      </c>
      <c r="F2" s="34" t="s">
        <v>7256</v>
      </c>
      <c r="G2" s="35" t="s">
        <v>1147</v>
      </c>
      <c r="H2" s="53" t="s">
        <v>7257</v>
      </c>
      <c r="I2" s="37" t="s">
        <v>7258</v>
      </c>
      <c r="K2" s="77" t="s">
        <v>7259</v>
      </c>
    </row>
    <row r="3" spans="1:13" ht="29" x14ac:dyDescent="0.35">
      <c r="A3" t="s">
        <v>7260</v>
      </c>
      <c r="B3" t="s">
        <v>7261</v>
      </c>
      <c r="C3" t="s">
        <v>7262</v>
      </c>
      <c r="D3" t="s">
        <v>7263</v>
      </c>
      <c r="E3" s="33" t="s">
        <v>28</v>
      </c>
      <c r="F3" s="34" t="s">
        <v>7264</v>
      </c>
      <c r="G3" s="35" t="s">
        <v>1253</v>
      </c>
      <c r="H3" s="36" t="str">
        <f>HYPERLINK("https://www.google.com/maps/?q=47.4607972220001,-52.7939", "https://www.google.com/maps/?q=47.4607972220001,-52.7939")</f>
        <v>https://www.google.com/maps/?q=47.4607972220001,-52.7939</v>
      </c>
      <c r="I3" s="87" t="s">
        <v>7265</v>
      </c>
      <c r="K3" s="77" t="s">
        <v>7266</v>
      </c>
      <c r="L3" s="47" t="s">
        <v>7267</v>
      </c>
    </row>
    <row r="4" spans="1:13" ht="43.5" x14ac:dyDescent="0.35">
      <c r="A4" t="s">
        <v>7268</v>
      </c>
      <c r="B4" t="s">
        <v>7269</v>
      </c>
      <c r="C4" t="s">
        <v>7270</v>
      </c>
      <c r="D4" t="s">
        <v>7271</v>
      </c>
      <c r="E4" s="33" t="s">
        <v>28</v>
      </c>
      <c r="F4" s="34" t="s">
        <v>7272</v>
      </c>
      <c r="G4" s="35" t="s">
        <v>1253</v>
      </c>
      <c r="H4" s="36" t="str">
        <f>HYPERLINK("https://www.google.com/maps/?q=47.4822194440001,-53.015277778", "https://www.google.com/maps/?q=47.4822194440001,-53.015277778")</f>
        <v>https://www.google.com/maps/?q=47.4822194440001,-53.015277778</v>
      </c>
      <c r="I4" s="39" t="s">
        <v>7273</v>
      </c>
      <c r="J4" s="100"/>
      <c r="K4" s="77" t="s">
        <v>7274</v>
      </c>
      <c r="L4" s="99" t="s">
        <v>7275</v>
      </c>
    </row>
    <row r="5" spans="1:13" ht="58" x14ac:dyDescent="0.35">
      <c r="A5" t="s">
        <v>7276</v>
      </c>
      <c r="B5" t="s">
        <v>7277</v>
      </c>
      <c r="C5" t="s">
        <v>7278</v>
      </c>
      <c r="D5" t="s">
        <v>7279</v>
      </c>
      <c r="E5" s="33" t="s">
        <v>28</v>
      </c>
      <c r="F5" s="34" t="s">
        <v>7280</v>
      </c>
      <c r="G5" s="35" t="s">
        <v>1147</v>
      </c>
      <c r="H5" s="36" t="str">
        <f>HYPERLINK("https://www.google.com/maps/?q=47.5590611110001,-52.7706111109999", "https://www.google.com/maps/?q=47.5590611110001,-52.7706111109999")</f>
        <v>https://www.google.com/maps/?q=47.5590611110001,-52.7706111109999</v>
      </c>
      <c r="I5" s="37" t="s">
        <v>7281</v>
      </c>
      <c r="J5" s="37" t="s">
        <v>7282</v>
      </c>
      <c r="K5" s="77" t="s">
        <v>7283</v>
      </c>
    </row>
    <row r="6" spans="1:13" ht="29" x14ac:dyDescent="0.35">
      <c r="A6" t="s">
        <v>7284</v>
      </c>
      <c r="B6" t="s">
        <v>7285</v>
      </c>
      <c r="C6" t="s">
        <v>7286</v>
      </c>
      <c r="D6" t="s">
        <v>7287</v>
      </c>
      <c r="E6" s="33" t="s">
        <v>28</v>
      </c>
      <c r="F6" s="34" t="s">
        <v>7288</v>
      </c>
      <c r="G6" s="35" t="s">
        <v>1131</v>
      </c>
      <c r="H6" s="36" t="str">
        <f>HYPERLINK("https://www.google.com/maps/?q=47.5634666670001,-52.708822222", "https://www.google.com/maps/?q=47.5634666670001,-52.708822222")</f>
        <v>https://www.google.com/maps/?q=47.5634666670001,-52.708822222</v>
      </c>
      <c r="I6" s="37" t="s">
        <v>7289</v>
      </c>
      <c r="K6" s="104" t="s">
        <v>7289</v>
      </c>
    </row>
    <row r="7" spans="1:13" ht="29" x14ac:dyDescent="0.35">
      <c r="A7" t="s">
        <v>7290</v>
      </c>
      <c r="B7" t="s">
        <v>7291</v>
      </c>
      <c r="C7" t="s">
        <v>7292</v>
      </c>
      <c r="D7" t="s">
        <v>7293</v>
      </c>
      <c r="E7" s="33" t="s">
        <v>28</v>
      </c>
      <c r="F7" s="34" t="s">
        <v>7294</v>
      </c>
      <c r="G7" s="35" t="s">
        <v>1253</v>
      </c>
      <c r="H7" s="36" t="str">
        <f>HYPERLINK("https://www.google.com/maps/?q=47.5583,-52.7614", "https://www.google.com/maps/?q=47.5583,-52.7614")</f>
        <v>https://www.google.com/maps/?q=47.5583,-52.7614</v>
      </c>
      <c r="I7" s="37" t="s">
        <v>7295</v>
      </c>
      <c r="K7" s="104" t="s">
        <v>7296</v>
      </c>
      <c r="L7" s="95"/>
    </row>
    <row r="8" spans="1:13" ht="29" x14ac:dyDescent="0.35">
      <c r="A8" t="s">
        <v>7297</v>
      </c>
      <c r="B8" t="s">
        <v>7298</v>
      </c>
      <c r="C8" t="s">
        <v>7299</v>
      </c>
      <c r="D8" t="s">
        <v>7300</v>
      </c>
      <c r="E8" s="33" t="s">
        <v>28</v>
      </c>
      <c r="F8" s="34" t="s">
        <v>7301</v>
      </c>
      <c r="G8" s="35" t="s">
        <v>1356</v>
      </c>
      <c r="H8" s="36" t="str">
        <f>HYPERLINK("https://www.google.com/maps/?q=47.5053,-52.864697222", "https://www.google.com/maps/?q=47.5053,-52.864697222")</f>
        <v>https://www.google.com/maps/?q=47.5053,-52.864697222</v>
      </c>
      <c r="I8" s="37" t="s">
        <v>7302</v>
      </c>
      <c r="K8" s="77">
        <v>17093646454</v>
      </c>
      <c r="L8" s="99" t="s">
        <v>7303</v>
      </c>
    </row>
    <row r="9" spans="1:13" ht="43.5" x14ac:dyDescent="0.35">
      <c r="A9" t="s">
        <v>7304</v>
      </c>
      <c r="B9" t="s">
        <v>7305</v>
      </c>
      <c r="C9" t="s">
        <v>7306</v>
      </c>
      <c r="D9" t="s">
        <v>7307</v>
      </c>
      <c r="E9" s="33" t="s">
        <v>28</v>
      </c>
      <c r="F9" s="34" t="s">
        <v>7308</v>
      </c>
      <c r="G9" s="35" t="s">
        <v>1166</v>
      </c>
      <c r="H9" s="80" t="str">
        <f>HYPERLINK("https://www.google.com/maps/?q=47.5947194440001,-52.6849999999999", "https://www.google.com/maps/?q=47.5947194440001,-52.6849999999999")</f>
        <v>https://www.google.com/maps/?q=47.5947194440001,-52.6849999999999</v>
      </c>
      <c r="I9" s="87" t="s">
        <v>7309</v>
      </c>
      <c r="J9" s="37" t="s">
        <v>7310</v>
      </c>
      <c r="K9" s="104">
        <v>17097725400</v>
      </c>
      <c r="L9" s="47" t="s">
        <v>7267</v>
      </c>
    </row>
    <row r="10" spans="1:13" ht="29" x14ac:dyDescent="0.35">
      <c r="A10" t="s">
        <v>7311</v>
      </c>
      <c r="B10" t="s">
        <v>7312</v>
      </c>
      <c r="C10" t="s">
        <v>7313</v>
      </c>
      <c r="D10" t="s">
        <v>7314</v>
      </c>
      <c r="E10" s="33" t="s">
        <v>28</v>
      </c>
      <c r="F10" s="34" t="s">
        <v>7315</v>
      </c>
      <c r="G10" s="35" t="s">
        <v>1253</v>
      </c>
      <c r="H10" s="36" t="str">
        <f>HYPERLINK("https://www.google.com/maps/?q=47.5070805560001,-52.828327778", "https://www.google.com/maps/?q=47.5070805560001,-52.828327778")</f>
        <v>https://www.google.com/maps/?q=47.5070805560001,-52.828327778</v>
      </c>
      <c r="I10" s="37" t="s">
        <v>7316</v>
      </c>
      <c r="J10" s="82"/>
    </row>
    <row r="11" spans="1:13" ht="38.25" hidden="1" customHeight="1" x14ac:dyDescent="0.35">
      <c r="A11" t="s">
        <v>7317</v>
      </c>
      <c r="B11" t="s">
        <v>7318</v>
      </c>
      <c r="C11" t="s">
        <v>7319</v>
      </c>
      <c r="D11" t="s">
        <v>7320</v>
      </c>
      <c r="E11" s="33" t="s">
        <v>28</v>
      </c>
      <c r="F11" s="34" t="s">
        <v>7321</v>
      </c>
      <c r="H11" s="36" t="str">
        <f>HYPERLINK("https://www.google.com/maps/?q=47.540213889,-52.821144444", "https://www.google.com/maps/?q=47.540213889,-52.821144444")</f>
        <v>https://www.google.com/maps/?q=47.540213889,-52.821144444</v>
      </c>
      <c r="I11" s="119" t="s">
        <v>7322</v>
      </c>
      <c r="J11" s="37" t="s">
        <v>7323</v>
      </c>
      <c r="K11" s="77">
        <v>18774527942</v>
      </c>
      <c r="L11" s="47" t="s">
        <v>7267</v>
      </c>
    </row>
    <row r="12" spans="1:13" ht="39" customHeight="1" x14ac:dyDescent="0.35">
      <c r="A12" t="s">
        <v>7324</v>
      </c>
      <c r="B12" t="s">
        <v>7325</v>
      </c>
      <c r="C12" t="s">
        <v>7326</v>
      </c>
      <c r="D12" t="s">
        <v>7327</v>
      </c>
      <c r="E12" s="33" t="s">
        <v>28</v>
      </c>
      <c r="F12" s="34" t="s">
        <v>7328</v>
      </c>
      <c r="H12" s="53" t="s">
        <v>7329</v>
      </c>
      <c r="I12" s="37" t="s">
        <v>7330</v>
      </c>
      <c r="K12" s="77" t="s">
        <v>7331</v>
      </c>
      <c r="L12" s="109" t="s">
        <v>7275</v>
      </c>
    </row>
    <row r="13" spans="1:13" ht="29" x14ac:dyDescent="0.35">
      <c r="A13" t="s">
        <v>7332</v>
      </c>
      <c r="B13" t="s">
        <v>7333</v>
      </c>
      <c r="C13" t="s">
        <v>7334</v>
      </c>
      <c r="D13" t="s">
        <v>7335</v>
      </c>
      <c r="E13" s="33" t="s">
        <v>28</v>
      </c>
      <c r="F13" s="34" t="s">
        <v>7336</v>
      </c>
      <c r="H13" s="36" t="str">
        <f>HYPERLINK("https://www.google.com/maps/?q=47.5452916670001,-52.884319444", "https://www.google.com/maps/?q=47.5452916670001,-52.884319444")</f>
        <v>https://www.google.com/maps/?q=47.5452916670001,-52.884319444</v>
      </c>
      <c r="I13" s="37" t="s">
        <v>7337</v>
      </c>
      <c r="K13" s="77"/>
    </row>
    <row r="14" spans="1:13" ht="31" x14ac:dyDescent="0.35">
      <c r="A14" t="s">
        <v>7338</v>
      </c>
      <c r="B14" t="s">
        <v>7339</v>
      </c>
      <c r="C14" t="s">
        <v>7340</v>
      </c>
      <c r="D14" t="s">
        <v>7341</v>
      </c>
      <c r="E14" s="33" t="s">
        <v>28</v>
      </c>
      <c r="F14" s="34" t="s">
        <v>7342</v>
      </c>
      <c r="G14" s="35" t="s">
        <v>1147</v>
      </c>
      <c r="H14" s="36" t="str">
        <f>HYPERLINK("https://www.google.com/maps/?q=47.5719250000001,-52.741911111", "https://www.google.com/maps/?q=47.5719250000001,-52.741911111")</f>
        <v>https://www.google.com/maps/?q=47.5719250000001,-52.741911111</v>
      </c>
      <c r="I14" s="101" t="s">
        <v>7343</v>
      </c>
      <c r="K14" s="104" t="s">
        <v>7344</v>
      </c>
      <c r="L14" s="47" t="s">
        <v>7267</v>
      </c>
    </row>
    <row r="15" spans="1:13" ht="29" hidden="1" x14ac:dyDescent="0.35">
      <c r="A15" t="s">
        <v>7345</v>
      </c>
      <c r="B15" t="s">
        <v>7346</v>
      </c>
      <c r="C15" t="s">
        <v>7347</v>
      </c>
      <c r="D15" t="s">
        <v>7348</v>
      </c>
      <c r="E15" s="33" t="s">
        <v>50</v>
      </c>
      <c r="F15" s="34" t="s">
        <v>7349</v>
      </c>
      <c r="H15" s="36" t="str">
        <f>HYPERLINK("https://www.google.com/maps/?q=47.631888889,-52.727516667", "https://www.google.com/maps/?q=47.631888889,-52.727516667")</f>
        <v>https://www.google.com/maps/?q=47.631888889,-52.727516667</v>
      </c>
      <c r="I15" s="81" t="s">
        <v>1210</v>
      </c>
    </row>
    <row r="16" spans="1:13" ht="29" hidden="1" x14ac:dyDescent="0.35">
      <c r="A16" t="s">
        <v>7350</v>
      </c>
      <c r="B16" t="s">
        <v>7351</v>
      </c>
      <c r="C16" t="s">
        <v>7352</v>
      </c>
      <c r="D16" t="s">
        <v>7353</v>
      </c>
      <c r="E16" s="33" t="s">
        <v>50</v>
      </c>
      <c r="F16" s="34" t="s">
        <v>7354</v>
      </c>
      <c r="H16" s="36" t="str">
        <f>HYPERLINK("https://www.google.com/maps/?q=47.216816667,-53.331230556", "https://www.google.com/maps/?q=47.216816667,-53.331230556")</f>
        <v>https://www.google.com/maps/?q=47.216816667,-53.331230556</v>
      </c>
      <c r="I16" s="82"/>
      <c r="J16" s="84" t="s">
        <v>7355</v>
      </c>
    </row>
    <row r="17" spans="1:12" ht="29" hidden="1" x14ac:dyDescent="0.35">
      <c r="A17" t="s">
        <v>7356</v>
      </c>
      <c r="B17" t="s">
        <v>7357</v>
      </c>
      <c r="C17" t="s">
        <v>7358</v>
      </c>
      <c r="D17" t="s">
        <v>7359</v>
      </c>
      <c r="E17" s="33" t="s">
        <v>50</v>
      </c>
      <c r="F17" s="34" t="s">
        <v>7360</v>
      </c>
      <c r="H17" s="53" t="str">
        <f>HYPERLINK("https://www.google.com/maps/?q=47.592186111,-52.72855", "https://www.google.com/maps/?q=47.592186111,-52.72855")</f>
        <v>https://www.google.com/maps/?q=47.592186111,-52.72855</v>
      </c>
      <c r="I17" s="37" t="s">
        <v>7361</v>
      </c>
      <c r="K17" s="77"/>
    </row>
    <row r="18" spans="1:12" ht="29" hidden="1" x14ac:dyDescent="0.35">
      <c r="A18" t="s">
        <v>7362</v>
      </c>
      <c r="B18" t="s">
        <v>7363</v>
      </c>
      <c r="C18" t="s">
        <v>7364</v>
      </c>
      <c r="D18" t="s">
        <v>7365</v>
      </c>
      <c r="E18" s="33" t="s">
        <v>50</v>
      </c>
      <c r="F18" s="34" t="s">
        <v>7366</v>
      </c>
      <c r="H18" s="36" t="str">
        <f>HYPERLINK("https://www.google.com/maps/?q=47.829744444,-53.94085", "https://www.google.com/maps/?q=47.829744444,-53.94085")</f>
        <v>https://www.google.com/maps/?q=47.829744444,-53.94085</v>
      </c>
      <c r="I18" s="83" t="s">
        <v>1210</v>
      </c>
      <c r="J18" s="37" t="s">
        <v>7367</v>
      </c>
      <c r="K18" s="77" t="s">
        <v>7368</v>
      </c>
    </row>
    <row r="19" spans="1:12" ht="29" hidden="1" x14ac:dyDescent="0.35">
      <c r="A19" t="s">
        <v>7369</v>
      </c>
      <c r="B19" t="s">
        <v>7370</v>
      </c>
      <c r="C19" t="s">
        <v>7371</v>
      </c>
      <c r="D19" t="s">
        <v>7372</v>
      </c>
      <c r="E19" s="33" t="s">
        <v>50</v>
      </c>
      <c r="F19" s="34" t="s">
        <v>7373</v>
      </c>
      <c r="H19" s="36" t="str">
        <f>HYPERLINK("https://www.google.com/maps/?q=47.460569444,-53.605288889", "https://www.google.com/maps/?q=47.460569444,-53.605288889")</f>
        <v>https://www.google.com/maps/?q=47.460569444,-53.605288889</v>
      </c>
      <c r="I19" s="37" t="s">
        <v>7374</v>
      </c>
      <c r="J19" s="84" t="s">
        <v>1210</v>
      </c>
      <c r="K19" s="77"/>
      <c r="L19" s="95"/>
    </row>
    <row r="20" spans="1:12" ht="58" x14ac:dyDescent="0.35">
      <c r="A20" t="s">
        <v>7375</v>
      </c>
      <c r="B20" t="s">
        <v>7376</v>
      </c>
      <c r="C20" t="s">
        <v>7377</v>
      </c>
      <c r="D20" t="s">
        <v>7378</v>
      </c>
      <c r="E20" s="33" t="s">
        <v>50</v>
      </c>
      <c r="F20" s="34" t="s">
        <v>7379</v>
      </c>
      <c r="G20" s="35" t="s">
        <v>1253</v>
      </c>
      <c r="H20" s="53" t="str">
        <f>HYPERLINK("https://www.google.com/maps/?q=47.5280500000001,-52.8406249999999", "https://www.google.com/maps/?q=47.5280500000001,-52.8406249999999")</f>
        <v>https://www.google.com/maps/?q=47.5280500000001,-52.8406249999999</v>
      </c>
      <c r="I20" s="119" t="s">
        <v>7380</v>
      </c>
      <c r="J20" s="102" t="s">
        <v>7381</v>
      </c>
      <c r="K20" s="110" t="s">
        <v>7382</v>
      </c>
      <c r="L20" s="109" t="s">
        <v>7275</v>
      </c>
    </row>
    <row r="21" spans="1:12" ht="87" x14ac:dyDescent="0.35">
      <c r="A21" t="s">
        <v>7383</v>
      </c>
      <c r="B21" t="s">
        <v>7384</v>
      </c>
      <c r="C21" t="s">
        <v>7385</v>
      </c>
      <c r="D21" t="s">
        <v>7386</v>
      </c>
      <c r="E21" s="33" t="s">
        <v>28</v>
      </c>
      <c r="F21" s="34" t="s">
        <v>7387</v>
      </c>
      <c r="G21" s="35" t="s">
        <v>1147</v>
      </c>
      <c r="H21" s="36" t="str">
        <f>HYPERLINK("https://www.google.com/maps/?q=47.613880556,-52.710080556", "https://www.google.com/maps/?q=47.613880556,-52.710080556")</f>
        <v>https://www.google.com/maps/?q=47.613880556,-52.710080556</v>
      </c>
      <c r="I21" s="37" t="s">
        <v>7388</v>
      </c>
      <c r="J21" s="37" t="s">
        <v>7389</v>
      </c>
      <c r="K21" s="104">
        <v>17097384888</v>
      </c>
      <c r="L21" s="47" t="s">
        <v>7267</v>
      </c>
    </row>
    <row r="22" spans="1:12" ht="29" hidden="1" x14ac:dyDescent="0.35">
      <c r="A22" t="s">
        <v>7390</v>
      </c>
      <c r="B22" t="s">
        <v>7391</v>
      </c>
      <c r="C22" t="s">
        <v>7392</v>
      </c>
      <c r="D22" t="s">
        <v>7393</v>
      </c>
      <c r="E22" s="33" t="s">
        <v>28</v>
      </c>
      <c r="F22" s="34" t="s">
        <v>7394</v>
      </c>
      <c r="H22" s="36" t="str">
        <f>HYPERLINK("https://www.google.com/maps/?q=48.9338805560001,-55.644477778", "https://www.google.com/maps/?q=48.9338805560001,-55.644477778")</f>
        <v>https://www.google.com/maps/?q=48.9338805560001,-55.644477778</v>
      </c>
      <c r="I22" s="84" t="s">
        <v>7395</v>
      </c>
      <c r="K22" s="77"/>
      <c r="L22" s="47" t="s">
        <v>7267</v>
      </c>
    </row>
    <row r="23" spans="1:12" ht="29" hidden="1" x14ac:dyDescent="0.35">
      <c r="A23" t="s">
        <v>7396</v>
      </c>
      <c r="B23" t="s">
        <v>7397</v>
      </c>
      <c r="C23" t="s">
        <v>7398</v>
      </c>
      <c r="D23" t="s">
        <v>7399</v>
      </c>
      <c r="E23" s="33" t="s">
        <v>66</v>
      </c>
      <c r="F23" s="34" t="s">
        <v>7400</v>
      </c>
      <c r="H23" s="36" t="str">
        <f>HYPERLINK("https://www.google.com/maps/?q=47.6335,-52.85", "https://www.google.com/maps/?q=47.6335,-52.85")</f>
        <v>https://www.google.com/maps/?q=47.6335,-52.85</v>
      </c>
      <c r="I23" s="81" t="s">
        <v>1210</v>
      </c>
      <c r="K23" s="77"/>
      <c r="L23" s="47" t="s">
        <v>7267</v>
      </c>
    </row>
    <row r="24" spans="1:12" ht="29" hidden="1" x14ac:dyDescent="0.35">
      <c r="A24" t="s">
        <v>7401</v>
      </c>
      <c r="B24" t="s">
        <v>7402</v>
      </c>
      <c r="C24" t="s">
        <v>7403</v>
      </c>
      <c r="D24" t="s">
        <v>7404</v>
      </c>
      <c r="E24" s="33" t="s">
        <v>28</v>
      </c>
      <c r="F24" s="34" t="s">
        <v>7405</v>
      </c>
      <c r="G24" s="35" t="s">
        <v>1253</v>
      </c>
      <c r="H24" s="36" t="str">
        <f>HYPERLINK("https://www.google.com/maps/?q=47.6306000000001,-52.6906", "https://www.google.com/maps/?q=47.6306000000001,-52.6906")</f>
        <v>https://www.google.com/maps/?q=47.6306000000001,-52.6906</v>
      </c>
      <c r="I24" s="119" t="s">
        <v>7406</v>
      </c>
      <c r="J24" s="37" t="s">
        <v>7368</v>
      </c>
      <c r="K24" s="77" t="s">
        <v>7407</v>
      </c>
      <c r="L24" s="47" t="s">
        <v>7267</v>
      </c>
    </row>
    <row r="25" spans="1:12" ht="40.5" customHeight="1" x14ac:dyDescent="0.35">
      <c r="A25" t="s">
        <v>7408</v>
      </c>
      <c r="B25" t="s">
        <v>7409</v>
      </c>
      <c r="C25" t="s">
        <v>7410</v>
      </c>
      <c r="D25" t="s">
        <v>7411</v>
      </c>
      <c r="E25" s="33" t="s">
        <v>28</v>
      </c>
      <c r="F25" s="34" t="s">
        <v>7412</v>
      </c>
      <c r="G25" s="35" t="s">
        <v>1147</v>
      </c>
      <c r="H25" s="53" t="s">
        <v>7413</v>
      </c>
      <c r="I25" s="102" t="s">
        <v>7414</v>
      </c>
      <c r="J25" s="37" t="s">
        <v>7415</v>
      </c>
      <c r="K25" s="77" t="s">
        <v>7416</v>
      </c>
      <c r="L25" s="47" t="s">
        <v>7267</v>
      </c>
    </row>
    <row r="26" spans="1:12" ht="58" x14ac:dyDescent="0.35">
      <c r="A26" t="s">
        <v>7417</v>
      </c>
      <c r="B26" t="s">
        <v>7418</v>
      </c>
      <c r="C26" t="s">
        <v>7419</v>
      </c>
      <c r="D26" t="s">
        <v>7420</v>
      </c>
      <c r="E26" s="33" t="s">
        <v>28</v>
      </c>
      <c r="F26" s="34" t="s">
        <v>7421</v>
      </c>
      <c r="G26" s="35" t="s">
        <v>1166</v>
      </c>
      <c r="H26" s="36" t="str">
        <f>HYPERLINK("https://www.google.com/maps/?q=47.6150000000001,-52.723330556", "https://www.google.com/maps/?q=47.6150000000001,-52.723330556")</f>
        <v>https://www.google.com/maps/?q=47.6150000000001,-52.723330556</v>
      </c>
      <c r="I26" s="37" t="s">
        <v>7422</v>
      </c>
      <c r="J26" s="84" t="s">
        <v>7423</v>
      </c>
      <c r="K26" s="77" t="s">
        <v>7424</v>
      </c>
      <c r="L26" s="47" t="s">
        <v>7267</v>
      </c>
    </row>
    <row r="27" spans="1:12" ht="29" hidden="1" x14ac:dyDescent="0.35">
      <c r="A27" t="s">
        <v>7425</v>
      </c>
      <c r="B27" t="s">
        <v>7426</v>
      </c>
      <c r="C27" t="s">
        <v>7427</v>
      </c>
      <c r="D27" t="s">
        <v>7428</v>
      </c>
      <c r="E27" s="33" t="s">
        <v>28</v>
      </c>
      <c r="F27" s="34" t="s">
        <v>7429</v>
      </c>
      <c r="H27" s="36" t="str">
        <f>HYPERLINK("https://www.google.com/maps/?q=47.435827778,-53.1744416669999", "https://www.google.com/maps/?q=47.435827778,-53.1744416669999")</f>
        <v>https://www.google.com/maps/?q=47.435827778,-53.1744416669999</v>
      </c>
      <c r="I27" s="84" t="s">
        <v>7430</v>
      </c>
      <c r="J27" s="84" t="s">
        <v>7431</v>
      </c>
      <c r="K27" s="77"/>
    </row>
    <row r="28" spans="1:12" ht="64.5" hidden="1" customHeight="1" x14ac:dyDescent="0.35">
      <c r="A28" t="s">
        <v>7432</v>
      </c>
      <c r="B28" t="s">
        <v>7433</v>
      </c>
      <c r="C28" t="s">
        <v>7434</v>
      </c>
      <c r="D28" t="s">
        <v>7435</v>
      </c>
      <c r="E28" s="33" t="s">
        <v>28</v>
      </c>
      <c r="F28" s="34" t="s">
        <v>7436</v>
      </c>
      <c r="H28" s="36" t="str">
        <f>HYPERLINK("https://www.google.com/maps/?q=49.706391667,-56.084058333", "https://www.google.com/maps/?q=49.706391667,-56.084058333")</f>
        <v>https://www.google.com/maps/?q=49.706391667,-56.084058333</v>
      </c>
      <c r="I28" s="84" t="s">
        <v>7437</v>
      </c>
      <c r="K28" s="77"/>
    </row>
    <row r="29" spans="1:12" ht="30.65" hidden="1" customHeight="1" x14ac:dyDescent="0.35">
      <c r="A29" t="s">
        <v>7438</v>
      </c>
      <c r="B29" t="s">
        <v>7439</v>
      </c>
      <c r="C29" t="s">
        <v>7440</v>
      </c>
      <c r="D29" t="s">
        <v>7441</v>
      </c>
      <c r="E29" s="33" t="s">
        <v>28</v>
      </c>
      <c r="F29" s="34" t="s">
        <v>7442</v>
      </c>
      <c r="G29" s="35" t="s">
        <v>1253</v>
      </c>
      <c r="H29" s="36" t="str">
        <f>HYPERLINK("https://www.google.com/maps/?q=47.077219444,-52.9486111109999", "https://www.google.com/maps/?q=47.077219444,-52.9486111109999")</f>
        <v>https://www.google.com/maps/?q=47.077219444,-52.9486111109999</v>
      </c>
      <c r="I29" s="37" t="s">
        <v>7443</v>
      </c>
      <c r="J29" s="37" t="s">
        <v>7444</v>
      </c>
      <c r="K29" s="104" t="s">
        <v>7445</v>
      </c>
      <c r="L29" s="38" t="s">
        <v>7446</v>
      </c>
    </row>
    <row r="30" spans="1:12" ht="29" hidden="1" x14ac:dyDescent="0.35">
      <c r="A30" t="s">
        <v>7447</v>
      </c>
      <c r="B30" t="s">
        <v>7448</v>
      </c>
      <c r="C30" t="s">
        <v>7449</v>
      </c>
      <c r="D30" t="s">
        <v>7450</v>
      </c>
      <c r="E30" s="33" t="s">
        <v>28</v>
      </c>
      <c r="F30" s="34" t="s">
        <v>7451</v>
      </c>
      <c r="H30" s="36" t="str">
        <f>HYPERLINK("https://www.google.com/maps/?q=47.5690472220001,-52.7153777779999", "https://www.google.com/maps/?q=47.5690472220001,-52.7153777779999")</f>
        <v>https://www.google.com/maps/?q=47.5690472220001,-52.7153777779999</v>
      </c>
      <c r="I30" s="84" t="s">
        <v>7437</v>
      </c>
    </row>
    <row r="31" spans="1:12" ht="29" hidden="1" x14ac:dyDescent="0.35">
      <c r="A31" t="s">
        <v>7452</v>
      </c>
      <c r="B31" t="s">
        <v>7453</v>
      </c>
      <c r="C31" t="s">
        <v>7454</v>
      </c>
      <c r="D31" t="s">
        <v>7455</v>
      </c>
      <c r="E31" s="33" t="s">
        <v>28</v>
      </c>
      <c r="F31" s="34" t="s">
        <v>7456</v>
      </c>
      <c r="H31" s="36" t="str">
        <f>HYPERLINK("https://www.google.com/maps/?q=47.5894416670001,-59.1634833329999", "https://www.google.com/maps/?q=47.5894416670001,-59.1634833329999")</f>
        <v>https://www.google.com/maps/?q=47.5894416670001,-59.1634833329999</v>
      </c>
      <c r="I31" s="84" t="s">
        <v>7437</v>
      </c>
    </row>
    <row r="32" spans="1:12" ht="29" hidden="1" x14ac:dyDescent="0.35">
      <c r="A32" t="s">
        <v>7457</v>
      </c>
      <c r="B32" t="s">
        <v>7458</v>
      </c>
      <c r="C32" t="s">
        <v>7459</v>
      </c>
      <c r="D32" t="s">
        <v>7460</v>
      </c>
      <c r="E32" s="33" t="s">
        <v>28</v>
      </c>
      <c r="F32" s="34" t="s">
        <v>7461</v>
      </c>
      <c r="H32" s="36" t="str">
        <f>HYPERLINK("https://www.google.com/maps/?q=47.500205556,-52.8636222219999", "https://www.google.com/maps/?q=47.500205556,-52.8636222219999")</f>
        <v>https://www.google.com/maps/?q=47.500205556,-52.8636222219999</v>
      </c>
      <c r="I32" s="37" t="s">
        <v>7462</v>
      </c>
      <c r="J32" s="119" t="s">
        <v>7463</v>
      </c>
      <c r="K32" s="104" t="s">
        <v>7464</v>
      </c>
      <c r="L32" s="37" t="s">
        <v>7465</v>
      </c>
    </row>
    <row r="33" spans="1:12" ht="29" hidden="1" x14ac:dyDescent="0.35">
      <c r="A33" t="s">
        <v>7466</v>
      </c>
      <c r="B33" t="s">
        <v>7467</v>
      </c>
      <c r="C33" t="s">
        <v>7468</v>
      </c>
      <c r="D33" t="s">
        <v>7469</v>
      </c>
      <c r="E33" s="33" t="s">
        <v>28</v>
      </c>
      <c r="F33" s="34" t="s">
        <v>7470</v>
      </c>
      <c r="H33" s="36" t="str">
        <f>HYPERLINK("https://www.google.com/maps/?q=47.53405,-52.929127778", "https://www.google.com/maps/?q=47.53405,-52.929127778")</f>
        <v>https://www.google.com/maps/?q=47.53405,-52.929127778</v>
      </c>
      <c r="I33" s="84" t="s">
        <v>7437</v>
      </c>
    </row>
    <row r="34" spans="1:12" ht="29" hidden="1" x14ac:dyDescent="0.35">
      <c r="A34" t="s">
        <v>7471</v>
      </c>
      <c r="B34" t="s">
        <v>7472</v>
      </c>
      <c r="C34" t="s">
        <v>7473</v>
      </c>
      <c r="D34" t="s">
        <v>7474</v>
      </c>
      <c r="E34" s="33" t="s">
        <v>28</v>
      </c>
      <c r="F34" s="34" t="s">
        <v>7475</v>
      </c>
      <c r="H34" s="36" t="str">
        <f>HYPERLINK("https://www.google.com/maps/?q=47.6016194440001,-52.713030556", "https://www.google.com/maps/?q=47.6016194440001,-52.713030556")</f>
        <v>https://www.google.com/maps/?q=47.6016194440001,-52.713030556</v>
      </c>
      <c r="I34" s="84" t="s">
        <v>7437</v>
      </c>
    </row>
    <row r="35" spans="1:12" ht="43.5" hidden="1" x14ac:dyDescent="0.35">
      <c r="A35" t="s">
        <v>7476</v>
      </c>
      <c r="B35" t="s">
        <v>7477</v>
      </c>
      <c r="C35" t="s">
        <v>7478</v>
      </c>
      <c r="D35" t="s">
        <v>7479</v>
      </c>
      <c r="E35" s="33" t="s">
        <v>28</v>
      </c>
      <c r="F35" s="34" t="s">
        <v>7480</v>
      </c>
      <c r="G35" s="35" t="s">
        <v>1147</v>
      </c>
      <c r="H35" s="36" t="str">
        <f>HYPERLINK("https://www.google.com/maps/?q=47.5727583330001,-52.728297222", "https://www.google.com/maps/?q=47.5727583330001,-52.728297222")</f>
        <v>https://www.google.com/maps/?q=47.5727583330001,-52.728297222</v>
      </c>
      <c r="I35" s="84" t="s">
        <v>7437</v>
      </c>
      <c r="K35" s="104" t="s">
        <v>7481</v>
      </c>
    </row>
    <row r="36" spans="1:12" hidden="1" x14ac:dyDescent="0.35">
      <c r="A36" t="s">
        <v>7482</v>
      </c>
      <c r="B36" t="s">
        <v>7483</v>
      </c>
      <c r="C36" t="s">
        <v>7484</v>
      </c>
      <c r="D36" t="s">
        <v>7485</v>
      </c>
      <c r="E36" s="33" t="s">
        <v>44</v>
      </c>
      <c r="F36" s="34" t="s">
        <v>7486</v>
      </c>
      <c r="H36" s="36" t="str">
        <f>HYPERLINK("https://www.google.com/maps/?q=48.191136111,-54.040055556", "https://www.google.com/maps/?q=48.191136111,-54.040055556")</f>
        <v>https://www.google.com/maps/?q=48.191136111,-54.040055556</v>
      </c>
      <c r="I36" s="84" t="s">
        <v>7437</v>
      </c>
      <c r="J36" s="37" t="s">
        <v>7487</v>
      </c>
    </row>
    <row r="37" spans="1:12" ht="29" hidden="1" x14ac:dyDescent="0.35">
      <c r="A37" t="s">
        <v>7488</v>
      </c>
      <c r="B37" t="s">
        <v>7489</v>
      </c>
      <c r="C37" t="s">
        <v>7490</v>
      </c>
      <c r="D37" t="s">
        <v>7491</v>
      </c>
      <c r="E37" s="33" t="s">
        <v>44</v>
      </c>
      <c r="F37" s="34" t="s">
        <v>7492</v>
      </c>
      <c r="H37" s="36" t="str">
        <f>HYPERLINK("https://www.google.com/maps/?q=49.1174194440001,-55.163297222", "https://www.google.com/maps/?q=49.1174194440001,-55.163297222")</f>
        <v>https://www.google.com/maps/?q=49.1174194440001,-55.163297222</v>
      </c>
      <c r="I37" s="84" t="s">
        <v>7437</v>
      </c>
    </row>
    <row r="38" spans="1:12" hidden="1" x14ac:dyDescent="0.35">
      <c r="A38" t="s">
        <v>7493</v>
      </c>
      <c r="B38" t="s">
        <v>7494</v>
      </c>
      <c r="C38" t="s">
        <v>7495</v>
      </c>
      <c r="D38" t="s">
        <v>7496</v>
      </c>
      <c r="E38" s="33" t="s">
        <v>44</v>
      </c>
      <c r="F38" s="34" t="s">
        <v>7497</v>
      </c>
      <c r="H38" s="36" t="str">
        <f>HYPERLINK("https://www.google.com/maps/?q=48.526163889,-58.484991667", "https://www.google.com/maps/?q=48.526163889,-58.484991667")</f>
        <v>https://www.google.com/maps/?q=48.526163889,-58.484991667</v>
      </c>
      <c r="I38" s="84" t="s">
        <v>7498</v>
      </c>
      <c r="J38" s="37" t="s">
        <v>7499</v>
      </c>
    </row>
    <row r="39" spans="1:12" hidden="1" x14ac:dyDescent="0.35">
      <c r="A39" t="s">
        <v>7500</v>
      </c>
      <c r="B39" t="s">
        <v>7501</v>
      </c>
      <c r="C39" t="s">
        <v>7502</v>
      </c>
      <c r="D39" t="s">
        <v>7503</v>
      </c>
      <c r="E39" s="33" t="s">
        <v>28</v>
      </c>
      <c r="F39" s="34" t="s">
        <v>7504</v>
      </c>
      <c r="H39" s="36" t="str">
        <f>HYPERLINK("https://www.google.com/maps/?q=48.3380527780001,-58.505552778", "https://www.google.com/maps/?q=48.3380527780001,-58.505552778")</f>
        <v>https://www.google.com/maps/?q=48.3380527780001,-58.505552778</v>
      </c>
      <c r="I39" s="84" t="s">
        <v>1210</v>
      </c>
      <c r="J39" s="37" t="s">
        <v>7505</v>
      </c>
    </row>
    <row r="40" spans="1:12" ht="29" x14ac:dyDescent="0.35">
      <c r="A40" t="s">
        <v>7506</v>
      </c>
      <c r="B40" t="s">
        <v>7507</v>
      </c>
      <c r="C40" t="s">
        <v>7508</v>
      </c>
      <c r="D40" t="s">
        <v>7509</v>
      </c>
      <c r="E40" s="33" t="s">
        <v>28</v>
      </c>
      <c r="F40" s="34" t="s">
        <v>7510</v>
      </c>
      <c r="H40" s="36" t="str">
        <f>HYPERLINK("https://www.google.com/maps/?q=49.0138000000001,-57.690888889", "https://www.google.com/maps/?q=49.0138000000001,-57.690888889")</f>
        <v>https://www.google.com/maps/?q=49.0138000000001,-57.690888889</v>
      </c>
      <c r="I40" s="37" t="s">
        <v>7511</v>
      </c>
      <c r="J40" s="37" t="s">
        <v>7512</v>
      </c>
      <c r="K40" s="104" t="s">
        <v>7513</v>
      </c>
    </row>
    <row r="41" spans="1:12" ht="29" x14ac:dyDescent="0.35">
      <c r="A41" t="s">
        <v>7514</v>
      </c>
      <c r="B41" t="s">
        <v>7515</v>
      </c>
      <c r="C41" t="s">
        <v>7516</v>
      </c>
      <c r="D41" t="s">
        <v>7517</v>
      </c>
      <c r="E41" s="33" t="s">
        <v>28</v>
      </c>
      <c r="F41" s="34" t="s">
        <v>7518</v>
      </c>
      <c r="G41" s="35" t="s">
        <v>1253</v>
      </c>
      <c r="H41" s="36" t="str">
        <f>HYPERLINK("https://www.google.com/maps/?q=47.3136000000001,-52.8260999999999", "https://www.google.com/maps/?q=47.3136000000001,-52.8260999999999")</f>
        <v>https://www.google.com/maps/?q=47.3136000000001,-52.8260999999999</v>
      </c>
      <c r="I41" s="37" t="s">
        <v>7519</v>
      </c>
      <c r="K41" s="104" t="s">
        <v>7520</v>
      </c>
    </row>
    <row r="42" spans="1:12" ht="29" hidden="1" x14ac:dyDescent="0.35">
      <c r="A42" t="s">
        <v>7521</v>
      </c>
      <c r="B42" t="s">
        <v>7522</v>
      </c>
      <c r="C42" t="s">
        <v>7523</v>
      </c>
      <c r="D42" t="s">
        <v>7524</v>
      </c>
      <c r="E42" s="33" t="s">
        <v>28</v>
      </c>
      <c r="F42" s="34" t="s">
        <v>7525</v>
      </c>
      <c r="H42" s="36" t="str">
        <f>HYPERLINK("https://www.google.com/maps/?q=48.939416667,-57.9371305559999", "https://www.google.com/maps/?q=48.939416667,-57.9371305559999")</f>
        <v>https://www.google.com/maps/?q=48.939416667,-57.9371305559999</v>
      </c>
      <c r="I42" s="84" t="s">
        <v>7498</v>
      </c>
    </row>
    <row r="43" spans="1:12" hidden="1" x14ac:dyDescent="0.35">
      <c r="A43" t="s">
        <v>7526</v>
      </c>
      <c r="B43" t="s">
        <v>7527</v>
      </c>
      <c r="C43" t="s">
        <v>7528</v>
      </c>
      <c r="D43" t="s">
        <v>7529</v>
      </c>
      <c r="E43" s="33" t="s">
        <v>28</v>
      </c>
      <c r="F43" s="34" t="s">
        <v>7530</v>
      </c>
      <c r="H43" s="36" t="str">
        <f>HYPERLINK("https://www.google.com/maps/?q=47.0288722220001,-55.177794444", "https://www.google.com/maps/?q=47.0288722220001,-55.177794444")</f>
        <v>https://www.google.com/maps/?q=47.0288722220001,-55.177794444</v>
      </c>
      <c r="I43" s="84" t="s">
        <v>1210</v>
      </c>
    </row>
    <row r="44" spans="1:12" ht="43.5" x14ac:dyDescent="0.35">
      <c r="A44" t="s">
        <v>7531</v>
      </c>
      <c r="B44" t="s">
        <v>7532</v>
      </c>
      <c r="C44" t="s">
        <v>7533</v>
      </c>
      <c r="D44" t="s">
        <v>7534</v>
      </c>
      <c r="E44" s="33" t="s">
        <v>28</v>
      </c>
      <c r="F44" s="34" t="s">
        <v>7535</v>
      </c>
      <c r="G44" s="35" t="s">
        <v>1166</v>
      </c>
      <c r="H44" s="36" t="str">
        <f>HYPERLINK("https://www.google.com/maps/?q=48.5520083330001,-58.5574999999999", "https://www.google.com/maps/?q=48.5520083330001,-58.5574999999999")</f>
        <v>https://www.google.com/maps/?q=48.5520083330001,-58.5574999999999</v>
      </c>
      <c r="I44" s="37" t="s">
        <v>7536</v>
      </c>
      <c r="J44" s="37" t="s">
        <v>7368</v>
      </c>
      <c r="K44" s="104" t="s">
        <v>7537</v>
      </c>
      <c r="L44" s="62" t="s">
        <v>7538</v>
      </c>
    </row>
    <row r="45" spans="1:12" ht="70.5" customHeight="1" x14ac:dyDescent="0.35">
      <c r="A45" t="s">
        <v>7539</v>
      </c>
      <c r="B45" t="s">
        <v>7540</v>
      </c>
      <c r="C45" t="s">
        <v>7541</v>
      </c>
      <c r="D45" t="s">
        <v>7542</v>
      </c>
      <c r="E45" s="33" t="s">
        <v>28</v>
      </c>
      <c r="F45" s="34" t="s">
        <v>7543</v>
      </c>
      <c r="G45" s="35" t="s">
        <v>1147</v>
      </c>
      <c r="H45" s="86" t="s">
        <v>7544</v>
      </c>
      <c r="I45" s="37" t="s">
        <v>7545</v>
      </c>
      <c r="J45" s="37" t="s">
        <v>7546</v>
      </c>
      <c r="K45" s="105" t="s">
        <v>7547</v>
      </c>
      <c r="L45" s="62" t="s">
        <v>7548</v>
      </c>
    </row>
    <row r="46" spans="1:12" ht="29" hidden="1" x14ac:dyDescent="0.35">
      <c r="A46" t="s">
        <v>7549</v>
      </c>
      <c r="B46" t="s">
        <v>7550</v>
      </c>
      <c r="C46" t="s">
        <v>7551</v>
      </c>
      <c r="D46" t="s">
        <v>7552</v>
      </c>
      <c r="E46" s="33" t="s">
        <v>28</v>
      </c>
      <c r="F46" s="34" t="s">
        <v>7553</v>
      </c>
      <c r="H46" s="36" t="str">
        <f>HYPERLINK("https://www.google.com/maps/?q=49.057586111,-58.375313889", "https://www.google.com/maps/?q=49.057586111,-58.375313889")</f>
        <v>https://www.google.com/maps/?q=49.057586111,-58.375313889</v>
      </c>
      <c r="I46" s="84" t="s">
        <v>7437</v>
      </c>
    </row>
    <row r="47" spans="1:12" ht="29" hidden="1" x14ac:dyDescent="0.35">
      <c r="A47" t="s">
        <v>7554</v>
      </c>
      <c r="B47" t="s">
        <v>7555</v>
      </c>
      <c r="C47" t="s">
        <v>7556</v>
      </c>
      <c r="D47" t="s">
        <v>7557</v>
      </c>
      <c r="E47" s="33" t="s">
        <v>28</v>
      </c>
      <c r="F47" s="34" t="s">
        <v>7558</v>
      </c>
      <c r="H47" s="36" t="str">
        <f>HYPERLINK("https://www.google.com/maps/?q=49.5016666670001,-55.8202777779999", "https://www.google.com/maps/?q=49.5016666670001,-55.8202777779999")</f>
        <v>https://www.google.com/maps/?q=49.5016666670001,-55.8202777779999</v>
      </c>
      <c r="I47" s="84" t="s">
        <v>7437</v>
      </c>
    </row>
    <row r="48" spans="1:12" ht="101.5" x14ac:dyDescent="0.35">
      <c r="A48" t="s">
        <v>7559</v>
      </c>
      <c r="B48" t="s">
        <v>7560</v>
      </c>
      <c r="C48" t="s">
        <v>7561</v>
      </c>
      <c r="D48" t="s">
        <v>7562</v>
      </c>
      <c r="E48" s="33" t="s">
        <v>28</v>
      </c>
      <c r="F48" s="34" t="s">
        <v>7563</v>
      </c>
      <c r="G48" s="35" t="s">
        <v>1166</v>
      </c>
      <c r="H48" s="36" t="str">
        <f>HYPERLINK("https://www.google.com/maps/?q=47.524658333,-52.7974972219999", "https://www.google.com/maps/?q=47.524658333,-52.7974972219999")</f>
        <v>https://www.google.com/maps/?q=47.524658333,-52.7974972219999</v>
      </c>
      <c r="I48" s="37" t="s">
        <v>7564</v>
      </c>
      <c r="J48" s="37" t="s">
        <v>7565</v>
      </c>
      <c r="K48" s="105" t="s">
        <v>7566</v>
      </c>
      <c r="L48" s="62" t="s">
        <v>7567</v>
      </c>
    </row>
    <row r="49" spans="1:12" ht="50.25" hidden="1" customHeight="1" x14ac:dyDescent="0.35">
      <c r="A49" t="s">
        <v>7568</v>
      </c>
      <c r="B49" t="s">
        <v>7569</v>
      </c>
      <c r="C49" t="s">
        <v>7570</v>
      </c>
      <c r="D49" t="s">
        <v>7571</v>
      </c>
      <c r="E49" s="33" t="s">
        <v>28</v>
      </c>
      <c r="F49" s="34" t="s">
        <v>7572</v>
      </c>
      <c r="H49" s="36" t="str">
        <f>HYPERLINK("https://www.google.com/maps/?q=47.7199972220001,-53.223888889", "https://www.google.com/maps/?q=47.7199972220001,-53.223888889")</f>
        <v>https://www.google.com/maps/?q=47.7199972220001,-53.223888889</v>
      </c>
      <c r="I49" s="84" t="s">
        <v>7573</v>
      </c>
      <c r="J49" s="37" t="s">
        <v>7574</v>
      </c>
    </row>
    <row r="50" spans="1:12" ht="58" hidden="1" x14ac:dyDescent="0.35">
      <c r="A50" t="s">
        <v>7575</v>
      </c>
      <c r="B50" t="s">
        <v>7576</v>
      </c>
      <c r="C50" t="s">
        <v>7577</v>
      </c>
      <c r="D50" t="s">
        <v>7578</v>
      </c>
      <c r="E50" s="33" t="s">
        <v>28</v>
      </c>
      <c r="F50" s="34" t="s">
        <v>7579</v>
      </c>
      <c r="H50" s="36" t="str">
        <f>HYPERLINK("https://www.google.com/maps/?q=47.2425555560001,-53.311277778", "https://www.google.com/maps/?q=47.2425555560001,-53.311277778")</f>
        <v>https://www.google.com/maps/?q=47.2425555560001,-53.311277778</v>
      </c>
      <c r="I50" s="84" t="s">
        <v>7573</v>
      </c>
      <c r="J50" s="37" t="s">
        <v>7580</v>
      </c>
      <c r="K50" s="104" t="s">
        <v>7581</v>
      </c>
    </row>
    <row r="51" spans="1:12" ht="29" hidden="1" x14ac:dyDescent="0.35">
      <c r="A51" t="s">
        <v>7582</v>
      </c>
      <c r="B51" t="s">
        <v>7583</v>
      </c>
      <c r="C51" t="s">
        <v>7584</v>
      </c>
      <c r="D51" t="s">
        <v>7585</v>
      </c>
      <c r="E51" s="33" t="s">
        <v>28</v>
      </c>
      <c r="F51" s="34" t="s">
        <v>7586</v>
      </c>
      <c r="H51" s="36" t="str">
        <f>HYPERLINK("https://www.google.com/maps/?q=47.5257083330001,-52.8170666669999", "https://www.google.com/maps/?q=47.5257083330001,-52.8170666669999")</f>
        <v>https://www.google.com/maps/?q=47.5257083330001,-52.8170666669999</v>
      </c>
      <c r="I51" s="84" t="s">
        <v>7573</v>
      </c>
    </row>
    <row r="52" spans="1:12" ht="72.5" x14ac:dyDescent="0.35">
      <c r="A52" t="s">
        <v>7587</v>
      </c>
      <c r="B52" t="s">
        <v>7588</v>
      </c>
      <c r="C52" t="s">
        <v>7589</v>
      </c>
      <c r="D52" t="s">
        <v>7590</v>
      </c>
      <c r="E52" s="33" t="s">
        <v>28</v>
      </c>
      <c r="F52" s="34" t="s">
        <v>7480</v>
      </c>
      <c r="G52" s="35" t="s">
        <v>1147</v>
      </c>
      <c r="H52" s="36" t="str">
        <f>HYPERLINK("https://www.google.com/maps/?q=47.5739500000001,-52.734436111", "https://www.google.com/maps/?q=47.5739500000001,-52.734436111")</f>
        <v>https://www.google.com/maps/?q=47.5739500000001,-52.734436111</v>
      </c>
      <c r="I52" s="37" t="s">
        <v>7591</v>
      </c>
      <c r="J52" s="90" t="s">
        <v>7592</v>
      </c>
      <c r="K52" s="106" t="s">
        <v>7593</v>
      </c>
      <c r="L52" s="47"/>
    </row>
    <row r="53" spans="1:12" ht="87" x14ac:dyDescent="0.35">
      <c r="A53" t="s">
        <v>7594</v>
      </c>
      <c r="B53" t="s">
        <v>7595</v>
      </c>
      <c r="C53" t="s">
        <v>7596</v>
      </c>
      <c r="D53" t="s">
        <v>7597</v>
      </c>
      <c r="E53" s="33" t="s">
        <v>28</v>
      </c>
      <c r="F53" s="34" t="s">
        <v>7598</v>
      </c>
      <c r="G53" s="35" t="s">
        <v>1147</v>
      </c>
      <c r="H53" s="36" t="str">
        <f>HYPERLINK("https://www.google.com/maps/?q=47.5241694440001,-52.832772222", "https://www.google.com/maps/?q=47.5241694440001,-52.832772222")</f>
        <v>https://www.google.com/maps/?q=47.5241694440001,-52.832772222</v>
      </c>
      <c r="I53" s="119" t="s">
        <v>7599</v>
      </c>
      <c r="J53" s="37" t="s">
        <v>7600</v>
      </c>
      <c r="K53" s="105" t="s">
        <v>7601</v>
      </c>
      <c r="L53" s="98" t="s">
        <v>7602</v>
      </c>
    </row>
    <row r="54" spans="1:12" ht="43.5" x14ac:dyDescent="0.35">
      <c r="A54" t="s">
        <v>7603</v>
      </c>
      <c r="B54" t="s">
        <v>7604</v>
      </c>
      <c r="C54" t="s">
        <v>7605</v>
      </c>
      <c r="D54" t="s">
        <v>7606</v>
      </c>
      <c r="E54" s="33" t="s">
        <v>28</v>
      </c>
      <c r="F54" s="34" t="s">
        <v>7607</v>
      </c>
      <c r="G54" s="35" t="s">
        <v>1166</v>
      </c>
      <c r="H54" s="36" t="str">
        <f>HYPERLINK("https://www.google.com/maps/?q=47.5511083330001,-52.730277778", "https://www.google.com/maps/?q=47.5511083330001,-52.730277778")</f>
        <v>https://www.google.com/maps/?q=47.5511083330001,-52.730277778</v>
      </c>
      <c r="I54" s="37" t="s">
        <v>7608</v>
      </c>
      <c r="J54" s="37" t="s">
        <v>7609</v>
      </c>
      <c r="K54" s="104" t="s">
        <v>7610</v>
      </c>
      <c r="L54" s="98" t="s">
        <v>7611</v>
      </c>
    </row>
    <row r="55" spans="1:12" ht="29" hidden="1" x14ac:dyDescent="0.35">
      <c r="A55" t="s">
        <v>7612</v>
      </c>
      <c r="B55" t="s">
        <v>7613</v>
      </c>
      <c r="C55" t="s">
        <v>7614</v>
      </c>
      <c r="D55" t="s">
        <v>7615</v>
      </c>
      <c r="E55" s="33" t="s">
        <v>44</v>
      </c>
      <c r="F55" s="34" t="s">
        <v>7616</v>
      </c>
      <c r="H55" s="36" t="str">
        <f>HYPERLINK("https://www.google.com/maps/?q=48.4033166670001,-53.3913777779999", "https://www.google.com/maps/?q=48.4033166670001,-53.3913777779999")</f>
        <v>https://www.google.com/maps/?q=48.4033166670001,-53.3913777779999</v>
      </c>
      <c r="I55" s="84" t="s">
        <v>1210</v>
      </c>
      <c r="J55" s="37" t="s">
        <v>7617</v>
      </c>
    </row>
    <row r="56" spans="1:12" ht="58" hidden="1" x14ac:dyDescent="0.35">
      <c r="A56" t="s">
        <v>7618</v>
      </c>
      <c r="B56" t="s">
        <v>7619</v>
      </c>
      <c r="C56" t="s">
        <v>7620</v>
      </c>
      <c r="D56" t="s">
        <v>7621</v>
      </c>
      <c r="E56" s="33" t="s">
        <v>44</v>
      </c>
      <c r="F56" s="34" t="s">
        <v>7504</v>
      </c>
      <c r="H56" s="36" t="str">
        <f>HYPERLINK("https://www.google.com/maps/?q=47.9696027780001,-58.966702778", "https://www.google.com/maps/?q=47.9696027780001,-58.966702778")</f>
        <v>https://www.google.com/maps/?q=47.9696027780001,-58.966702778</v>
      </c>
      <c r="I56" s="119" t="s">
        <v>7622</v>
      </c>
      <c r="J56" s="37" t="s">
        <v>7623</v>
      </c>
    </row>
    <row r="57" spans="1:12" ht="48" customHeight="1" x14ac:dyDescent="0.35">
      <c r="A57" t="s">
        <v>7624</v>
      </c>
      <c r="B57" t="s">
        <v>7625</v>
      </c>
      <c r="C57" t="s">
        <v>7626</v>
      </c>
      <c r="D57" t="s">
        <v>7627</v>
      </c>
      <c r="E57" s="33" t="s">
        <v>50</v>
      </c>
      <c r="F57" s="34" t="s">
        <v>7628</v>
      </c>
      <c r="G57" s="35" t="s">
        <v>1356</v>
      </c>
      <c r="H57" s="53" t="s">
        <v>7629</v>
      </c>
      <c r="I57" s="37" t="s">
        <v>7630</v>
      </c>
      <c r="J57" s="37" t="s">
        <v>7631</v>
      </c>
      <c r="K57" s="77" t="s">
        <v>7632</v>
      </c>
    </row>
    <row r="58" spans="1:12" ht="101.5" x14ac:dyDescent="0.35">
      <c r="A58" t="s">
        <v>7633</v>
      </c>
      <c r="B58" t="s">
        <v>7634</v>
      </c>
      <c r="C58" t="s">
        <v>7635</v>
      </c>
      <c r="D58" t="s">
        <v>7636</v>
      </c>
      <c r="E58" s="33" t="s">
        <v>50</v>
      </c>
      <c r="F58" s="34" t="s">
        <v>7637</v>
      </c>
      <c r="G58" s="35" t="s">
        <v>1166</v>
      </c>
      <c r="H58" s="36" t="str">
        <f>HYPERLINK("https://www.google.com/maps/?q=47.558033333,-52.762961111", "https://www.google.com/maps/?q=47.558033333,-52.762961111")</f>
        <v>https://www.google.com/maps/?q=47.558033333,-52.762961111</v>
      </c>
      <c r="I58" s="119" t="s">
        <v>7638</v>
      </c>
      <c r="J58" s="90" t="s">
        <v>7639</v>
      </c>
      <c r="K58" s="120" t="s">
        <v>7640</v>
      </c>
      <c r="L58" s="121" t="s">
        <v>7641</v>
      </c>
    </row>
    <row r="59" spans="1:12" ht="116" x14ac:dyDescent="0.35">
      <c r="A59" t="s">
        <v>7642</v>
      </c>
      <c r="B59" t="s">
        <v>7595</v>
      </c>
      <c r="C59" t="s">
        <v>7643</v>
      </c>
      <c r="D59" t="s">
        <v>7597</v>
      </c>
      <c r="E59" s="33" t="s">
        <v>28</v>
      </c>
      <c r="F59" s="34" t="s">
        <v>7644</v>
      </c>
      <c r="G59" s="35" t="s">
        <v>1253</v>
      </c>
      <c r="H59" s="36" t="str">
        <f>HYPERLINK("https://www.google.com/maps/?q=47.6177777780001,-52.832772222", "https://www.google.com/maps/?q=47.6177777780001,-52.832772222")</f>
        <v>https://www.google.com/maps/?q=47.6177777780001,-52.832772222</v>
      </c>
      <c r="I59" s="87" t="s">
        <v>7645</v>
      </c>
      <c r="J59" s="37" t="s">
        <v>7646</v>
      </c>
      <c r="K59" s="105" t="s">
        <v>7647</v>
      </c>
      <c r="L59" s="47" t="s">
        <v>7267</v>
      </c>
    </row>
    <row r="60" spans="1:12" ht="29" x14ac:dyDescent="0.35">
      <c r="A60" t="s">
        <v>7648</v>
      </c>
      <c r="B60" t="s">
        <v>7649</v>
      </c>
      <c r="C60" t="s">
        <v>7650</v>
      </c>
      <c r="D60" t="s">
        <v>7651</v>
      </c>
      <c r="E60" s="33" t="s">
        <v>28</v>
      </c>
      <c r="F60" s="34" t="s">
        <v>7652</v>
      </c>
      <c r="H60" s="36" t="str">
        <f>HYPERLINK("https://www.google.com/maps/?q=47.573888889,-52.723886111", "https://www.google.com/maps/?q=47.573888889,-52.723886111")</f>
        <v>https://www.google.com/maps/?q=47.573888889,-52.723886111</v>
      </c>
      <c r="I60" s="119" t="s">
        <v>7653</v>
      </c>
      <c r="J60" s="37" t="s">
        <v>7654</v>
      </c>
    </row>
    <row r="61" spans="1:12" ht="43.5" hidden="1" x14ac:dyDescent="0.35">
      <c r="A61" t="s">
        <v>7655</v>
      </c>
      <c r="B61" t="s">
        <v>7656</v>
      </c>
      <c r="C61" t="s">
        <v>7657</v>
      </c>
      <c r="D61" t="s">
        <v>7658</v>
      </c>
      <c r="E61" s="33" t="s">
        <v>28</v>
      </c>
      <c r="F61" s="34" t="s">
        <v>7659</v>
      </c>
      <c r="H61" s="36" t="str">
        <f>HYPERLINK("https://www.google.com/maps/?q=47.6431000000001,-53.2728", "https://www.google.com/maps/?q=47.6431000000001,-53.2728")</f>
        <v>https://www.google.com/maps/?q=47.6431000000001,-53.2728</v>
      </c>
      <c r="I61" s="84" t="s">
        <v>1210</v>
      </c>
      <c r="J61" s="37" t="s">
        <v>7660</v>
      </c>
    </row>
    <row r="62" spans="1:12" ht="29" hidden="1" x14ac:dyDescent="0.35">
      <c r="A62" t="s">
        <v>7661</v>
      </c>
      <c r="B62" t="s">
        <v>7662</v>
      </c>
      <c r="C62" t="s">
        <v>7663</v>
      </c>
      <c r="D62" t="s">
        <v>7664</v>
      </c>
      <c r="E62" s="33" t="s">
        <v>28</v>
      </c>
      <c r="F62" s="34" t="s">
        <v>7553</v>
      </c>
      <c r="H62" s="36" t="str">
        <f>HYPERLINK("https://www.google.com/maps/?q=49.051702778,-58.358416667", "https://www.google.com/maps/?q=49.051702778,-58.358416667")</f>
        <v>https://www.google.com/maps/?q=49.051702778,-58.358416667</v>
      </c>
      <c r="I62" s="84" t="s">
        <v>7573</v>
      </c>
      <c r="J62" s="37" t="s">
        <v>7368</v>
      </c>
    </row>
    <row r="63" spans="1:12" ht="101.5" x14ac:dyDescent="0.35">
      <c r="A63" t="s">
        <v>7665</v>
      </c>
      <c r="B63" t="s">
        <v>7666</v>
      </c>
      <c r="C63" t="s">
        <v>7667</v>
      </c>
      <c r="D63" t="s">
        <v>7668</v>
      </c>
      <c r="E63" s="33" t="s">
        <v>28</v>
      </c>
      <c r="F63" s="34" t="s">
        <v>7669</v>
      </c>
      <c r="G63" s="35" t="s">
        <v>1166</v>
      </c>
      <c r="H63" s="36" t="str">
        <f>HYPERLINK("https://www.google.com/maps/?q=47.580411111,-52.736352778", "https://www.google.com/maps/?q=47.580411111,-52.736352778")</f>
        <v>https://www.google.com/maps/?q=47.580411111,-52.736352778</v>
      </c>
      <c r="I63" s="37" t="s">
        <v>7670</v>
      </c>
      <c r="J63" s="37" t="s">
        <v>7671</v>
      </c>
      <c r="K63" s="105" t="s">
        <v>7672</v>
      </c>
      <c r="L63" s="47" t="s">
        <v>7267</v>
      </c>
    </row>
    <row r="64" spans="1:12" ht="29" hidden="1" x14ac:dyDescent="0.35">
      <c r="A64" t="s">
        <v>7673</v>
      </c>
      <c r="B64" t="s">
        <v>7674</v>
      </c>
      <c r="C64" t="s">
        <v>7675</v>
      </c>
      <c r="D64" t="s">
        <v>7676</v>
      </c>
      <c r="E64" s="33" t="s">
        <v>28</v>
      </c>
      <c r="F64" s="34" t="s">
        <v>7677</v>
      </c>
      <c r="H64" s="36" t="str">
        <f>HYPERLINK("https://www.google.com/maps/?q=47.457261111,-52.769255556", "https://www.google.com/maps/?q=47.457261111,-52.769255556")</f>
        <v>https://www.google.com/maps/?q=47.457261111,-52.769255556</v>
      </c>
      <c r="I64" s="84" t="s">
        <v>7573</v>
      </c>
    </row>
    <row r="65" spans="1:11" ht="29" hidden="1" x14ac:dyDescent="0.35">
      <c r="A65" t="s">
        <v>7678</v>
      </c>
      <c r="B65" t="s">
        <v>7679</v>
      </c>
      <c r="C65" t="s">
        <v>7680</v>
      </c>
      <c r="D65" t="s">
        <v>7681</v>
      </c>
      <c r="E65" s="33" t="s">
        <v>28</v>
      </c>
      <c r="F65" s="34" t="s">
        <v>7682</v>
      </c>
      <c r="H65" s="36" t="str">
        <f>HYPERLINK("https://www.google.com/maps/?q=47.4147194440001,-53.8188888889999", "https://www.google.com/maps/?q=47.4147194440001,-53.8188888889999")</f>
        <v>https://www.google.com/maps/?q=47.4147194440001,-53.8188888889999</v>
      </c>
      <c r="I65" s="84" t="s">
        <v>7573</v>
      </c>
      <c r="J65" s="37" t="s">
        <v>7683</v>
      </c>
    </row>
    <row r="66" spans="1:11" ht="29" hidden="1" x14ac:dyDescent="0.35">
      <c r="A66" t="s">
        <v>7684</v>
      </c>
      <c r="B66" t="s">
        <v>7685</v>
      </c>
      <c r="C66" t="s">
        <v>7686</v>
      </c>
      <c r="D66" t="s">
        <v>7687</v>
      </c>
      <c r="E66" s="33" t="s">
        <v>28</v>
      </c>
      <c r="F66" s="34" t="s">
        <v>7688</v>
      </c>
      <c r="H66" s="36" t="str">
        <f>HYPERLINK("https://www.google.com/maps/?q=48.9943222220001,-57.877708333", "https://www.google.com/maps/?q=48.9943222220001,-57.877708333")</f>
        <v>https://www.google.com/maps/?q=48.9943222220001,-57.877708333</v>
      </c>
      <c r="I66" s="84" t="s">
        <v>7573</v>
      </c>
    </row>
    <row r="67" spans="1:11" ht="145" x14ac:dyDescent="0.35">
      <c r="A67" t="s">
        <v>7689</v>
      </c>
      <c r="B67" t="s">
        <v>7690</v>
      </c>
      <c r="C67" t="s">
        <v>7691</v>
      </c>
      <c r="D67" t="s">
        <v>7692</v>
      </c>
      <c r="E67" s="33" t="s">
        <v>28</v>
      </c>
      <c r="F67" s="34" t="s">
        <v>7693</v>
      </c>
      <c r="G67" s="35" t="s">
        <v>1253</v>
      </c>
      <c r="H67" s="53" t="s">
        <v>7694</v>
      </c>
      <c r="I67" s="37" t="s">
        <v>7695</v>
      </c>
      <c r="J67" s="37" t="s">
        <v>7696</v>
      </c>
      <c r="K67" s="104" t="s">
        <v>7697</v>
      </c>
    </row>
    <row r="68" spans="1:11" ht="43.5" x14ac:dyDescent="0.35">
      <c r="A68" t="s">
        <v>7698</v>
      </c>
      <c r="B68" t="s">
        <v>7699</v>
      </c>
      <c r="C68" t="s">
        <v>7700</v>
      </c>
      <c r="D68" t="s">
        <v>7701</v>
      </c>
      <c r="E68" s="33" t="s">
        <v>28</v>
      </c>
      <c r="F68" s="34" t="s">
        <v>7702</v>
      </c>
      <c r="G68" s="35" t="s">
        <v>1253</v>
      </c>
      <c r="H68" s="36" t="str">
        <f>HYPERLINK("https://www.google.com/maps/?q=47.6389833330001,-52.7220694439999", "https://www.google.com/maps/?q=47.6389833330001,-52.7220694439999")</f>
        <v>https://www.google.com/maps/?q=47.6389833330001,-52.7220694439999</v>
      </c>
      <c r="I68" s="37" t="s">
        <v>7703</v>
      </c>
      <c r="J68" s="37" t="s">
        <v>7704</v>
      </c>
      <c r="K68" s="104" t="s">
        <v>7705</v>
      </c>
    </row>
    <row r="69" spans="1:11" ht="145" x14ac:dyDescent="0.35">
      <c r="A69" t="s">
        <v>7706</v>
      </c>
      <c r="B69" t="s">
        <v>7707</v>
      </c>
      <c r="C69" t="s">
        <v>7708</v>
      </c>
      <c r="D69" t="s">
        <v>7709</v>
      </c>
      <c r="E69" s="33" t="s">
        <v>28</v>
      </c>
      <c r="F69" s="34" t="s">
        <v>7710</v>
      </c>
      <c r="G69" s="35" t="s">
        <v>1253</v>
      </c>
      <c r="H69" s="53" t="s">
        <v>7711</v>
      </c>
      <c r="I69" s="37" t="s">
        <v>7712</v>
      </c>
      <c r="J69" s="37" t="s">
        <v>7713</v>
      </c>
      <c r="K69" s="104" t="s">
        <v>7714</v>
      </c>
    </row>
    <row r="70" spans="1:11" ht="43.5" hidden="1" x14ac:dyDescent="0.35">
      <c r="A70" t="s">
        <v>7715</v>
      </c>
      <c r="B70" t="s">
        <v>7716</v>
      </c>
      <c r="C70" t="s">
        <v>7717</v>
      </c>
      <c r="D70" t="s">
        <v>7718</v>
      </c>
      <c r="E70" s="33" t="s">
        <v>28</v>
      </c>
      <c r="F70" s="34" t="s">
        <v>7719</v>
      </c>
      <c r="H70" s="36" t="str">
        <f>HYPERLINK("https://www.google.com/maps/?q=47.502219444,-52.814613889", "https://www.google.com/maps/?q=47.502219444,-52.814613889")</f>
        <v>https://www.google.com/maps/?q=47.502219444,-52.814613889</v>
      </c>
      <c r="I70" s="84" t="s">
        <v>1210</v>
      </c>
      <c r="J70" s="37" t="s">
        <v>7720</v>
      </c>
    </row>
    <row r="71" spans="1:11" ht="43.5" hidden="1" x14ac:dyDescent="0.35">
      <c r="A71" t="s">
        <v>7721</v>
      </c>
      <c r="B71" t="s">
        <v>7722</v>
      </c>
      <c r="C71" t="s">
        <v>7723</v>
      </c>
      <c r="D71" t="s">
        <v>7724</v>
      </c>
      <c r="E71" s="33" t="s">
        <v>28</v>
      </c>
      <c r="F71" s="34" t="s">
        <v>7725</v>
      </c>
      <c r="H71" s="36" t="str">
        <f>HYPERLINK("https://www.google.com/maps/?q=47.53835,-52.737461111", "https://www.google.com/maps/?q=47.53835,-52.737461111")</f>
        <v>https://www.google.com/maps/?q=47.53835,-52.737461111</v>
      </c>
      <c r="I71" s="84" t="s">
        <v>1210</v>
      </c>
      <c r="J71" s="37" t="s">
        <v>7720</v>
      </c>
    </row>
    <row r="72" spans="1:11" ht="43.5" hidden="1" x14ac:dyDescent="0.35">
      <c r="A72" t="s">
        <v>7726</v>
      </c>
      <c r="B72" t="s">
        <v>7727</v>
      </c>
      <c r="C72" t="s">
        <v>7728</v>
      </c>
      <c r="D72" t="s">
        <v>7729</v>
      </c>
      <c r="E72" s="33" t="s">
        <v>28</v>
      </c>
      <c r="F72" s="34" t="s">
        <v>7730</v>
      </c>
      <c r="H72" s="36" t="str">
        <f>HYPERLINK("https://www.google.com/maps/?q=47.577472222,-52.6986666669999", "https://www.google.com/maps/?q=47.577472222,-52.6986666669999")</f>
        <v>https://www.google.com/maps/?q=47.577472222,-52.6986666669999</v>
      </c>
      <c r="I72" s="84" t="s">
        <v>1210</v>
      </c>
      <c r="J72" s="37" t="s">
        <v>7731</v>
      </c>
    </row>
    <row r="73" spans="1:11" ht="43.5" hidden="1" x14ac:dyDescent="0.35">
      <c r="A73" t="s">
        <v>7732</v>
      </c>
      <c r="B73" t="s">
        <v>7733</v>
      </c>
      <c r="C73" t="s">
        <v>7734</v>
      </c>
      <c r="D73" t="s">
        <v>7735</v>
      </c>
      <c r="E73" s="33" t="s">
        <v>28</v>
      </c>
      <c r="F73" s="34" t="s">
        <v>7736</v>
      </c>
      <c r="H73" s="36" t="str">
        <f>HYPERLINK("https://www.google.com/maps/?q=47.5078,-53.7247", "https://www.google.com/maps/?q=47.5078,-53.7247")</f>
        <v>https://www.google.com/maps/?q=47.5078,-53.7247</v>
      </c>
      <c r="I73" s="84" t="s">
        <v>7737</v>
      </c>
      <c r="J73" s="37" t="s">
        <v>7738</v>
      </c>
    </row>
    <row r="74" spans="1:11" x14ac:dyDescent="0.35">
      <c r="A74" t="s">
        <v>7739</v>
      </c>
      <c r="B74" t="s">
        <v>7740</v>
      </c>
      <c r="C74" t="s">
        <v>7741</v>
      </c>
      <c r="D74" t="s">
        <v>7742</v>
      </c>
      <c r="E74" s="33" t="s">
        <v>28</v>
      </c>
      <c r="F74" s="34" t="s">
        <v>7743</v>
      </c>
      <c r="H74" s="36" t="str">
        <f>HYPERLINK("https://www.google.com/maps/?q=47.3086027780001,-53.974669444", "https://www.google.com/maps/?q=47.3086027780001,-53.974669444")</f>
        <v>https://www.google.com/maps/?q=47.3086027780001,-53.974669444</v>
      </c>
      <c r="I74" s="84" t="s">
        <v>7737</v>
      </c>
      <c r="J74" s="37" t="s">
        <v>7744</v>
      </c>
    </row>
    <row r="75" spans="1:11" ht="43.5" x14ac:dyDescent="0.35">
      <c r="A75" t="s">
        <v>7745</v>
      </c>
      <c r="B75" t="s">
        <v>7746</v>
      </c>
      <c r="C75" t="s">
        <v>7747</v>
      </c>
      <c r="D75" t="s">
        <v>7748</v>
      </c>
      <c r="E75" s="33" t="s">
        <v>28</v>
      </c>
      <c r="F75" s="34" t="s">
        <v>7749</v>
      </c>
      <c r="G75" s="35" t="s">
        <v>1356</v>
      </c>
      <c r="H75" s="36" t="str">
        <f>HYPERLINK("https://www.google.com/maps/?q=47.5425388890001,-52.7139", "https://www.google.com/maps/?q=47.5425388890001,-52.7139")</f>
        <v>https://www.google.com/maps/?q=47.5425388890001,-52.7139</v>
      </c>
      <c r="I75" s="37" t="s">
        <v>7750</v>
      </c>
      <c r="J75" s="37" t="s">
        <v>7751</v>
      </c>
      <c r="K75" s="104" t="s">
        <v>7752</v>
      </c>
    </row>
    <row r="76" spans="1:11" ht="29" x14ac:dyDescent="0.35">
      <c r="A76" t="s">
        <v>7753</v>
      </c>
      <c r="B76" t="s">
        <v>7754</v>
      </c>
      <c r="C76" t="s">
        <v>7755</v>
      </c>
      <c r="D76" t="s">
        <v>7756</v>
      </c>
      <c r="E76" s="33" t="s">
        <v>28</v>
      </c>
      <c r="F76" s="34" t="s">
        <v>7757</v>
      </c>
      <c r="H76" s="36" t="str">
        <f>HYPERLINK("https://www.google.com/maps/?q=48.0833388890001,-52.8969861109999", "https://www.google.com/maps/?q=48.0833388890001,-52.8969861109999")</f>
        <v>https://www.google.com/maps/?q=48.0833388890001,-52.8969861109999</v>
      </c>
      <c r="I76" s="84" t="s">
        <v>7737</v>
      </c>
    </row>
    <row r="77" spans="1:11" ht="29" x14ac:dyDescent="0.35">
      <c r="A77" t="s">
        <v>7758</v>
      </c>
      <c r="B77" t="s">
        <v>7759</v>
      </c>
      <c r="C77" t="s">
        <v>7760</v>
      </c>
      <c r="D77" t="s">
        <v>7761</v>
      </c>
      <c r="E77" s="33" t="s">
        <v>28</v>
      </c>
      <c r="F77" s="34" t="s">
        <v>7762</v>
      </c>
      <c r="G77" s="35" t="s">
        <v>1253</v>
      </c>
      <c r="H77" s="36" t="str">
        <f>HYPERLINK("https://www.google.com/maps/?q=48.163336111,-53.976016667", "https://www.google.com/maps/?q=48.163336111,-53.976016667")</f>
        <v>https://www.google.com/maps/?q=48.163336111,-53.976016667</v>
      </c>
      <c r="I77" s="37" t="s">
        <v>7763</v>
      </c>
      <c r="J77" s="37" t="s">
        <v>7764</v>
      </c>
      <c r="K77" s="104" t="s">
        <v>7765</v>
      </c>
    </row>
    <row r="78" spans="1:11" ht="159.5" x14ac:dyDescent="0.35">
      <c r="A78" t="s">
        <v>7766</v>
      </c>
      <c r="B78" t="s">
        <v>7767</v>
      </c>
      <c r="C78" t="s">
        <v>7768</v>
      </c>
      <c r="D78" t="s">
        <v>7769</v>
      </c>
      <c r="E78" s="33" t="s">
        <v>28</v>
      </c>
      <c r="F78" s="34" t="s">
        <v>7770</v>
      </c>
      <c r="G78" s="35" t="s">
        <v>1147</v>
      </c>
      <c r="H78" s="53" t="s">
        <v>7771</v>
      </c>
      <c r="I78" s="37" t="s">
        <v>7772</v>
      </c>
      <c r="J78" s="37" t="s">
        <v>7773</v>
      </c>
      <c r="K78" s="104" t="s">
        <v>7774</v>
      </c>
    </row>
    <row r="79" spans="1:11" ht="29" hidden="1" x14ac:dyDescent="0.35">
      <c r="A79" t="s">
        <v>7775</v>
      </c>
      <c r="B79" t="s">
        <v>7776</v>
      </c>
      <c r="C79" t="s">
        <v>7777</v>
      </c>
      <c r="D79" t="s">
        <v>7778</v>
      </c>
      <c r="E79" s="33" t="s">
        <v>28</v>
      </c>
      <c r="F79" s="34" t="s">
        <v>7779</v>
      </c>
      <c r="H79" s="36" t="str">
        <f>HYPERLINK("https://www.google.com/maps/?q=48.947830556,-57.9162277779999", "https://www.google.com/maps/?q=48.947830556,-57.9162277779999")</f>
        <v>https://www.google.com/maps/?q=48.947830556,-57.9162277779999</v>
      </c>
      <c r="I79" s="37" t="s">
        <v>7737</v>
      </c>
    </row>
    <row r="80" spans="1:11" hidden="1" x14ac:dyDescent="0.35">
      <c r="A80" t="s">
        <v>7780</v>
      </c>
      <c r="B80" t="s">
        <v>7781</v>
      </c>
      <c r="C80" t="s">
        <v>7782</v>
      </c>
      <c r="D80" t="s">
        <v>7783</v>
      </c>
      <c r="E80" s="33" t="s">
        <v>28</v>
      </c>
      <c r="F80" s="34" t="s">
        <v>7784</v>
      </c>
      <c r="H80" s="36" t="str">
        <f>HYPERLINK("https://www.google.com/maps/?q=48.6758,-54.0756", "https://www.google.com/maps/?q=48.6758,-54.0756")</f>
        <v>https://www.google.com/maps/?q=48.6758,-54.0756</v>
      </c>
      <c r="I80" s="37" t="s">
        <v>7737</v>
      </c>
    </row>
    <row r="81" spans="1:11" ht="29" hidden="1" x14ac:dyDescent="0.35">
      <c r="A81" t="s">
        <v>7785</v>
      </c>
      <c r="B81" t="s">
        <v>7786</v>
      </c>
      <c r="C81" t="s">
        <v>7787</v>
      </c>
      <c r="D81" t="s">
        <v>7788</v>
      </c>
      <c r="E81" s="33" t="s">
        <v>28</v>
      </c>
      <c r="F81" s="34" t="s">
        <v>7789</v>
      </c>
      <c r="H81" s="36" t="str">
        <f>HYPERLINK("https://www.google.com/maps/?q=47.5609694440001,-52.711213889", "https://www.google.com/maps/?q=47.5609694440001,-52.711213889")</f>
        <v>https://www.google.com/maps/?q=47.5609694440001,-52.711213889</v>
      </c>
      <c r="I81" s="37" t="s">
        <v>7737</v>
      </c>
    </row>
    <row r="82" spans="1:11" ht="29" hidden="1" x14ac:dyDescent="0.35">
      <c r="A82" t="s">
        <v>7790</v>
      </c>
      <c r="B82" t="s">
        <v>7791</v>
      </c>
      <c r="C82" t="s">
        <v>7792</v>
      </c>
      <c r="D82" t="s">
        <v>7793</v>
      </c>
      <c r="E82" s="33" t="s">
        <v>28</v>
      </c>
      <c r="F82" s="34" t="s">
        <v>7794</v>
      </c>
      <c r="H82" s="36" t="str">
        <f>HYPERLINK("https://www.google.com/maps/?q=47.578858333,-52.7171722219999", "https://www.google.com/maps/?q=47.578858333,-52.7171722219999")</f>
        <v>https://www.google.com/maps/?q=47.578858333,-52.7171722219999</v>
      </c>
      <c r="I82" s="37" t="s">
        <v>7737</v>
      </c>
    </row>
    <row r="83" spans="1:11" hidden="1" x14ac:dyDescent="0.35">
      <c r="A83" t="s">
        <v>7795</v>
      </c>
      <c r="B83" t="s">
        <v>7796</v>
      </c>
      <c r="C83" t="s">
        <v>7797</v>
      </c>
      <c r="D83" t="s">
        <v>7798</v>
      </c>
      <c r="E83" s="33" t="s">
        <v>28</v>
      </c>
      <c r="F83" s="34" t="s">
        <v>7799</v>
      </c>
      <c r="H83" s="36" t="str">
        <f>HYPERLINK("https://www.google.com/maps/?q=47.589166667,-53.525277778", "https://www.google.com/maps/?q=47.589166667,-53.525277778")</f>
        <v>https://www.google.com/maps/?q=47.589166667,-53.525277778</v>
      </c>
      <c r="I83" s="37" t="s">
        <v>7737</v>
      </c>
    </row>
    <row r="84" spans="1:11" ht="58" hidden="1" x14ac:dyDescent="0.35">
      <c r="A84" t="s">
        <v>7800</v>
      </c>
      <c r="B84" t="s">
        <v>7801</v>
      </c>
      <c r="C84" t="s">
        <v>7802</v>
      </c>
      <c r="D84" t="s">
        <v>7803</v>
      </c>
      <c r="E84" s="33" t="s">
        <v>28</v>
      </c>
      <c r="F84" s="34" t="s">
        <v>7804</v>
      </c>
      <c r="H84" s="36" t="str">
        <f>HYPERLINK("https://www.google.com/maps/?q=47.5166694440001,-52.963611111", "https://www.google.com/maps/?q=47.5166694440001,-52.963611111")</f>
        <v>https://www.google.com/maps/?q=47.5166694440001,-52.963611111</v>
      </c>
      <c r="I84" s="119" t="s">
        <v>7805</v>
      </c>
      <c r="J84" s="37" t="s">
        <v>7806</v>
      </c>
      <c r="K84" s="104" t="s">
        <v>7807</v>
      </c>
    </row>
    <row r="85" spans="1:11" hidden="1" x14ac:dyDescent="0.35">
      <c r="A85" t="s">
        <v>7808</v>
      </c>
      <c r="B85" t="s">
        <v>7809</v>
      </c>
      <c r="C85" t="s">
        <v>7810</v>
      </c>
      <c r="D85" t="s">
        <v>7811</v>
      </c>
      <c r="E85" s="33" t="s">
        <v>28</v>
      </c>
      <c r="F85" s="34" t="s">
        <v>7616</v>
      </c>
      <c r="H85" s="36" t="str">
        <f>HYPERLINK("https://www.google.com/maps/?q=48.4034,-53.3910999999999", "https://www.google.com/maps/?q=48.4034,-53.3910999999999")</f>
        <v>https://www.google.com/maps/?q=48.4034,-53.3910999999999</v>
      </c>
      <c r="I85" s="84" t="s">
        <v>1210</v>
      </c>
      <c r="J85" s="37" t="s">
        <v>7812</v>
      </c>
    </row>
    <row r="86" spans="1:11" ht="29" hidden="1" x14ac:dyDescent="0.35">
      <c r="A86" t="s">
        <v>7813</v>
      </c>
      <c r="B86" t="s">
        <v>7814</v>
      </c>
      <c r="C86" t="s">
        <v>7815</v>
      </c>
      <c r="D86" t="s">
        <v>7816</v>
      </c>
      <c r="E86" s="33" t="s">
        <v>28</v>
      </c>
      <c r="F86" s="34" t="s">
        <v>7817</v>
      </c>
      <c r="H86" s="36" t="str">
        <f>HYPERLINK("https://www.google.com/maps/?q=47.2616694440001,-53.980277778", "https://www.google.com/maps/?q=47.2616694440001,-53.980277778")</f>
        <v>https://www.google.com/maps/?q=47.2616694440001,-53.980277778</v>
      </c>
      <c r="I86" s="37" t="s">
        <v>7737</v>
      </c>
    </row>
    <row r="87" spans="1:11" ht="145" hidden="1" x14ac:dyDescent="0.35">
      <c r="A87" t="s">
        <v>7818</v>
      </c>
      <c r="B87" t="s">
        <v>7819</v>
      </c>
      <c r="C87" t="s">
        <v>7820</v>
      </c>
      <c r="D87" t="s">
        <v>7821</v>
      </c>
      <c r="E87" s="33" t="s">
        <v>28</v>
      </c>
      <c r="F87" s="34" t="s">
        <v>7822</v>
      </c>
      <c r="H87" s="53" t="s">
        <v>7823</v>
      </c>
      <c r="I87" s="84" t="s">
        <v>1210</v>
      </c>
    </row>
    <row r="88" spans="1:11" ht="29" hidden="1" x14ac:dyDescent="0.35">
      <c r="A88" t="s">
        <v>7824</v>
      </c>
      <c r="B88" t="s">
        <v>7825</v>
      </c>
      <c r="C88" t="s">
        <v>7826</v>
      </c>
      <c r="D88" t="s">
        <v>7827</v>
      </c>
      <c r="E88" s="33" t="s">
        <v>28</v>
      </c>
      <c r="F88" s="34" t="s">
        <v>7828</v>
      </c>
      <c r="H88" s="36" t="str">
        <f>HYPERLINK("https://www.google.com/maps/?q=49.2561000000001,-57.5053", "https://www.google.com/maps/?q=49.2561000000001,-57.5053")</f>
        <v>https://www.google.com/maps/?q=49.2561000000001,-57.5053</v>
      </c>
      <c r="I88" s="37" t="s">
        <v>7737</v>
      </c>
    </row>
    <row r="89" spans="1:11" ht="43.5" x14ac:dyDescent="0.35">
      <c r="A89" t="s">
        <v>7829</v>
      </c>
      <c r="B89" t="s">
        <v>7830</v>
      </c>
      <c r="C89" t="s">
        <v>7831</v>
      </c>
      <c r="D89" t="s">
        <v>7832</v>
      </c>
      <c r="E89" s="33" t="s">
        <v>28</v>
      </c>
      <c r="F89" s="34" t="s">
        <v>7833</v>
      </c>
      <c r="G89" s="35" t="s">
        <v>1253</v>
      </c>
      <c r="H89" s="36" t="str">
        <f>HYPERLINK("https://www.google.com/maps/?q=49.0133000000001,-57.6244", "https://www.google.com/maps/?q=49.0133000000001,-57.6244")</f>
        <v>https://www.google.com/maps/?q=49.0133000000001,-57.6244</v>
      </c>
      <c r="I89" s="37" t="s">
        <v>7834</v>
      </c>
      <c r="J89" s="37" t="s">
        <v>7835</v>
      </c>
      <c r="K89" s="104" t="s">
        <v>7836</v>
      </c>
    </row>
    <row r="90" spans="1:11" ht="29" hidden="1" x14ac:dyDescent="0.35">
      <c r="A90" t="s">
        <v>7837</v>
      </c>
      <c r="B90" t="s">
        <v>7838</v>
      </c>
      <c r="C90" t="s">
        <v>7839</v>
      </c>
      <c r="D90" t="s">
        <v>7840</v>
      </c>
      <c r="E90" s="33" t="s">
        <v>28</v>
      </c>
      <c r="F90" s="34" t="s">
        <v>7841</v>
      </c>
      <c r="H90" s="36" t="str">
        <f>HYPERLINK("https://www.google.com/maps/?q=48.948408333,-57.9307527779999", "https://www.google.com/maps/?q=48.948408333,-57.9307527779999")</f>
        <v>https://www.google.com/maps/?q=48.948408333,-57.9307527779999</v>
      </c>
      <c r="I90" s="84" t="s">
        <v>7737</v>
      </c>
    </row>
    <row r="91" spans="1:11" ht="29" hidden="1" x14ac:dyDescent="0.35">
      <c r="A91" t="s">
        <v>7842</v>
      </c>
      <c r="B91" t="s">
        <v>7843</v>
      </c>
      <c r="C91" t="s">
        <v>7844</v>
      </c>
      <c r="D91" t="s">
        <v>7845</v>
      </c>
      <c r="E91" s="33" t="s">
        <v>28</v>
      </c>
      <c r="F91" s="34" t="s">
        <v>7846</v>
      </c>
      <c r="H91" s="36" t="str">
        <f>HYPERLINK("https://www.google.com/maps/?q=47.391388889,-53.120833333", "https://www.google.com/maps/?q=47.391388889,-53.120833333")</f>
        <v>https://www.google.com/maps/?q=47.391388889,-53.120833333</v>
      </c>
      <c r="I91" s="84" t="s">
        <v>7737</v>
      </c>
    </row>
    <row r="92" spans="1:11" hidden="1" x14ac:dyDescent="0.35">
      <c r="A92" t="s">
        <v>7847</v>
      </c>
      <c r="B92" t="s">
        <v>7848</v>
      </c>
      <c r="C92" t="s">
        <v>7849</v>
      </c>
      <c r="D92" t="s">
        <v>7850</v>
      </c>
      <c r="E92" s="33" t="s">
        <v>28</v>
      </c>
      <c r="F92" s="34" t="s">
        <v>7851</v>
      </c>
      <c r="H92" s="36" t="str">
        <f>HYPERLINK("https://www.google.com/maps/?q=48.9336000000001,-57.9657999999999", "https://www.google.com/maps/?q=48.9336000000001,-57.9657999999999")</f>
        <v>https://www.google.com/maps/?q=48.9336000000001,-57.9657999999999</v>
      </c>
      <c r="I92" s="84" t="s">
        <v>7737</v>
      </c>
    </row>
    <row r="93" spans="1:11" hidden="1" x14ac:dyDescent="0.35">
      <c r="A93" t="s">
        <v>7852</v>
      </c>
      <c r="B93" t="s">
        <v>7853</v>
      </c>
      <c r="C93" t="s">
        <v>7854</v>
      </c>
      <c r="D93" t="s">
        <v>7855</v>
      </c>
      <c r="E93" s="33" t="s">
        <v>28</v>
      </c>
      <c r="F93" s="34" t="s">
        <v>7366</v>
      </c>
      <c r="H93" s="36" t="str">
        <f>HYPERLINK("https://www.google.com/maps/?q=51.018052778,-56.8111083329999", "https://www.google.com/maps/?q=51.018052778,-56.8111083329999")</f>
        <v>https://www.google.com/maps/?q=51.018052778,-56.8111083329999</v>
      </c>
      <c r="I93" s="84" t="s">
        <v>7737</v>
      </c>
    </row>
    <row r="94" spans="1:11" ht="58" x14ac:dyDescent="0.35">
      <c r="A94" t="s">
        <v>7856</v>
      </c>
      <c r="B94" t="s">
        <v>7857</v>
      </c>
      <c r="C94" t="s">
        <v>7858</v>
      </c>
      <c r="D94" t="s">
        <v>7859</v>
      </c>
      <c r="E94" s="33" t="s">
        <v>28</v>
      </c>
      <c r="F94" s="34" t="s">
        <v>7860</v>
      </c>
      <c r="G94" s="35" t="s">
        <v>1253</v>
      </c>
      <c r="H94" s="36" t="str">
        <f>HYPERLINK("https://www.google.com/maps/?q=47.546038889,-52.784588889", "https://www.google.com/maps/?q=47.546038889,-52.784588889")</f>
        <v>https://www.google.com/maps/?q=47.546038889,-52.784588889</v>
      </c>
      <c r="I94" s="37" t="s">
        <v>7861</v>
      </c>
      <c r="J94" s="37" t="s">
        <v>7862</v>
      </c>
      <c r="K94" s="104" t="s">
        <v>7863</v>
      </c>
    </row>
    <row r="95" spans="1:11" ht="29" x14ac:dyDescent="0.35">
      <c r="A95" t="s">
        <v>7864</v>
      </c>
      <c r="B95" t="s">
        <v>7865</v>
      </c>
      <c r="C95" t="s">
        <v>7866</v>
      </c>
      <c r="D95" t="s">
        <v>7867</v>
      </c>
      <c r="E95" s="33" t="s">
        <v>28</v>
      </c>
      <c r="F95" s="34" t="s">
        <v>7868</v>
      </c>
      <c r="G95" s="35" t="s">
        <v>1166</v>
      </c>
      <c r="H95" s="36" t="str">
        <f>HYPERLINK("https://www.google.com/maps/?q=47.520780556,-52.7763166669999", "https://www.google.com/maps/?q=47.520780556,-52.7763166669999")</f>
        <v>https://www.google.com/maps/?q=47.520780556,-52.7763166669999</v>
      </c>
      <c r="I95" s="37" t="s">
        <v>7869</v>
      </c>
      <c r="J95" s="37" t="s">
        <v>7870</v>
      </c>
      <c r="K95" s="104" t="s">
        <v>7871</v>
      </c>
    </row>
    <row r="96" spans="1:11" ht="29" hidden="1" x14ac:dyDescent="0.35">
      <c r="A96" t="s">
        <v>7872</v>
      </c>
      <c r="B96" t="s">
        <v>7873</v>
      </c>
      <c r="C96" t="s">
        <v>7874</v>
      </c>
      <c r="D96" t="s">
        <v>7875</v>
      </c>
      <c r="E96" s="33" t="s">
        <v>28</v>
      </c>
      <c r="F96" s="34" t="s">
        <v>7876</v>
      </c>
      <c r="G96" s="41"/>
      <c r="H96" s="53" t="str">
        <f>HYPERLINK("https://www.google.com/maps/?q=47.5586000000001,-52.7859999999999", "https://www.google.com/maps/?q=47.5586000000001,-52.7859999999999")</f>
        <v>https://www.google.com/maps/?q=47.5586000000001,-52.7859999999999</v>
      </c>
      <c r="I96" s="84" t="s">
        <v>7877</v>
      </c>
      <c r="J96" s="37" t="s">
        <v>7878</v>
      </c>
    </row>
    <row r="97" spans="1:11" ht="29" hidden="1" x14ac:dyDescent="0.35">
      <c r="A97" t="s">
        <v>7879</v>
      </c>
      <c r="B97" t="s">
        <v>7880</v>
      </c>
      <c r="C97" t="s">
        <v>7881</v>
      </c>
      <c r="D97" t="s">
        <v>7882</v>
      </c>
      <c r="E97" s="33" t="s">
        <v>28</v>
      </c>
      <c r="F97" s="34" t="s">
        <v>7883</v>
      </c>
      <c r="H97" s="36" t="str">
        <f>HYPERLINK("https://www.google.com/maps/?q=47.5474194440001,-52.7096999999999", "https://www.google.com/maps/?q=47.5474194440001,-52.7096999999999")</f>
        <v>https://www.google.com/maps/?q=47.5474194440001,-52.7096999999999</v>
      </c>
      <c r="I97" s="84" t="s">
        <v>7737</v>
      </c>
    </row>
    <row r="98" spans="1:11" ht="29" hidden="1" x14ac:dyDescent="0.35">
      <c r="A98" t="s">
        <v>7884</v>
      </c>
      <c r="B98" t="s">
        <v>7885</v>
      </c>
      <c r="C98" t="s">
        <v>7886</v>
      </c>
      <c r="D98" t="s">
        <v>7887</v>
      </c>
      <c r="E98" s="33" t="s">
        <v>28</v>
      </c>
      <c r="F98" s="34" t="s">
        <v>7888</v>
      </c>
      <c r="H98" s="36" t="str">
        <f>HYPERLINK("https://www.google.com/maps/?q=47.5319000000001,-53.226808333", "https://www.google.com/maps/?q=47.5319000000001,-53.226808333")</f>
        <v>https://www.google.com/maps/?q=47.5319000000001,-53.226808333</v>
      </c>
      <c r="I98" s="84" t="s">
        <v>7889</v>
      </c>
    </row>
    <row r="99" spans="1:11" hidden="1" x14ac:dyDescent="0.35">
      <c r="A99" t="s">
        <v>7890</v>
      </c>
      <c r="B99" t="s">
        <v>7891</v>
      </c>
      <c r="C99" t="s">
        <v>7892</v>
      </c>
      <c r="D99" t="s">
        <v>7893</v>
      </c>
      <c r="E99" s="33" t="s">
        <v>28</v>
      </c>
      <c r="F99" s="34" t="s">
        <v>7894</v>
      </c>
      <c r="H99" s="36" t="str">
        <f>HYPERLINK("https://www.google.com/maps/?q=48.1077194440001,-52.920569444", "https://www.google.com/maps/?q=48.1077194440001,-52.920569444")</f>
        <v>https://www.google.com/maps/?q=48.1077194440001,-52.920569444</v>
      </c>
      <c r="I99" s="84" t="s">
        <v>7889</v>
      </c>
    </row>
    <row r="100" spans="1:11" ht="29" hidden="1" x14ac:dyDescent="0.35">
      <c r="A100" t="s">
        <v>7895</v>
      </c>
      <c r="B100" t="s">
        <v>7896</v>
      </c>
      <c r="C100" t="s">
        <v>7897</v>
      </c>
      <c r="D100" t="s">
        <v>7898</v>
      </c>
      <c r="E100" s="33" t="s">
        <v>28</v>
      </c>
      <c r="F100" s="34" t="s">
        <v>7899</v>
      </c>
      <c r="H100" s="36" t="str">
        <f>HYPERLINK("https://www.google.com/maps/?q=49.0288861110001,-53.902777778", "https://www.google.com/maps/?q=49.0288861110001,-53.902777778")</f>
        <v>https://www.google.com/maps/?q=49.0288861110001,-53.902777778</v>
      </c>
      <c r="I100" s="84" t="s">
        <v>7737</v>
      </c>
    </row>
    <row r="101" spans="1:11" ht="29" hidden="1" x14ac:dyDescent="0.35">
      <c r="A101" t="s">
        <v>7900</v>
      </c>
      <c r="B101" t="s">
        <v>7901</v>
      </c>
      <c r="C101" t="s">
        <v>7902</v>
      </c>
      <c r="D101" t="s">
        <v>7903</v>
      </c>
      <c r="E101" s="33" t="s">
        <v>28</v>
      </c>
      <c r="F101" s="34" t="s">
        <v>7904</v>
      </c>
      <c r="H101" s="36" t="str">
        <f>HYPERLINK("https://www.google.com/maps/?q=49.388052778,-54.8627749999999", "https://www.google.com/maps/?q=49.388052778,-54.8627749999999")</f>
        <v>https://www.google.com/maps/?q=49.388052778,-54.8627749999999</v>
      </c>
      <c r="I101" s="84" t="s">
        <v>1210</v>
      </c>
    </row>
    <row r="102" spans="1:11" ht="29" hidden="1" x14ac:dyDescent="0.35">
      <c r="A102" t="s">
        <v>7905</v>
      </c>
      <c r="B102" t="s">
        <v>7906</v>
      </c>
      <c r="C102" t="s">
        <v>7907</v>
      </c>
      <c r="D102" t="s">
        <v>7908</v>
      </c>
      <c r="E102" s="33" t="s">
        <v>28</v>
      </c>
      <c r="F102" s="34" t="s">
        <v>7909</v>
      </c>
      <c r="H102" s="36" t="str">
        <f>HYPERLINK("https://www.google.com/maps/?q=47.7519500000001,-52.7499999999999", "https://www.google.com/maps/?q=47.7519500000001,-52.7499999999999")</f>
        <v>https://www.google.com/maps/?q=47.7519500000001,-52.7499999999999</v>
      </c>
      <c r="I102" s="84" t="s">
        <v>1210</v>
      </c>
    </row>
    <row r="103" spans="1:11" hidden="1" x14ac:dyDescent="0.35">
      <c r="A103" t="s">
        <v>7910</v>
      </c>
      <c r="B103" t="s">
        <v>7911</v>
      </c>
      <c r="C103" t="s">
        <v>7912</v>
      </c>
      <c r="D103" t="s">
        <v>7913</v>
      </c>
      <c r="E103" s="33" t="s">
        <v>28</v>
      </c>
      <c r="F103" s="34" t="s">
        <v>7504</v>
      </c>
      <c r="H103" s="36" t="str">
        <f>HYPERLINK("https://www.google.com/maps/?q=47.6739000000001,-53.8613999999999", "https://www.google.com/maps/?q=47.6739000000001,-53.8613999999999")</f>
        <v>https://www.google.com/maps/?q=47.6739000000001,-53.8613999999999</v>
      </c>
      <c r="I103" s="84" t="s">
        <v>1210</v>
      </c>
    </row>
    <row r="104" spans="1:11" ht="29" hidden="1" x14ac:dyDescent="0.35">
      <c r="A104" t="s">
        <v>7914</v>
      </c>
      <c r="B104" t="s">
        <v>7291</v>
      </c>
      <c r="C104" t="s">
        <v>7915</v>
      </c>
      <c r="D104" t="s">
        <v>7293</v>
      </c>
      <c r="E104" s="33" t="s">
        <v>28</v>
      </c>
      <c r="F104" s="34" t="s">
        <v>7916</v>
      </c>
      <c r="H104" s="36" t="str">
        <f>HYPERLINK("https://www.google.com/maps/?q=47.602094444,-52.7614", "https://www.google.com/maps/?q=47.602094444,-52.7614")</f>
        <v>https://www.google.com/maps/?q=47.602094444,-52.7614</v>
      </c>
      <c r="I104" s="84" t="s">
        <v>1210</v>
      </c>
      <c r="J104" s="37" t="s">
        <v>7917</v>
      </c>
    </row>
    <row r="105" spans="1:11" ht="29" x14ac:dyDescent="0.35">
      <c r="A105" t="s">
        <v>7918</v>
      </c>
      <c r="B105" t="s">
        <v>7919</v>
      </c>
      <c r="C105" t="s">
        <v>7920</v>
      </c>
      <c r="D105" t="s">
        <v>7921</v>
      </c>
      <c r="E105" s="33" t="s">
        <v>28</v>
      </c>
      <c r="F105" s="34" t="s">
        <v>7922</v>
      </c>
      <c r="G105" s="35" t="s">
        <v>1356</v>
      </c>
      <c r="H105" s="36" t="str">
        <f>HYPERLINK("https://www.google.com/maps/?q=47.8047,-59.289997222", "https://www.google.com/maps/?q=47.8047,-59.289997222")</f>
        <v>https://www.google.com/maps/?q=47.8047,-59.289997222</v>
      </c>
      <c r="I105" s="37" t="s">
        <v>7923</v>
      </c>
      <c r="J105" s="37" t="s">
        <v>7924</v>
      </c>
      <c r="K105" s="104" t="s">
        <v>7925</v>
      </c>
    </row>
    <row r="106" spans="1:11" ht="29" x14ac:dyDescent="0.35">
      <c r="A106" t="s">
        <v>7926</v>
      </c>
      <c r="B106" t="s">
        <v>7927</v>
      </c>
      <c r="C106" t="s">
        <v>7928</v>
      </c>
      <c r="D106" t="s">
        <v>7929</v>
      </c>
      <c r="E106" s="33" t="s">
        <v>28</v>
      </c>
      <c r="F106" s="34" t="s">
        <v>7930</v>
      </c>
      <c r="G106" s="35" t="s">
        <v>1253</v>
      </c>
      <c r="H106" s="36" t="str">
        <f>HYPERLINK("https://www.google.com/maps/?q=53.301433333,-60.3144", "https://www.google.com/maps/?q=53.301433333,-60.3144")</f>
        <v>https://www.google.com/maps/?q=53.301433333,-60.3144</v>
      </c>
      <c r="I106" s="37" t="s">
        <v>7931</v>
      </c>
      <c r="J106" s="37" t="s">
        <v>7932</v>
      </c>
      <c r="K106" s="104" t="s">
        <v>7933</v>
      </c>
    </row>
    <row r="107" spans="1:11" ht="43.5" x14ac:dyDescent="0.35">
      <c r="A107" t="s">
        <v>7934</v>
      </c>
      <c r="B107" t="s">
        <v>7935</v>
      </c>
      <c r="C107" t="s">
        <v>7936</v>
      </c>
      <c r="D107" t="s">
        <v>7937</v>
      </c>
      <c r="E107" s="33" t="s">
        <v>28</v>
      </c>
      <c r="F107" s="34" t="s">
        <v>7938</v>
      </c>
      <c r="G107" s="35" t="s">
        <v>1131</v>
      </c>
      <c r="H107" s="36" t="str">
        <f>HYPERLINK("https://www.google.com/maps/?q=52.9391305560001,-66.910902778", "https://www.google.com/maps/?q=52.9391305560001,-66.910902778")</f>
        <v>https://www.google.com/maps/?q=52.9391305560001,-66.910902778</v>
      </c>
      <c r="I107" s="37" t="s">
        <v>7939</v>
      </c>
      <c r="J107" s="37" t="s">
        <v>7940</v>
      </c>
      <c r="K107" s="104" t="s">
        <v>7941</v>
      </c>
    </row>
    <row r="108" spans="1:11" ht="29" hidden="1" x14ac:dyDescent="0.35">
      <c r="A108" t="s">
        <v>7942</v>
      </c>
      <c r="B108" t="s">
        <v>7943</v>
      </c>
      <c r="C108" t="s">
        <v>7944</v>
      </c>
      <c r="D108" t="s">
        <v>7945</v>
      </c>
      <c r="E108" s="33" t="s">
        <v>28</v>
      </c>
      <c r="F108" s="34" t="s">
        <v>7946</v>
      </c>
      <c r="H108" s="36" t="str">
        <f>HYPERLINK("https://www.google.com/maps/?q=47.585555556,-53.2919416669999", "https://www.google.com/maps/?q=47.585555556,-53.2919416669999")</f>
        <v>https://www.google.com/maps/?q=47.585555556,-53.2919416669999</v>
      </c>
      <c r="I108" s="84" t="s">
        <v>7947</v>
      </c>
    </row>
    <row r="109" spans="1:11" hidden="1" x14ac:dyDescent="0.35">
      <c r="A109" t="s">
        <v>7948</v>
      </c>
      <c r="B109" t="s">
        <v>7949</v>
      </c>
      <c r="C109" t="s">
        <v>7950</v>
      </c>
      <c r="D109" t="s">
        <v>7951</v>
      </c>
      <c r="E109" s="33" t="s">
        <v>28</v>
      </c>
      <c r="F109" s="34" t="s">
        <v>7952</v>
      </c>
      <c r="H109" s="36" t="str">
        <f>HYPERLINK("https://www.google.com/maps/?q=46.937219444,-55.3652749999999", "https://www.google.com/maps/?q=46.937219444,-55.3652749999999")</f>
        <v>https://www.google.com/maps/?q=46.937219444,-55.3652749999999</v>
      </c>
      <c r="I109" s="84" t="s">
        <v>7573</v>
      </c>
    </row>
    <row r="110" spans="1:11" ht="29" hidden="1" x14ac:dyDescent="0.35">
      <c r="A110" t="s">
        <v>7953</v>
      </c>
      <c r="B110" t="s">
        <v>7954</v>
      </c>
      <c r="C110" t="s">
        <v>7955</v>
      </c>
      <c r="D110" t="s">
        <v>7956</v>
      </c>
      <c r="E110" s="33" t="s">
        <v>28</v>
      </c>
      <c r="F110" s="34" t="s">
        <v>7957</v>
      </c>
      <c r="H110" s="36" t="str">
        <f>HYPERLINK("https://www.google.com/maps/?q=47.5303944440001,-52.8106722219999", "https://www.google.com/maps/?q=47.5303944440001,-52.8106722219999")</f>
        <v>https://www.google.com/maps/?q=47.5303944440001,-52.8106722219999</v>
      </c>
      <c r="I110" s="84" t="s">
        <v>1210</v>
      </c>
    </row>
    <row r="111" spans="1:11" ht="43.5" x14ac:dyDescent="0.35">
      <c r="A111" t="s">
        <v>7958</v>
      </c>
      <c r="B111" t="s">
        <v>7959</v>
      </c>
      <c r="C111" t="s">
        <v>7960</v>
      </c>
      <c r="D111" t="s">
        <v>7961</v>
      </c>
      <c r="E111" s="33" t="s">
        <v>28</v>
      </c>
      <c r="F111" s="34" t="s">
        <v>7962</v>
      </c>
      <c r="G111" s="35" t="s">
        <v>1356</v>
      </c>
      <c r="H111" s="36" t="str">
        <f>HYPERLINK("https://www.google.com/maps/?q=47.620497222,-52.9614", "https://www.google.com/maps/?q=47.620497222,-52.9614")</f>
        <v>https://www.google.com/maps/?q=47.620497222,-52.9614</v>
      </c>
      <c r="I111" s="37" t="s">
        <v>7963</v>
      </c>
      <c r="J111" s="37" t="s">
        <v>7964</v>
      </c>
      <c r="K111" s="104" t="s">
        <v>7965</v>
      </c>
    </row>
    <row r="112" spans="1:11" ht="29" hidden="1" x14ac:dyDescent="0.35">
      <c r="A112" t="s">
        <v>7966</v>
      </c>
      <c r="B112" t="s">
        <v>7967</v>
      </c>
      <c r="C112" t="s">
        <v>7968</v>
      </c>
      <c r="D112" t="s">
        <v>7969</v>
      </c>
      <c r="E112" s="33" t="s">
        <v>28</v>
      </c>
      <c r="F112" s="34" t="s">
        <v>7970</v>
      </c>
      <c r="H112" s="36" t="str">
        <f>HYPERLINK("https://www.google.com/maps/?q=46.9092388890001,-53.5629777779999", "https://www.google.com/maps/?q=46.9092388890001,-53.5629777779999")</f>
        <v>https://www.google.com/maps/?q=46.9092388890001,-53.5629777779999</v>
      </c>
      <c r="I112" s="84" t="s">
        <v>1210</v>
      </c>
    </row>
    <row r="113" spans="1:12" hidden="1" x14ac:dyDescent="0.35">
      <c r="A113" t="s">
        <v>7971</v>
      </c>
      <c r="B113" t="s">
        <v>7972</v>
      </c>
      <c r="C113" t="s">
        <v>7973</v>
      </c>
      <c r="D113" t="s">
        <v>7974</v>
      </c>
      <c r="E113" s="33" t="s">
        <v>28</v>
      </c>
      <c r="F113" s="34" t="s">
        <v>7975</v>
      </c>
      <c r="H113" s="36" t="str">
        <f>HYPERLINK("https://www.google.com/maps/?q=47.5244416670001,-53.3155555559999", "https://www.google.com/maps/?q=47.5244416670001,-53.3155555559999")</f>
        <v>https://www.google.com/maps/?q=47.5244416670001,-53.3155555559999</v>
      </c>
      <c r="I113" s="84" t="s">
        <v>7737</v>
      </c>
    </row>
    <row r="114" spans="1:12" hidden="1" x14ac:dyDescent="0.35">
      <c r="A114" t="s">
        <v>7976</v>
      </c>
      <c r="B114" t="s">
        <v>7977</v>
      </c>
      <c r="C114" t="s">
        <v>7978</v>
      </c>
      <c r="D114" t="s">
        <v>7979</v>
      </c>
      <c r="E114" s="33" t="s">
        <v>28</v>
      </c>
      <c r="F114" s="34" t="s">
        <v>7980</v>
      </c>
      <c r="G114" s="35" t="s">
        <v>1356</v>
      </c>
      <c r="H114" s="36" t="str">
        <f>HYPERLINK("https://www.google.com/maps/?q=49.070883333,-55.278541667", "https://www.google.com/maps/?q=49.070883333,-55.278541667")</f>
        <v>https://www.google.com/maps/?q=49.070883333,-55.278541667</v>
      </c>
      <c r="I114" s="84" t="s">
        <v>1210</v>
      </c>
      <c r="J114" s="37" t="s">
        <v>7981</v>
      </c>
    </row>
    <row r="115" spans="1:12" ht="36" customHeight="1" x14ac:dyDescent="0.35">
      <c r="A115" t="s">
        <v>7982</v>
      </c>
      <c r="B115" t="s">
        <v>7983</v>
      </c>
      <c r="C115" t="s">
        <v>7984</v>
      </c>
      <c r="D115" t="s">
        <v>7985</v>
      </c>
      <c r="E115" s="33" t="s">
        <v>28</v>
      </c>
      <c r="F115" s="34" t="s">
        <v>7986</v>
      </c>
      <c r="G115" s="35" t="s">
        <v>1356</v>
      </c>
      <c r="H115" s="53" t="s">
        <v>7987</v>
      </c>
      <c r="I115" s="37" t="s">
        <v>7988</v>
      </c>
      <c r="J115" s="37" t="s">
        <v>7989</v>
      </c>
      <c r="K115" s="104" t="s">
        <v>7990</v>
      </c>
    </row>
    <row r="116" spans="1:12" ht="43.5" x14ac:dyDescent="0.35">
      <c r="A116" t="s">
        <v>7991</v>
      </c>
      <c r="B116" t="s">
        <v>7992</v>
      </c>
      <c r="C116" t="s">
        <v>7993</v>
      </c>
      <c r="D116" t="s">
        <v>7994</v>
      </c>
      <c r="E116" s="33" t="s">
        <v>28</v>
      </c>
      <c r="F116" s="34" t="s">
        <v>7995</v>
      </c>
      <c r="G116" s="35" t="s">
        <v>1356</v>
      </c>
      <c r="H116" s="36" t="str">
        <f>HYPERLINK("https://www.google.com/maps/?q=48.0277972220001,-53.8833", "https://www.google.com/maps/?q=48.0277972220001,-53.8833")</f>
        <v>https://www.google.com/maps/?q=48.0277972220001,-53.8833</v>
      </c>
      <c r="I116" s="37" t="s">
        <v>7996</v>
      </c>
      <c r="J116" s="37" t="s">
        <v>7997</v>
      </c>
      <c r="K116" s="104" t="s">
        <v>7998</v>
      </c>
      <c r="L116" s="38" t="s">
        <v>7999</v>
      </c>
    </row>
    <row r="117" spans="1:12" ht="29" hidden="1" x14ac:dyDescent="0.35">
      <c r="A117" t="s">
        <v>8000</v>
      </c>
      <c r="B117" t="s">
        <v>8001</v>
      </c>
      <c r="C117" t="s">
        <v>8002</v>
      </c>
      <c r="D117" t="s">
        <v>8003</v>
      </c>
      <c r="E117" s="33" t="s">
        <v>28</v>
      </c>
      <c r="F117" s="34" t="s">
        <v>8004</v>
      </c>
      <c r="H117" s="36" t="str">
        <f>HYPERLINK("https://www.google.com/maps/?q=48.2732194440001,-54.178288889", "https://www.google.com/maps/?q=48.2732194440001,-54.178288889")</f>
        <v>https://www.google.com/maps/?q=48.2732194440001,-54.178288889</v>
      </c>
      <c r="I117" s="84" t="s">
        <v>1210</v>
      </c>
    </row>
    <row r="118" spans="1:12" ht="29" hidden="1" x14ac:dyDescent="0.35">
      <c r="A118" t="s">
        <v>8005</v>
      </c>
      <c r="B118" t="s">
        <v>8006</v>
      </c>
      <c r="C118" t="s">
        <v>8007</v>
      </c>
      <c r="D118" t="s">
        <v>8008</v>
      </c>
      <c r="E118" s="33" t="s">
        <v>28</v>
      </c>
      <c r="F118" s="34" t="s">
        <v>8009</v>
      </c>
      <c r="H118" s="36" t="str">
        <f>HYPERLINK("https://www.google.com/maps/?q=47.5840833330001,-52.7067611109999", "https://www.google.com/maps/?q=47.5840833330001,-52.7067611109999")</f>
        <v>https://www.google.com/maps/?q=47.5840833330001,-52.7067611109999</v>
      </c>
      <c r="I118" s="84" t="s">
        <v>7573</v>
      </c>
    </row>
    <row r="119" spans="1:12" ht="29" hidden="1" x14ac:dyDescent="0.35">
      <c r="A119" t="s">
        <v>8010</v>
      </c>
      <c r="B119" t="s">
        <v>8011</v>
      </c>
      <c r="C119" t="s">
        <v>8012</v>
      </c>
      <c r="D119" t="s">
        <v>8013</v>
      </c>
      <c r="E119" s="33" t="s">
        <v>28</v>
      </c>
      <c r="F119" s="34" t="s">
        <v>8014</v>
      </c>
      <c r="H119" s="36" t="str">
        <f>HYPERLINK("https://www.google.com/maps/?q=47.5014722220001,-52.761686111", "https://www.google.com/maps/?q=47.5014722220001,-52.761686111")</f>
        <v>https://www.google.com/maps/?q=47.5014722220001,-52.761686111</v>
      </c>
      <c r="I119" s="84" t="s">
        <v>7573</v>
      </c>
    </row>
    <row r="120" spans="1:12" ht="29" hidden="1" x14ac:dyDescent="0.35">
      <c r="A120" t="s">
        <v>8015</v>
      </c>
      <c r="B120" t="s">
        <v>8016</v>
      </c>
      <c r="C120" t="s">
        <v>8017</v>
      </c>
      <c r="D120" t="s">
        <v>8018</v>
      </c>
      <c r="E120" s="33" t="s">
        <v>28</v>
      </c>
      <c r="F120" s="34" t="s">
        <v>8019</v>
      </c>
      <c r="H120" s="36" t="str">
        <f>HYPERLINK("https://www.google.com/maps/?q=47.5780583330001,-52.8652749999999", "https://www.google.com/maps/?q=47.5780583330001,-52.8652749999999")</f>
        <v>https://www.google.com/maps/?q=47.5780583330001,-52.8652749999999</v>
      </c>
      <c r="I120" s="84" t="s">
        <v>1210</v>
      </c>
    </row>
    <row r="121" spans="1:12" ht="54" customHeight="1" x14ac:dyDescent="0.35">
      <c r="A121" t="s">
        <v>8020</v>
      </c>
      <c r="B121" t="s">
        <v>8021</v>
      </c>
      <c r="C121" t="s">
        <v>8022</v>
      </c>
      <c r="D121" t="s">
        <v>8023</v>
      </c>
      <c r="E121" s="33" t="s">
        <v>28</v>
      </c>
      <c r="F121" s="34" t="s">
        <v>8024</v>
      </c>
      <c r="G121" s="35" t="s">
        <v>1253</v>
      </c>
      <c r="H121" s="53" t="s">
        <v>8025</v>
      </c>
      <c r="I121" s="37" t="s">
        <v>8026</v>
      </c>
      <c r="J121" s="37" t="s">
        <v>8027</v>
      </c>
      <c r="K121" s="104" t="s">
        <v>8028</v>
      </c>
    </row>
    <row r="122" spans="1:12" ht="29" x14ac:dyDescent="0.35">
      <c r="A122" t="s">
        <v>8029</v>
      </c>
      <c r="B122" t="s">
        <v>8030</v>
      </c>
      <c r="C122" t="s">
        <v>8031</v>
      </c>
      <c r="D122" t="s">
        <v>8032</v>
      </c>
      <c r="E122" s="33" t="s">
        <v>50</v>
      </c>
      <c r="F122" s="34" t="s">
        <v>8033</v>
      </c>
      <c r="G122" s="35" t="s">
        <v>1253</v>
      </c>
      <c r="H122" s="36" t="str">
        <f>HYPERLINK("https://www.google.com/maps/?q=47.6144472220001,-52.719175", "https://www.google.com/maps/?q=47.6144472220001,-52.719175")</f>
        <v>https://www.google.com/maps/?q=47.6144472220001,-52.719175</v>
      </c>
      <c r="I122" s="37" t="s">
        <v>8034</v>
      </c>
      <c r="J122" s="37" t="s">
        <v>8035</v>
      </c>
      <c r="K122" s="104" t="s">
        <v>8036</v>
      </c>
    </row>
    <row r="123" spans="1:12" ht="29" hidden="1" x14ac:dyDescent="0.35">
      <c r="A123" t="s">
        <v>8037</v>
      </c>
      <c r="B123" t="s">
        <v>7959</v>
      </c>
      <c r="C123" t="s">
        <v>8038</v>
      </c>
      <c r="D123" t="s">
        <v>7961</v>
      </c>
      <c r="E123" s="33" t="s">
        <v>461</v>
      </c>
      <c r="F123" s="34" t="s">
        <v>7962</v>
      </c>
      <c r="H123" s="36" t="str">
        <f>HYPERLINK("https://www.google.com/maps/?q=47.6205,-52.9614", "https://www.google.com/maps/?q=47.6205,-52.9614")</f>
        <v>https://www.google.com/maps/?q=47.6205,-52.9614</v>
      </c>
      <c r="I123" s="84" t="s">
        <v>1210</v>
      </c>
    </row>
    <row r="124" spans="1:12" ht="29" x14ac:dyDescent="0.35">
      <c r="A124" t="s">
        <v>8039</v>
      </c>
      <c r="B124" t="s">
        <v>8040</v>
      </c>
      <c r="C124" t="s">
        <v>8041</v>
      </c>
      <c r="D124" t="s">
        <v>8042</v>
      </c>
      <c r="E124" s="33" t="s">
        <v>66</v>
      </c>
      <c r="F124" s="34" t="s">
        <v>8033</v>
      </c>
      <c r="G124" s="35" t="s">
        <v>1253</v>
      </c>
      <c r="H124" s="36" t="str">
        <f>HYPERLINK("https://www.google.com/maps/?q=47.614438889,-52.7191694439999", "https://www.google.com/maps/?q=47.614438889,-52.7191694439999")</f>
        <v>https://www.google.com/maps/?q=47.614438889,-52.7191694439999</v>
      </c>
      <c r="I124" s="37" t="s">
        <v>8034</v>
      </c>
      <c r="J124" s="37" t="s">
        <v>8035</v>
      </c>
      <c r="K124" s="104" t="s">
        <v>8036</v>
      </c>
    </row>
    <row r="125" spans="1:12" ht="29" x14ac:dyDescent="0.35">
      <c r="A125" t="s">
        <v>8043</v>
      </c>
      <c r="B125" t="s">
        <v>8044</v>
      </c>
      <c r="C125" t="s">
        <v>8045</v>
      </c>
      <c r="D125" t="s">
        <v>8046</v>
      </c>
      <c r="E125" s="33" t="s">
        <v>66</v>
      </c>
      <c r="F125" s="34" t="s">
        <v>8047</v>
      </c>
      <c r="G125" s="35" t="s">
        <v>1253</v>
      </c>
      <c r="H125" s="36" t="str">
        <f>HYPERLINK("https://www.google.com/maps/?q=47.507777778,-52.7916638889999", "https://www.google.com/maps/?q=47.507777778,-52.7916638889999")</f>
        <v>https://www.google.com/maps/?q=47.507777778,-52.7916638889999</v>
      </c>
      <c r="I125" s="37" t="s">
        <v>8048</v>
      </c>
      <c r="J125" s="37" t="s">
        <v>8049</v>
      </c>
      <c r="K125" s="104" t="s">
        <v>8050</v>
      </c>
    </row>
    <row r="126" spans="1:12" ht="29" x14ac:dyDescent="0.35">
      <c r="A126" t="s">
        <v>8051</v>
      </c>
      <c r="B126" t="s">
        <v>8052</v>
      </c>
      <c r="C126" t="s">
        <v>8053</v>
      </c>
      <c r="D126" t="s">
        <v>8054</v>
      </c>
      <c r="E126" s="33" t="s">
        <v>66</v>
      </c>
      <c r="F126" s="34" t="s">
        <v>8019</v>
      </c>
      <c r="G126" s="35" t="s">
        <v>1356</v>
      </c>
      <c r="H126" s="36" t="str">
        <f>HYPERLINK("https://www.google.com/maps/?q=47.578055556,-52.8652777779999", "https://www.google.com/maps/?q=47.578055556,-52.8652777779999")</f>
        <v>https://www.google.com/maps/?q=47.578055556,-52.8652777779999</v>
      </c>
      <c r="I126" s="37" t="s">
        <v>8055</v>
      </c>
      <c r="J126" s="37" t="s">
        <v>8056</v>
      </c>
      <c r="K126" s="104" t="s">
        <v>8057</v>
      </c>
    </row>
    <row r="127" spans="1:12" ht="29" x14ac:dyDescent="0.35">
      <c r="A127" t="s">
        <v>8058</v>
      </c>
      <c r="B127" t="s">
        <v>8059</v>
      </c>
      <c r="C127" t="s">
        <v>8060</v>
      </c>
      <c r="D127" t="s">
        <v>8061</v>
      </c>
      <c r="E127" s="33" t="s">
        <v>28</v>
      </c>
      <c r="F127" s="34" t="s">
        <v>8062</v>
      </c>
      <c r="G127" s="35" t="s">
        <v>1253</v>
      </c>
      <c r="H127" s="36" t="str">
        <f>HYPERLINK("https://www.google.com/maps/?q=47.517063889,-52.871141667", "https://www.google.com/maps/?q=47.517063889,-52.871141667")</f>
        <v>https://www.google.com/maps/?q=47.517063889,-52.871141667</v>
      </c>
      <c r="I127" s="37" t="s">
        <v>8063</v>
      </c>
      <c r="J127" s="37" t="s">
        <v>8064</v>
      </c>
      <c r="K127" s="104" t="s">
        <v>8065</v>
      </c>
    </row>
    <row r="128" spans="1:12" ht="43.5" x14ac:dyDescent="0.35">
      <c r="A128" t="s">
        <v>8066</v>
      </c>
      <c r="B128" t="s">
        <v>8067</v>
      </c>
      <c r="C128" t="s">
        <v>8068</v>
      </c>
      <c r="D128" t="s">
        <v>8069</v>
      </c>
      <c r="E128" s="33" t="s">
        <v>28</v>
      </c>
      <c r="F128" s="34" t="s">
        <v>8070</v>
      </c>
      <c r="G128" s="35" t="s">
        <v>1356</v>
      </c>
      <c r="H128" s="36" t="str">
        <f>HYPERLINK("https://www.google.com/maps/?q=49.1435277780001,-55.3640722219999", "https://www.google.com/maps/?q=49.1435277780001,-55.3640722219999")</f>
        <v>https://www.google.com/maps/?q=49.1435277780001,-55.3640722219999</v>
      </c>
      <c r="I128" s="37" t="s">
        <v>8071</v>
      </c>
      <c r="J128" s="37" t="s">
        <v>8072</v>
      </c>
      <c r="K128" s="104" t="s">
        <v>8073</v>
      </c>
    </row>
    <row r="129" spans="1:11" ht="29" x14ac:dyDescent="0.35">
      <c r="A129" t="s">
        <v>8074</v>
      </c>
      <c r="B129" t="s">
        <v>8075</v>
      </c>
      <c r="C129" t="s">
        <v>8076</v>
      </c>
      <c r="D129" t="s">
        <v>8077</v>
      </c>
      <c r="E129" s="33" t="s">
        <v>66</v>
      </c>
      <c r="F129" s="34" t="s">
        <v>7628</v>
      </c>
      <c r="G129" s="35" t="s">
        <v>1356</v>
      </c>
      <c r="H129" s="36" t="str">
        <f>HYPERLINK("https://www.google.com/maps/?q=47.5332750000001,-52.790713889", "https://www.google.com/maps/?q=47.5332750000001,-52.790713889")</f>
        <v>https://www.google.com/maps/?q=47.5332750000001,-52.790713889</v>
      </c>
      <c r="I129" s="37" t="s">
        <v>8078</v>
      </c>
      <c r="J129" s="37" t="s">
        <v>8079</v>
      </c>
      <c r="K129" s="104" t="s">
        <v>8080</v>
      </c>
    </row>
    <row r="130" spans="1:11" ht="29" x14ac:dyDescent="0.35">
      <c r="A130" t="s">
        <v>8081</v>
      </c>
      <c r="B130" t="s">
        <v>8082</v>
      </c>
      <c r="C130" t="s">
        <v>8083</v>
      </c>
      <c r="D130" t="s">
        <v>8084</v>
      </c>
      <c r="E130" s="33" t="s">
        <v>28</v>
      </c>
      <c r="F130" s="34" t="s">
        <v>8085</v>
      </c>
      <c r="G130" s="35" t="s">
        <v>1356</v>
      </c>
      <c r="H130" s="36" t="str">
        <f>HYPERLINK("https://www.google.com/maps/?q=47.6547194440001,-52.728888889", "https://www.google.com/maps/?q=47.6547194440001,-52.728888889")</f>
        <v>https://www.google.com/maps/?q=47.6547194440001,-52.728888889</v>
      </c>
      <c r="I130" s="37" t="s">
        <v>8086</v>
      </c>
      <c r="J130" s="37" t="s">
        <v>8087</v>
      </c>
      <c r="K130" s="104" t="s">
        <v>8088</v>
      </c>
    </row>
    <row r="131" spans="1:11" ht="29" hidden="1" x14ac:dyDescent="0.35">
      <c r="A131" t="s">
        <v>8089</v>
      </c>
      <c r="B131" t="s">
        <v>8090</v>
      </c>
      <c r="C131" t="s">
        <v>8091</v>
      </c>
      <c r="D131" t="s">
        <v>8092</v>
      </c>
      <c r="E131" s="33" t="s">
        <v>28</v>
      </c>
      <c r="F131" s="34" t="s">
        <v>8093</v>
      </c>
      <c r="H131" s="36" t="str">
        <f>HYPERLINK("https://www.google.com/maps/?q=47.765233333,-53.4775444439999", "https://www.google.com/maps/?q=47.765233333,-53.4775444439999")</f>
        <v>https://www.google.com/maps/?q=47.765233333,-53.4775444439999</v>
      </c>
      <c r="I131" s="84" t="s">
        <v>7889</v>
      </c>
    </row>
    <row r="132" spans="1:11" ht="43.5" x14ac:dyDescent="0.35">
      <c r="A132" t="s">
        <v>8094</v>
      </c>
      <c r="B132" t="s">
        <v>8095</v>
      </c>
      <c r="C132" t="s">
        <v>8096</v>
      </c>
      <c r="D132" t="s">
        <v>8097</v>
      </c>
      <c r="E132" s="33" t="s">
        <v>28</v>
      </c>
      <c r="F132" s="34" t="s">
        <v>8098</v>
      </c>
      <c r="G132" s="35" t="s">
        <v>1253</v>
      </c>
      <c r="H132" s="36" t="str">
        <f>HYPERLINK("https://www.google.com/maps/?q=48.657147222,-53.0972055559999", "https://www.google.com/maps/?q=48.657147222,-53.0972055559999")</f>
        <v>https://www.google.com/maps/?q=48.657147222,-53.0972055559999</v>
      </c>
      <c r="I132" s="37" t="s">
        <v>8099</v>
      </c>
      <c r="J132" s="37" t="s">
        <v>8100</v>
      </c>
      <c r="K132" s="104" t="s">
        <v>8101</v>
      </c>
    </row>
    <row r="133" spans="1:11" ht="29" x14ac:dyDescent="0.35">
      <c r="A133" t="s">
        <v>8102</v>
      </c>
      <c r="B133" t="s">
        <v>8103</v>
      </c>
      <c r="C133" t="s">
        <v>8104</v>
      </c>
      <c r="D133" t="s">
        <v>8105</v>
      </c>
      <c r="E133" s="33" t="s">
        <v>28</v>
      </c>
      <c r="F133" s="34" t="s">
        <v>8106</v>
      </c>
      <c r="G133" s="35" t="s">
        <v>1253</v>
      </c>
      <c r="H133" s="36" t="str">
        <f>HYPERLINK("https://www.google.com/maps/?q=47.662238889,-54.7322", "https://www.google.com/maps/?q=47.662238889,-54.7322")</f>
        <v>https://www.google.com/maps/?q=47.662238889,-54.7322</v>
      </c>
      <c r="I133" s="37" t="s">
        <v>8107</v>
      </c>
      <c r="J133" s="37" t="s">
        <v>8108</v>
      </c>
      <c r="K133" s="104" t="s">
        <v>8109</v>
      </c>
    </row>
    <row r="134" spans="1:11" ht="29" hidden="1" x14ac:dyDescent="0.35">
      <c r="A134" t="s">
        <v>8110</v>
      </c>
      <c r="B134" t="s">
        <v>8111</v>
      </c>
      <c r="C134" t="s">
        <v>8112</v>
      </c>
      <c r="D134" t="s">
        <v>8113</v>
      </c>
      <c r="E134" s="33" t="s">
        <v>28</v>
      </c>
      <c r="F134" s="34" t="s">
        <v>8114</v>
      </c>
      <c r="H134" s="36" t="str">
        <f>HYPERLINK("https://www.google.com/maps/?q=47.561766667,-52.711333333", "https://www.google.com/maps/?q=47.561766667,-52.711333333")</f>
        <v>https://www.google.com/maps/?q=47.561766667,-52.711333333</v>
      </c>
      <c r="I134" s="84" t="s">
        <v>8115</v>
      </c>
    </row>
    <row r="135" spans="1:11" ht="29" hidden="1" x14ac:dyDescent="0.35">
      <c r="A135" t="s">
        <v>8116</v>
      </c>
      <c r="B135" t="s">
        <v>8117</v>
      </c>
      <c r="C135" t="s">
        <v>8118</v>
      </c>
      <c r="D135" t="s">
        <v>8119</v>
      </c>
      <c r="E135" s="33" t="s">
        <v>28</v>
      </c>
      <c r="F135" s="34" t="s">
        <v>8120</v>
      </c>
      <c r="H135" s="36" t="str">
        <f>HYPERLINK("https://www.google.com/maps/?q=47.4538805560001,-52.774919444", "https://www.google.com/maps/?q=47.4538805560001,-52.774919444")</f>
        <v>https://www.google.com/maps/?q=47.4538805560001,-52.774919444</v>
      </c>
      <c r="I135" s="84" t="s">
        <v>8115</v>
      </c>
    </row>
    <row r="136" spans="1:11" ht="29" hidden="1" x14ac:dyDescent="0.35">
      <c r="A136" t="s">
        <v>8121</v>
      </c>
      <c r="B136" t="s">
        <v>8122</v>
      </c>
      <c r="C136" t="s">
        <v>8123</v>
      </c>
      <c r="D136" t="s">
        <v>8124</v>
      </c>
      <c r="E136" s="33" t="s">
        <v>28</v>
      </c>
      <c r="F136" s="34" t="s">
        <v>8125</v>
      </c>
      <c r="H136" s="36" t="str">
        <f>HYPERLINK("https://www.google.com/maps/?q=51.3689000000001,-55.594388889", "https://www.google.com/maps/?q=51.3689000000001,-55.594388889")</f>
        <v>https://www.google.com/maps/?q=51.3689000000001,-55.594388889</v>
      </c>
      <c r="I136" s="84" t="s">
        <v>7889</v>
      </c>
    </row>
    <row r="137" spans="1:11" ht="29" hidden="1" x14ac:dyDescent="0.35">
      <c r="A137" t="s">
        <v>8126</v>
      </c>
      <c r="B137" t="s">
        <v>8127</v>
      </c>
      <c r="C137" t="s">
        <v>8128</v>
      </c>
      <c r="D137" t="s">
        <v>8129</v>
      </c>
      <c r="E137" s="33" t="s">
        <v>28</v>
      </c>
      <c r="F137" s="34" t="s">
        <v>8130</v>
      </c>
      <c r="H137" s="36" t="str">
        <f>HYPERLINK("https://www.google.com/maps/?q=47.6900666670001,-53.2283027779999", "https://www.google.com/maps/?q=47.6900666670001,-53.2283027779999")</f>
        <v>https://www.google.com/maps/?q=47.6900666670001,-53.2283027779999</v>
      </c>
      <c r="I137" s="84" t="s">
        <v>8115</v>
      </c>
    </row>
    <row r="138" spans="1:11" ht="43.5" x14ac:dyDescent="0.35">
      <c r="A138" t="s">
        <v>8131</v>
      </c>
      <c r="B138" t="s">
        <v>8132</v>
      </c>
      <c r="C138" t="s">
        <v>8133</v>
      </c>
      <c r="D138" t="s">
        <v>8134</v>
      </c>
      <c r="E138" s="33" t="s">
        <v>28</v>
      </c>
      <c r="F138" s="34" t="s">
        <v>8135</v>
      </c>
      <c r="G138" s="35" t="s">
        <v>1147</v>
      </c>
      <c r="H138" s="36" t="str">
        <f>HYPERLINK("https://www.google.com/maps/?q=47.5600000000001,-52.7114", "https://www.google.com/maps/?q=47.5600000000001,-52.7114")</f>
        <v>https://www.google.com/maps/?q=47.5600000000001,-52.7114</v>
      </c>
      <c r="I138" s="37" t="s">
        <v>8136</v>
      </c>
      <c r="J138" s="37" t="s">
        <v>8137</v>
      </c>
      <c r="K138" s="104" t="s">
        <v>8138</v>
      </c>
    </row>
    <row r="139" spans="1:11" hidden="1" x14ac:dyDescent="0.35">
      <c r="A139" t="s">
        <v>8139</v>
      </c>
      <c r="B139" t="s">
        <v>8140</v>
      </c>
      <c r="C139" t="s">
        <v>8141</v>
      </c>
      <c r="D139" t="s">
        <v>8142</v>
      </c>
      <c r="E139" s="33" t="s">
        <v>44</v>
      </c>
      <c r="F139" s="34" t="s">
        <v>7504</v>
      </c>
      <c r="H139" s="36" t="str">
        <f>HYPERLINK("https://www.google.com/maps/?q=48.3381277780001,-58.505711111", "https://www.google.com/maps/?q=48.3381277780001,-58.505711111")</f>
        <v>https://www.google.com/maps/?q=48.3381277780001,-58.505711111</v>
      </c>
      <c r="I139" s="84" t="s">
        <v>1210</v>
      </c>
    </row>
    <row r="140" spans="1:11" ht="58" x14ac:dyDescent="0.35">
      <c r="A140" t="s">
        <v>8143</v>
      </c>
      <c r="B140" t="s">
        <v>8144</v>
      </c>
      <c r="C140" t="s">
        <v>8145</v>
      </c>
      <c r="D140" t="s">
        <v>8146</v>
      </c>
      <c r="E140" s="33" t="s">
        <v>44</v>
      </c>
      <c r="F140" s="34" t="s">
        <v>7366</v>
      </c>
      <c r="G140" s="35" t="s">
        <v>1253</v>
      </c>
      <c r="H140" s="36" t="str">
        <f>HYPERLINK("https://www.google.com/maps/?q=47.2359500000001,-52.8742333329999", "https://www.google.com/maps/?q=47.2359500000001,-52.8742333329999")</f>
        <v>https://www.google.com/maps/?q=47.2359500000001,-52.8742333329999</v>
      </c>
      <c r="I140" s="37" t="s">
        <v>8147</v>
      </c>
      <c r="J140" s="37" t="s">
        <v>8148</v>
      </c>
      <c r="K140" s="104" t="s">
        <v>8149</v>
      </c>
    </row>
    <row r="141" spans="1:11" ht="29" x14ac:dyDescent="0.35">
      <c r="A141" t="s">
        <v>8150</v>
      </c>
      <c r="B141" t="s">
        <v>8151</v>
      </c>
      <c r="C141" t="s">
        <v>8152</v>
      </c>
      <c r="D141" t="s">
        <v>8153</v>
      </c>
      <c r="E141" s="33" t="s">
        <v>44</v>
      </c>
      <c r="F141" s="34" t="s">
        <v>8154</v>
      </c>
      <c r="G141" s="35" t="s">
        <v>1253</v>
      </c>
      <c r="H141" s="36" t="str">
        <f>HYPERLINK("https://www.google.com/maps/?q=49.287713889,-53.580494444", "https://www.google.com/maps/?q=49.287713889,-53.580494444")</f>
        <v>https://www.google.com/maps/?q=49.287713889,-53.580494444</v>
      </c>
      <c r="I141" s="37" t="s">
        <v>8155</v>
      </c>
      <c r="J141" s="37" t="s">
        <v>8156</v>
      </c>
      <c r="K141" s="104" t="s">
        <v>8157</v>
      </c>
    </row>
    <row r="142" spans="1:11" hidden="1" x14ac:dyDescent="0.35">
      <c r="A142" t="s">
        <v>8158</v>
      </c>
      <c r="B142" t="s">
        <v>8159</v>
      </c>
      <c r="C142" t="s">
        <v>8160</v>
      </c>
      <c r="D142" t="s">
        <v>8161</v>
      </c>
      <c r="E142" s="33" t="s">
        <v>44</v>
      </c>
      <c r="F142" s="34" t="s">
        <v>8162</v>
      </c>
      <c r="H142" s="36" t="str">
        <f>HYPERLINK("https://www.google.com/maps/?q=46.7394444440001,-53.387777778", "https://www.google.com/maps/?q=46.7394444440001,-53.387777778")</f>
        <v>https://www.google.com/maps/?q=46.7394444440001,-53.387777778</v>
      </c>
      <c r="I142" s="84" t="s">
        <v>8115</v>
      </c>
    </row>
    <row r="143" spans="1:11" hidden="1" x14ac:dyDescent="0.35">
      <c r="A143" t="s">
        <v>8163</v>
      </c>
      <c r="B143" t="s">
        <v>8164</v>
      </c>
      <c r="C143" t="s">
        <v>8165</v>
      </c>
      <c r="D143" t="s">
        <v>8166</v>
      </c>
      <c r="E143" s="33" t="s">
        <v>44</v>
      </c>
      <c r="F143" s="34" t="s">
        <v>8167</v>
      </c>
      <c r="H143" s="36" t="str">
        <f>HYPERLINK("https://www.google.com/maps/?q=49.4200888890001,-54.2893472219999", "https://www.google.com/maps/?q=49.4200888890001,-54.2893472219999")</f>
        <v>https://www.google.com/maps/?q=49.4200888890001,-54.2893472219999</v>
      </c>
      <c r="I143" s="84" t="s">
        <v>1210</v>
      </c>
    </row>
    <row r="144" spans="1:11" ht="43.5" hidden="1" x14ac:dyDescent="0.35">
      <c r="A144" t="s">
        <v>8168</v>
      </c>
      <c r="B144" t="s">
        <v>8169</v>
      </c>
      <c r="C144" t="s">
        <v>8170</v>
      </c>
      <c r="D144" t="s">
        <v>8171</v>
      </c>
      <c r="E144" s="33" t="s">
        <v>50</v>
      </c>
      <c r="F144" s="34" t="s">
        <v>7480</v>
      </c>
      <c r="H144" s="36" t="str">
        <f>HYPERLINK("https://www.google.com/maps/?q=47.5739055560001,-52.733913889", "https://www.google.com/maps/?q=47.5739055560001,-52.733913889")</f>
        <v>https://www.google.com/maps/?q=47.5739055560001,-52.733913889</v>
      </c>
      <c r="I144" s="84" t="s">
        <v>8115</v>
      </c>
    </row>
    <row r="145" spans="1:11" ht="29" x14ac:dyDescent="0.35">
      <c r="A145" t="s">
        <v>8172</v>
      </c>
      <c r="B145" t="s">
        <v>8173</v>
      </c>
      <c r="C145" t="s">
        <v>8174</v>
      </c>
      <c r="D145" t="s">
        <v>8175</v>
      </c>
      <c r="E145" s="33" t="s">
        <v>28</v>
      </c>
      <c r="F145" s="34" t="s">
        <v>8176</v>
      </c>
      <c r="G145" s="35" t="s">
        <v>1253</v>
      </c>
      <c r="H145" s="36" t="str">
        <f>HYPERLINK("https://www.google.com/maps/?q=47.583666667,-52.742308333", "https://www.google.com/maps/?q=47.583666667,-52.742308333")</f>
        <v>https://www.google.com/maps/?q=47.583666667,-52.742308333</v>
      </c>
      <c r="I145" s="37" t="s">
        <v>8177</v>
      </c>
      <c r="J145" s="37" t="s">
        <v>8178</v>
      </c>
      <c r="K145" s="104" t="s">
        <v>8179</v>
      </c>
    </row>
    <row r="146" spans="1:11" ht="29" hidden="1" x14ac:dyDescent="0.35">
      <c r="A146" t="s">
        <v>8180</v>
      </c>
      <c r="B146" t="s">
        <v>8181</v>
      </c>
      <c r="C146" t="s">
        <v>8182</v>
      </c>
      <c r="D146" t="s">
        <v>8183</v>
      </c>
      <c r="E146" s="33" t="s">
        <v>28</v>
      </c>
      <c r="F146" s="34" t="s">
        <v>7736</v>
      </c>
      <c r="H146" s="36" t="str">
        <f>HYPERLINK("https://www.google.com/maps/?q=49.2866638890001,-56.760830556", "https://www.google.com/maps/?q=49.2866638890001,-56.760830556")</f>
        <v>https://www.google.com/maps/?q=49.2866638890001,-56.760830556</v>
      </c>
      <c r="I146" s="84" t="s">
        <v>1210</v>
      </c>
    </row>
    <row r="147" spans="1:11" ht="43.5" x14ac:dyDescent="0.35">
      <c r="A147" t="s">
        <v>8184</v>
      </c>
      <c r="B147" t="s">
        <v>8185</v>
      </c>
      <c r="C147" t="s">
        <v>8186</v>
      </c>
      <c r="D147" t="s">
        <v>8187</v>
      </c>
      <c r="E147" s="33" t="s">
        <v>28</v>
      </c>
      <c r="F147" s="34" t="s">
        <v>8188</v>
      </c>
      <c r="G147" s="35" t="s">
        <v>1253</v>
      </c>
      <c r="H147" s="36" t="str">
        <f>HYPERLINK("https://www.google.com/maps/?q=47.770277778,-53.9887277779999", "https://www.google.com/maps/?q=47.770277778,-53.9887277779999")</f>
        <v>https://www.google.com/maps/?q=47.770277778,-53.9887277779999</v>
      </c>
      <c r="I147" s="37" t="s">
        <v>8189</v>
      </c>
      <c r="J147" s="37" t="s">
        <v>8190</v>
      </c>
      <c r="K147" s="104" t="s">
        <v>8191</v>
      </c>
    </row>
    <row r="148" spans="1:11" ht="43.5" x14ac:dyDescent="0.35">
      <c r="A148" t="s">
        <v>8192</v>
      </c>
      <c r="B148" t="s">
        <v>8193</v>
      </c>
      <c r="C148" t="s">
        <v>8194</v>
      </c>
      <c r="D148" t="s">
        <v>8195</v>
      </c>
      <c r="E148" s="33" t="s">
        <v>28</v>
      </c>
      <c r="F148" s="34" t="s">
        <v>8196</v>
      </c>
      <c r="G148" s="35" t="s">
        <v>1138</v>
      </c>
      <c r="H148" s="36" t="str">
        <f>HYPERLINK("https://www.google.com/maps/?q=48.9847,-54.8502999999999", "https://www.google.com/maps/?q=48.9847,-54.8502999999999")</f>
        <v>https://www.google.com/maps/?q=48.9847,-54.8502999999999</v>
      </c>
      <c r="I148" s="37" t="s">
        <v>8197</v>
      </c>
      <c r="J148" s="37" t="s">
        <v>8198</v>
      </c>
      <c r="K148" s="104" t="s">
        <v>8199</v>
      </c>
    </row>
    <row r="149" spans="1:11" ht="29" hidden="1" x14ac:dyDescent="0.35">
      <c r="A149" t="s">
        <v>8200</v>
      </c>
      <c r="B149" t="s">
        <v>8201</v>
      </c>
      <c r="C149" t="s">
        <v>8202</v>
      </c>
      <c r="D149" t="s">
        <v>8203</v>
      </c>
      <c r="E149" s="33" t="s">
        <v>28</v>
      </c>
      <c r="F149" s="34" t="s">
        <v>8204</v>
      </c>
      <c r="H149" s="36" t="str">
        <f>HYPERLINK("https://www.google.com/maps/?q=49.6451027780001,-54.76185", "https://www.google.com/maps/?q=49.6451027780001,-54.76185")</f>
        <v>https://www.google.com/maps/?q=49.6451027780001,-54.76185</v>
      </c>
      <c r="I149" s="84" t="s">
        <v>8115</v>
      </c>
    </row>
    <row r="150" spans="1:11" hidden="1" x14ac:dyDescent="0.35">
      <c r="A150" t="s">
        <v>8205</v>
      </c>
      <c r="B150" t="s">
        <v>8206</v>
      </c>
      <c r="C150" t="s">
        <v>8207</v>
      </c>
      <c r="D150" t="s">
        <v>8208</v>
      </c>
      <c r="E150" s="33" t="s">
        <v>28</v>
      </c>
      <c r="F150" s="34" t="s">
        <v>8209</v>
      </c>
      <c r="H150" s="36" t="str">
        <f>HYPERLINK("https://www.google.com/maps/?q=52.5474305560001,-56.302613889", "https://www.google.com/maps/?q=52.5474305560001,-56.302613889")</f>
        <v>https://www.google.com/maps/?q=52.5474305560001,-56.302613889</v>
      </c>
      <c r="I150" s="84" t="s">
        <v>8115</v>
      </c>
    </row>
    <row r="151" spans="1:11" ht="29" hidden="1" x14ac:dyDescent="0.35">
      <c r="A151" t="s">
        <v>8210</v>
      </c>
      <c r="B151" t="s">
        <v>8211</v>
      </c>
      <c r="C151" t="s">
        <v>8212</v>
      </c>
      <c r="D151" t="s">
        <v>8213</v>
      </c>
      <c r="E151" s="33" t="s">
        <v>28</v>
      </c>
      <c r="F151" s="34" t="s">
        <v>8214</v>
      </c>
      <c r="H151" s="36" t="str">
        <f>HYPERLINK("https://www.google.com/maps/?q=47.587008333,-52.720238889", "https://www.google.com/maps/?q=47.587008333,-52.720238889")</f>
        <v>https://www.google.com/maps/?q=47.587008333,-52.720238889</v>
      </c>
      <c r="I151" s="84" t="s">
        <v>8115</v>
      </c>
    </row>
    <row r="152" spans="1:11" hidden="1" x14ac:dyDescent="0.35">
      <c r="A152" t="s">
        <v>8215</v>
      </c>
      <c r="B152" t="s">
        <v>8216</v>
      </c>
      <c r="C152" t="s">
        <v>8217</v>
      </c>
      <c r="D152" t="s">
        <v>8218</v>
      </c>
      <c r="E152" s="33" t="s">
        <v>28</v>
      </c>
      <c r="F152" s="34" t="s">
        <v>8167</v>
      </c>
      <c r="H152" s="36" t="str">
        <f>HYPERLINK("https://www.google.com/maps/?q=49.4203000000001,-54.2895", "https://www.google.com/maps/?q=49.4203000000001,-54.2895")</f>
        <v>https://www.google.com/maps/?q=49.4203000000001,-54.2895</v>
      </c>
      <c r="I152" s="84" t="s">
        <v>1210</v>
      </c>
    </row>
    <row r="153" spans="1:11" ht="29" x14ac:dyDescent="0.35">
      <c r="A153" t="s">
        <v>8219</v>
      </c>
      <c r="B153" t="s">
        <v>8220</v>
      </c>
      <c r="C153" t="s">
        <v>8221</v>
      </c>
      <c r="D153" t="s">
        <v>8222</v>
      </c>
      <c r="E153" s="33" t="s">
        <v>28</v>
      </c>
      <c r="F153" s="34" t="s">
        <v>8223</v>
      </c>
      <c r="G153" s="35" t="s">
        <v>1253</v>
      </c>
      <c r="H153" s="36" t="str">
        <f>HYPERLINK("https://www.google.com/maps/?q=48.940763889,-57.972813889", "https://www.google.com/maps/?q=48.940763889,-57.972813889")</f>
        <v>https://www.google.com/maps/?q=48.940763889,-57.972813889</v>
      </c>
      <c r="I153" s="37" t="s">
        <v>8224</v>
      </c>
      <c r="J153" s="37" t="s">
        <v>8225</v>
      </c>
      <c r="K153" s="104" t="s">
        <v>8226</v>
      </c>
    </row>
    <row r="154" spans="1:11" ht="29" x14ac:dyDescent="0.35">
      <c r="A154" t="s">
        <v>8227</v>
      </c>
      <c r="B154" t="s">
        <v>8228</v>
      </c>
      <c r="C154" t="s">
        <v>8229</v>
      </c>
      <c r="D154" t="s">
        <v>8230</v>
      </c>
      <c r="E154" s="33" t="s">
        <v>28</v>
      </c>
      <c r="F154" s="34" t="s">
        <v>8231</v>
      </c>
      <c r="G154" s="35" t="s">
        <v>1166</v>
      </c>
      <c r="H154" s="36" t="str">
        <f>HYPERLINK("https://www.google.com/maps/?q=49.1141416670001,-58.068747222", "https://www.google.com/maps/?q=49.1141416670001,-58.068747222")</f>
        <v>https://www.google.com/maps/?q=49.1141416670001,-58.068747222</v>
      </c>
      <c r="I154" s="37" t="s">
        <v>8232</v>
      </c>
      <c r="J154" s="37" t="s">
        <v>8233</v>
      </c>
      <c r="K154" s="104" t="s">
        <v>8234</v>
      </c>
    </row>
    <row r="155" spans="1:11" ht="29" hidden="1" x14ac:dyDescent="0.35">
      <c r="A155" t="s">
        <v>6229</v>
      </c>
      <c r="B155" t="s">
        <v>8235</v>
      </c>
      <c r="C155" t="s">
        <v>6231</v>
      </c>
      <c r="D155" t="s">
        <v>8236</v>
      </c>
      <c r="E155" s="33" t="s">
        <v>28</v>
      </c>
      <c r="F155" s="34" t="s">
        <v>8237</v>
      </c>
      <c r="H155" s="36" t="str">
        <f>HYPERLINK("https://www.google.com/maps/?q=47.512219444,-54.838611111", "https://www.google.com/maps/?q=47.512219444,-54.838611111")</f>
        <v>https://www.google.com/maps/?q=47.512219444,-54.838611111</v>
      </c>
      <c r="I155" s="84" t="s">
        <v>8115</v>
      </c>
    </row>
    <row r="156" spans="1:11" hidden="1" x14ac:dyDescent="0.35">
      <c r="A156" t="s">
        <v>8238</v>
      </c>
      <c r="B156" t="s">
        <v>8239</v>
      </c>
      <c r="C156" t="s">
        <v>8240</v>
      </c>
      <c r="D156" t="s">
        <v>8241</v>
      </c>
      <c r="E156" s="33" t="s">
        <v>28</v>
      </c>
      <c r="F156" s="34" t="s">
        <v>8242</v>
      </c>
      <c r="G156" s="35" t="s">
        <v>1253</v>
      </c>
      <c r="H156" s="36" t="str">
        <f>HYPERLINK("https://www.google.com/maps/?q=49.085438889,-58.374041667", "https://www.google.com/maps/?q=49.085438889,-58.374041667")</f>
        <v>https://www.google.com/maps/?q=49.085438889,-58.374041667</v>
      </c>
      <c r="I156" s="84" t="s">
        <v>1210</v>
      </c>
    </row>
    <row r="157" spans="1:11" ht="29" x14ac:dyDescent="0.35">
      <c r="A157" t="s">
        <v>8243</v>
      </c>
      <c r="B157" t="s">
        <v>8244</v>
      </c>
      <c r="C157" t="s">
        <v>8245</v>
      </c>
      <c r="D157" t="s">
        <v>8246</v>
      </c>
      <c r="E157" s="33" t="s">
        <v>28</v>
      </c>
      <c r="F157" s="34" t="s">
        <v>8247</v>
      </c>
      <c r="G157" s="35" t="s">
        <v>1131</v>
      </c>
      <c r="H157" s="36" t="str">
        <f>HYPERLINK("https://www.google.com/maps/?q=47.5905500000001,-52.718055556", "https://www.google.com/maps/?q=47.5905500000001,-52.718055556")</f>
        <v>https://www.google.com/maps/?q=47.5905500000001,-52.718055556</v>
      </c>
      <c r="I157" s="37" t="s">
        <v>8248</v>
      </c>
      <c r="J157" s="37" t="s">
        <v>8249</v>
      </c>
      <c r="K157" s="104" t="s">
        <v>8250</v>
      </c>
    </row>
    <row r="158" spans="1:11" ht="29" hidden="1" x14ac:dyDescent="0.35">
      <c r="A158" t="s">
        <v>8251</v>
      </c>
      <c r="B158" t="s">
        <v>8252</v>
      </c>
      <c r="C158" t="s">
        <v>8253</v>
      </c>
      <c r="D158" t="s">
        <v>8254</v>
      </c>
      <c r="E158" s="33" t="s">
        <v>28</v>
      </c>
      <c r="F158" s="34" t="s">
        <v>8255</v>
      </c>
      <c r="H158" s="36" t="str">
        <f>HYPERLINK("https://www.google.com/maps/?q=47.5788805560001,-52.724366667", "https://www.google.com/maps/?q=47.5788805560001,-52.724366667")</f>
        <v>https://www.google.com/maps/?q=47.5788805560001,-52.724366667</v>
      </c>
      <c r="I158" s="84" t="s">
        <v>1210</v>
      </c>
    </row>
    <row r="159" spans="1:11" ht="29" hidden="1" x14ac:dyDescent="0.35">
      <c r="A159" t="s">
        <v>8256</v>
      </c>
      <c r="B159" t="s">
        <v>8257</v>
      </c>
      <c r="C159" t="s">
        <v>8258</v>
      </c>
      <c r="D159" t="s">
        <v>8259</v>
      </c>
      <c r="E159" s="33" t="s">
        <v>28</v>
      </c>
      <c r="F159" s="34" t="s">
        <v>8047</v>
      </c>
      <c r="H159" s="36" t="str">
        <f>HYPERLINK("https://www.google.com/maps/?q=47.506397222,-52.7914", "https://www.google.com/maps/?q=47.506397222,-52.7914")</f>
        <v>https://www.google.com/maps/?q=47.506397222,-52.7914</v>
      </c>
      <c r="I159" s="84" t="s">
        <v>7889</v>
      </c>
    </row>
    <row r="160" spans="1:11" hidden="1" x14ac:dyDescent="0.35">
      <c r="A160" t="s">
        <v>8260</v>
      </c>
      <c r="B160" t="s">
        <v>8261</v>
      </c>
      <c r="C160" t="s">
        <v>8262</v>
      </c>
      <c r="D160" t="s">
        <v>8263</v>
      </c>
      <c r="E160" s="33" t="s">
        <v>44</v>
      </c>
      <c r="F160" s="34" t="s">
        <v>8264</v>
      </c>
      <c r="H160" s="36" t="str">
        <f>HYPERLINK("https://www.google.com/maps/?q=47.386666667,-53.3188888889999", "https://www.google.com/maps/?q=47.386666667,-53.3188888889999")</f>
        <v>https://www.google.com/maps/?q=47.386666667,-53.3188888889999</v>
      </c>
      <c r="I160" s="84" t="s">
        <v>8265</v>
      </c>
    </row>
    <row r="161" spans="1:11" ht="29" hidden="1" x14ac:dyDescent="0.35">
      <c r="A161" t="s">
        <v>8266</v>
      </c>
      <c r="B161" t="s">
        <v>8267</v>
      </c>
      <c r="C161" t="s">
        <v>8268</v>
      </c>
      <c r="D161" t="s">
        <v>8269</v>
      </c>
      <c r="E161" s="33" t="s">
        <v>44</v>
      </c>
      <c r="F161" s="34" t="s">
        <v>7922</v>
      </c>
      <c r="H161" s="36" t="str">
        <f>HYPERLINK("https://www.google.com/maps/?q=47.7935861110001,-59.285475", "https://www.google.com/maps/?q=47.7935861110001,-59.285475")</f>
        <v>https://www.google.com/maps/?q=47.7935861110001,-59.285475</v>
      </c>
      <c r="I161" s="84" t="s">
        <v>8115</v>
      </c>
    </row>
    <row r="162" spans="1:11" ht="37.5" customHeight="1" x14ac:dyDescent="0.35">
      <c r="A162" t="s">
        <v>8270</v>
      </c>
      <c r="B162" t="s">
        <v>8271</v>
      </c>
      <c r="C162" t="s">
        <v>8272</v>
      </c>
      <c r="D162" t="s">
        <v>8273</v>
      </c>
      <c r="E162" s="33" t="s">
        <v>44</v>
      </c>
      <c r="F162" s="34" t="s">
        <v>8274</v>
      </c>
      <c r="G162" s="35" t="s">
        <v>1356</v>
      </c>
      <c r="H162" s="53" t="s">
        <v>8275</v>
      </c>
      <c r="I162" s="37" t="s">
        <v>8276</v>
      </c>
      <c r="J162" s="37" t="s">
        <v>8277</v>
      </c>
      <c r="K162" s="104" t="s">
        <v>8278</v>
      </c>
    </row>
    <row r="163" spans="1:11" ht="29" hidden="1" x14ac:dyDescent="0.35">
      <c r="A163" t="s">
        <v>8279</v>
      </c>
      <c r="B163" t="s">
        <v>8280</v>
      </c>
      <c r="C163" t="s">
        <v>8281</v>
      </c>
      <c r="D163" t="s">
        <v>8282</v>
      </c>
      <c r="E163" s="33" t="s">
        <v>50</v>
      </c>
      <c r="F163" s="34" t="s">
        <v>8283</v>
      </c>
      <c r="H163" s="36" t="str">
        <f>HYPERLINK("https://www.google.com/maps/?q=47.5696888890001,-52.71645", "https://www.google.com/maps/?q=47.5696888890001,-52.71645")</f>
        <v>https://www.google.com/maps/?q=47.5696888890001,-52.71645</v>
      </c>
      <c r="I163" s="84" t="s">
        <v>8115</v>
      </c>
    </row>
    <row r="164" spans="1:11" hidden="1" x14ac:dyDescent="0.35">
      <c r="A164" t="s">
        <v>8284</v>
      </c>
      <c r="B164" t="s">
        <v>8285</v>
      </c>
      <c r="C164" t="s">
        <v>8286</v>
      </c>
      <c r="D164" t="s">
        <v>8287</v>
      </c>
      <c r="E164" s="33" t="s">
        <v>28</v>
      </c>
      <c r="F164" s="34" t="s">
        <v>8288</v>
      </c>
      <c r="H164" s="36" t="str">
        <f>HYPERLINK("https://www.google.com/maps/?q=53.220163889,-60.6111999999999", "https://www.google.com/maps/?q=53.220163889,-60.6111999999999")</f>
        <v>https://www.google.com/maps/?q=53.220163889,-60.6111999999999</v>
      </c>
      <c r="I164" s="84" t="s">
        <v>8115</v>
      </c>
    </row>
    <row r="165" spans="1:11" ht="29" hidden="1" x14ac:dyDescent="0.35">
      <c r="A165" t="s">
        <v>8289</v>
      </c>
      <c r="B165" t="s">
        <v>8290</v>
      </c>
      <c r="C165" t="s">
        <v>8291</v>
      </c>
      <c r="D165" t="s">
        <v>8292</v>
      </c>
      <c r="E165" s="33" t="s">
        <v>28</v>
      </c>
      <c r="F165" s="34" t="s">
        <v>8293</v>
      </c>
      <c r="H165" s="36" t="str">
        <f>HYPERLINK("https://www.google.com/maps/?q=51.3486083330001,-55.6102722219999", "https://www.google.com/maps/?q=51.3486083330001,-55.6102722219999")</f>
        <v>https://www.google.com/maps/?q=51.3486083330001,-55.6102722219999</v>
      </c>
      <c r="I165" s="84" t="s">
        <v>8115</v>
      </c>
    </row>
    <row r="166" spans="1:11" ht="29" hidden="1" x14ac:dyDescent="0.35">
      <c r="A166" t="s">
        <v>8294</v>
      </c>
      <c r="B166" t="s">
        <v>8295</v>
      </c>
      <c r="C166" t="s">
        <v>8296</v>
      </c>
      <c r="D166" t="s">
        <v>8297</v>
      </c>
      <c r="E166" s="33" t="s">
        <v>28</v>
      </c>
      <c r="F166" s="34" t="s">
        <v>8298</v>
      </c>
      <c r="H166" s="36" t="str">
        <f>HYPERLINK("https://www.google.com/maps/?q=47.5108777780001,-52.9463222219999", "https://www.google.com/maps/?q=47.5108777780001,-52.9463222219999")</f>
        <v>https://www.google.com/maps/?q=47.5108777780001,-52.9463222219999</v>
      </c>
      <c r="I166" s="84" t="s">
        <v>1210</v>
      </c>
    </row>
    <row r="167" spans="1:11" ht="29" hidden="1" x14ac:dyDescent="0.35">
      <c r="A167" t="s">
        <v>8299</v>
      </c>
      <c r="B167" t="s">
        <v>8300</v>
      </c>
      <c r="C167" t="s">
        <v>8301</v>
      </c>
      <c r="D167" t="s">
        <v>8302</v>
      </c>
      <c r="E167" s="33" t="s">
        <v>28</v>
      </c>
      <c r="F167" s="34" t="s">
        <v>8303</v>
      </c>
      <c r="H167" s="36" t="str">
        <f>HYPERLINK("https://www.google.com/maps/?q=48.9781,-57.9766999999999", "https://www.google.com/maps/?q=48.9781,-57.9766999999999")</f>
        <v>https://www.google.com/maps/?q=48.9781,-57.9766999999999</v>
      </c>
      <c r="I167" s="84" t="s">
        <v>7889</v>
      </c>
    </row>
    <row r="168" spans="1:11" ht="29" hidden="1" x14ac:dyDescent="0.35">
      <c r="A168" t="s">
        <v>8304</v>
      </c>
      <c r="B168" t="s">
        <v>8305</v>
      </c>
      <c r="C168" t="s">
        <v>8306</v>
      </c>
      <c r="D168" t="s">
        <v>8307</v>
      </c>
      <c r="E168" s="33" t="s">
        <v>28</v>
      </c>
      <c r="F168" s="34" t="s">
        <v>8308</v>
      </c>
      <c r="H168" s="36" t="str">
        <f>HYPERLINK("https://www.google.com/maps/?q=49.705622222,-56.094827778", "https://www.google.com/maps/?q=49.705622222,-56.094827778")</f>
        <v>https://www.google.com/maps/?q=49.705622222,-56.094827778</v>
      </c>
      <c r="I168" s="84" t="s">
        <v>8115</v>
      </c>
    </row>
    <row r="169" spans="1:11" ht="29" hidden="1" x14ac:dyDescent="0.35">
      <c r="A169" t="s">
        <v>8309</v>
      </c>
      <c r="B169" t="s">
        <v>8310</v>
      </c>
      <c r="C169" t="s">
        <v>8311</v>
      </c>
      <c r="D169" t="s">
        <v>8312</v>
      </c>
      <c r="E169" s="33" t="s">
        <v>28</v>
      </c>
      <c r="F169" s="34" t="s">
        <v>8313</v>
      </c>
      <c r="H169" s="36" t="str">
        <f>HYPERLINK("https://www.google.com/maps/?q=48.959641667,-57.924730556", "https://www.google.com/maps/?q=48.959641667,-57.924730556")</f>
        <v>https://www.google.com/maps/?q=48.959641667,-57.924730556</v>
      </c>
      <c r="I169" s="84" t="s">
        <v>8115</v>
      </c>
    </row>
    <row r="170" spans="1:11" ht="29" hidden="1" x14ac:dyDescent="0.35">
      <c r="A170" t="s">
        <v>8314</v>
      </c>
      <c r="B170" t="s">
        <v>8315</v>
      </c>
      <c r="C170" t="s">
        <v>8316</v>
      </c>
      <c r="D170" t="s">
        <v>8317</v>
      </c>
      <c r="E170" s="33" t="s">
        <v>28</v>
      </c>
      <c r="F170" s="34" t="s">
        <v>8318</v>
      </c>
      <c r="H170" s="36" t="str">
        <f>HYPERLINK("https://www.google.com/maps/?q=47.588969444,-58.9712472219999", "https://www.google.com/maps/?q=47.588969444,-58.9712472219999")</f>
        <v>https://www.google.com/maps/?q=47.588969444,-58.9712472219999</v>
      </c>
      <c r="I170" s="84" t="s">
        <v>7889</v>
      </c>
    </row>
    <row r="171" spans="1:11" hidden="1" x14ac:dyDescent="0.35">
      <c r="A171" t="s">
        <v>8319</v>
      </c>
      <c r="B171" t="s">
        <v>8320</v>
      </c>
      <c r="C171" t="s">
        <v>8321</v>
      </c>
      <c r="D171" t="s">
        <v>8322</v>
      </c>
      <c r="E171" s="33" t="s">
        <v>28</v>
      </c>
      <c r="F171" s="34" t="s">
        <v>7504</v>
      </c>
      <c r="H171" s="36" t="str">
        <f>HYPERLINK("https://www.google.com/maps/?q=48.1505527780001,-58.776108333", "https://www.google.com/maps/?q=48.1505527780001,-58.776108333")</f>
        <v>https://www.google.com/maps/?q=48.1505527780001,-58.776108333</v>
      </c>
      <c r="I171" s="84" t="s">
        <v>1210</v>
      </c>
    </row>
    <row r="172" spans="1:11" ht="29" hidden="1" x14ac:dyDescent="0.35">
      <c r="A172" t="s">
        <v>8323</v>
      </c>
      <c r="B172" t="s">
        <v>8324</v>
      </c>
      <c r="C172" t="s">
        <v>8325</v>
      </c>
      <c r="D172" t="s">
        <v>8326</v>
      </c>
      <c r="E172" s="33" t="s">
        <v>28</v>
      </c>
      <c r="F172" s="34" t="s">
        <v>8327</v>
      </c>
      <c r="H172" s="36" t="str">
        <f>HYPERLINK("https://www.google.com/maps/?q=48.9963805560001,-57.9029805559999", "https://www.google.com/maps/?q=48.9963805560001,-57.9029805559999")</f>
        <v>https://www.google.com/maps/?q=48.9963805560001,-57.9029805559999</v>
      </c>
      <c r="I172" s="84" t="s">
        <v>8115</v>
      </c>
    </row>
    <row r="173" spans="1:11" ht="29" hidden="1" x14ac:dyDescent="0.35">
      <c r="A173" t="s">
        <v>8328</v>
      </c>
      <c r="B173" t="s">
        <v>8329</v>
      </c>
      <c r="C173" t="s">
        <v>8330</v>
      </c>
      <c r="D173" t="s">
        <v>8331</v>
      </c>
      <c r="E173" s="33" t="s">
        <v>28</v>
      </c>
      <c r="F173" s="34" t="s">
        <v>8332</v>
      </c>
      <c r="H173" s="36" t="str">
        <f>HYPERLINK("https://www.google.com/maps/?q=47.5270472220001,-52.862280556", "https://www.google.com/maps/?q=47.5270472220001,-52.862280556")</f>
        <v>https://www.google.com/maps/?q=47.5270472220001,-52.862280556</v>
      </c>
      <c r="I173" s="84" t="s">
        <v>8115</v>
      </c>
    </row>
    <row r="174" spans="1:11" hidden="1" x14ac:dyDescent="0.35">
      <c r="A174" t="s">
        <v>8333</v>
      </c>
      <c r="B174" t="s">
        <v>8334</v>
      </c>
      <c r="C174" t="s">
        <v>8335</v>
      </c>
      <c r="D174" t="s">
        <v>8336</v>
      </c>
      <c r="E174" s="33" t="s">
        <v>44</v>
      </c>
      <c r="F174" s="34" t="s">
        <v>7504</v>
      </c>
      <c r="H174" s="36" t="str">
        <f>HYPERLINK("https://www.google.com/maps/?q=47.6277916670001,-53.834544444", "https://www.google.com/maps/?q=47.6277916670001,-53.834544444")</f>
        <v>https://www.google.com/maps/?q=47.6277916670001,-53.834544444</v>
      </c>
      <c r="I174" s="84" t="s">
        <v>1210</v>
      </c>
    </row>
    <row r="175" spans="1:11" ht="29" x14ac:dyDescent="0.35">
      <c r="A175" t="s">
        <v>8337</v>
      </c>
      <c r="B175" t="s">
        <v>8338</v>
      </c>
      <c r="C175" t="s">
        <v>8339</v>
      </c>
      <c r="D175" t="s">
        <v>8340</v>
      </c>
      <c r="E175" s="33" t="s">
        <v>28</v>
      </c>
      <c r="F175" s="34" t="s">
        <v>8033</v>
      </c>
      <c r="G175" s="35" t="s">
        <v>1253</v>
      </c>
      <c r="H175" s="36" t="str">
        <f>HYPERLINK("https://www.google.com/maps/?q=47.615216667,-52.717469444", "https://www.google.com/maps/?q=47.615216667,-52.717469444")</f>
        <v>https://www.google.com/maps/?q=47.615216667,-52.717469444</v>
      </c>
      <c r="I175" s="37" t="s">
        <v>8341</v>
      </c>
      <c r="J175" s="37" t="s">
        <v>8342</v>
      </c>
      <c r="K175" s="104" t="s">
        <v>8343</v>
      </c>
    </row>
    <row r="176" spans="1:11" ht="29" hidden="1" x14ac:dyDescent="0.35">
      <c r="A176" t="s">
        <v>8344</v>
      </c>
      <c r="B176" t="s">
        <v>8345</v>
      </c>
      <c r="C176" t="s">
        <v>8346</v>
      </c>
      <c r="D176" t="s">
        <v>8347</v>
      </c>
      <c r="E176" s="33" t="s">
        <v>28</v>
      </c>
      <c r="F176" s="34" t="s">
        <v>8348</v>
      </c>
      <c r="H176" s="36" t="str">
        <f>HYPERLINK("https://www.google.com/maps/?q=48.9395805560001,-57.9397999999999", "https://www.google.com/maps/?q=48.9395805560001,-57.9397999999999")</f>
        <v>https://www.google.com/maps/?q=48.9395805560001,-57.9397999999999</v>
      </c>
      <c r="I176" s="84" t="s">
        <v>1210</v>
      </c>
    </row>
    <row r="177" spans="1:11" ht="29" hidden="1" x14ac:dyDescent="0.35">
      <c r="A177" t="s">
        <v>8349</v>
      </c>
      <c r="B177" t="s">
        <v>8350</v>
      </c>
      <c r="C177" t="s">
        <v>8351</v>
      </c>
      <c r="D177" t="s">
        <v>8352</v>
      </c>
      <c r="E177" s="33" t="s">
        <v>28</v>
      </c>
      <c r="F177" s="34" t="s">
        <v>8353</v>
      </c>
      <c r="G177" s="35" t="s">
        <v>1356</v>
      </c>
      <c r="H177" s="36" t="str">
        <f>HYPERLINK("https://www.google.com/maps/?q=49.2993222220001,-53.608297222", "https://www.google.com/maps/?q=49.2993222220001,-53.608297222")</f>
        <v>https://www.google.com/maps/?q=49.2993222220001,-53.608297222</v>
      </c>
      <c r="I177" s="84" t="s">
        <v>7889</v>
      </c>
    </row>
    <row r="178" spans="1:11" ht="29" hidden="1" x14ac:dyDescent="0.35">
      <c r="A178" t="s">
        <v>8354</v>
      </c>
      <c r="B178" t="s">
        <v>8355</v>
      </c>
      <c r="C178" t="s">
        <v>8356</v>
      </c>
      <c r="D178" t="s">
        <v>8357</v>
      </c>
      <c r="E178" s="33" t="s">
        <v>28</v>
      </c>
      <c r="F178" s="34" t="s">
        <v>8358</v>
      </c>
      <c r="H178" s="36" t="str">
        <f>HYPERLINK("https://www.google.com/maps/?q=47.5634055560001,-52.722244444", "https://www.google.com/maps/?q=47.5634055560001,-52.722244444")</f>
        <v>https://www.google.com/maps/?q=47.5634055560001,-52.722244444</v>
      </c>
      <c r="I178" s="84" t="s">
        <v>8115</v>
      </c>
    </row>
    <row r="179" spans="1:11" ht="29" hidden="1" x14ac:dyDescent="0.35">
      <c r="A179" t="s">
        <v>8359</v>
      </c>
      <c r="B179" t="s">
        <v>8360</v>
      </c>
      <c r="C179" t="s">
        <v>8361</v>
      </c>
      <c r="D179" t="s">
        <v>8362</v>
      </c>
      <c r="E179" s="33" t="s">
        <v>28</v>
      </c>
      <c r="F179" s="34" t="s">
        <v>7525</v>
      </c>
      <c r="H179" s="36" t="str">
        <f>HYPERLINK("https://www.google.com/maps/?q=48.938766667,-57.935511111", "https://www.google.com/maps/?q=48.938766667,-57.935511111")</f>
        <v>https://www.google.com/maps/?q=48.938766667,-57.935511111</v>
      </c>
      <c r="I179" s="84" t="s">
        <v>8115</v>
      </c>
    </row>
    <row r="180" spans="1:11" ht="29" hidden="1" x14ac:dyDescent="0.35">
      <c r="A180" t="s">
        <v>8363</v>
      </c>
      <c r="B180" t="s">
        <v>8364</v>
      </c>
      <c r="C180" t="s">
        <v>8365</v>
      </c>
      <c r="D180" t="s">
        <v>8366</v>
      </c>
      <c r="E180" s="33" t="s">
        <v>28</v>
      </c>
      <c r="F180" s="34" t="s">
        <v>8367</v>
      </c>
      <c r="H180" s="36" t="str">
        <f>HYPERLINK("https://www.google.com/maps/?q=47.581336111,-52.695744444", "https://www.google.com/maps/?q=47.581336111,-52.695744444")</f>
        <v>https://www.google.com/maps/?q=47.581336111,-52.695744444</v>
      </c>
      <c r="I180" s="84" t="s">
        <v>8115</v>
      </c>
    </row>
    <row r="181" spans="1:11" ht="29" hidden="1" x14ac:dyDescent="0.35">
      <c r="A181" t="s">
        <v>8368</v>
      </c>
      <c r="B181" t="s">
        <v>8369</v>
      </c>
      <c r="C181" t="s">
        <v>8370</v>
      </c>
      <c r="D181" t="s">
        <v>8371</v>
      </c>
      <c r="E181" s="33" t="s">
        <v>28</v>
      </c>
      <c r="F181" s="34" t="s">
        <v>8372</v>
      </c>
      <c r="H181" s="36" t="str">
        <f>HYPERLINK("https://www.google.com/maps/?q=47.604172222,-52.718627778", "https://www.google.com/maps/?q=47.604172222,-52.718627778")</f>
        <v>https://www.google.com/maps/?q=47.604172222,-52.718627778</v>
      </c>
      <c r="I181" s="84" t="s">
        <v>8115</v>
      </c>
    </row>
    <row r="182" spans="1:11" ht="43.5" x14ac:dyDescent="0.35">
      <c r="A182" t="s">
        <v>8373</v>
      </c>
      <c r="B182" t="s">
        <v>8374</v>
      </c>
      <c r="C182" t="s">
        <v>8375</v>
      </c>
      <c r="D182" t="s">
        <v>8376</v>
      </c>
      <c r="E182" s="33" t="s">
        <v>28</v>
      </c>
      <c r="F182" s="34" t="s">
        <v>8377</v>
      </c>
      <c r="G182" s="35" t="s">
        <v>1253</v>
      </c>
      <c r="H182" s="36" t="str">
        <f>HYPERLINK("https://www.google.com/maps/?q=48.972144444,-54.6207277779999", "https://www.google.com/maps/?q=48.972144444,-54.6207277779999")</f>
        <v>https://www.google.com/maps/?q=48.972144444,-54.6207277779999</v>
      </c>
      <c r="I182" s="37" t="s">
        <v>8378</v>
      </c>
      <c r="J182" s="37" t="s">
        <v>8379</v>
      </c>
      <c r="K182" s="104" t="s">
        <v>8380</v>
      </c>
    </row>
    <row r="183" spans="1:11" ht="29" hidden="1" x14ac:dyDescent="0.35">
      <c r="A183" t="s">
        <v>8381</v>
      </c>
      <c r="B183" t="s">
        <v>8382</v>
      </c>
      <c r="C183" t="s">
        <v>8383</v>
      </c>
      <c r="D183" t="s">
        <v>8384</v>
      </c>
      <c r="E183" s="33" t="s">
        <v>28</v>
      </c>
      <c r="F183" s="34" t="s">
        <v>8385</v>
      </c>
      <c r="H183" s="36" t="str">
        <f>HYPERLINK("https://www.google.com/maps/?q=49.5864527780001,-56.180508333", "https://www.google.com/maps/?q=49.5864527780001,-56.180508333")</f>
        <v>https://www.google.com/maps/?q=49.5864527780001,-56.180508333</v>
      </c>
      <c r="I183" s="84" t="s">
        <v>8115</v>
      </c>
    </row>
    <row r="184" spans="1:11" ht="29" hidden="1" x14ac:dyDescent="0.35">
      <c r="A184" t="s">
        <v>8386</v>
      </c>
      <c r="B184" t="s">
        <v>8387</v>
      </c>
      <c r="C184" t="s">
        <v>8388</v>
      </c>
      <c r="D184" t="s">
        <v>8389</v>
      </c>
      <c r="E184" s="33" t="s">
        <v>28</v>
      </c>
      <c r="F184" s="34" t="s">
        <v>8390</v>
      </c>
      <c r="H184" s="36" t="str">
        <f>HYPERLINK("https://www.google.com/maps/?q=47.485405556,-52.8244749999999", "https://www.google.com/maps/?q=47.485405556,-52.8244749999999")</f>
        <v>https://www.google.com/maps/?q=47.485405556,-52.8244749999999</v>
      </c>
      <c r="I184" s="84" t="s">
        <v>8115</v>
      </c>
    </row>
    <row r="185" spans="1:11" ht="29" hidden="1" x14ac:dyDescent="0.35">
      <c r="A185" t="s">
        <v>8391</v>
      </c>
      <c r="B185" t="s">
        <v>8392</v>
      </c>
      <c r="C185" t="s">
        <v>8393</v>
      </c>
      <c r="D185" t="s">
        <v>8394</v>
      </c>
      <c r="E185" s="33" t="s">
        <v>28</v>
      </c>
      <c r="F185" s="34" t="s">
        <v>8395</v>
      </c>
      <c r="H185" s="36" t="str">
        <f>HYPERLINK("https://www.google.com/maps/?q=47.606366667,-52.735427778", "https://www.google.com/maps/?q=47.606366667,-52.735427778")</f>
        <v>https://www.google.com/maps/?q=47.606366667,-52.735427778</v>
      </c>
      <c r="I185" s="84" t="s">
        <v>8115</v>
      </c>
    </row>
    <row r="186" spans="1:11" hidden="1" x14ac:dyDescent="0.35">
      <c r="A186" t="s">
        <v>8396</v>
      </c>
      <c r="B186" t="s">
        <v>8397</v>
      </c>
      <c r="C186" t="s">
        <v>8398</v>
      </c>
      <c r="D186" t="s">
        <v>8399</v>
      </c>
      <c r="E186" s="33" t="s">
        <v>28</v>
      </c>
      <c r="F186" s="34" t="s">
        <v>7366</v>
      </c>
      <c r="H186" s="36" t="str">
        <f>HYPERLINK("https://www.google.com/maps/?q=48.818888889,-56.721388889", "https://www.google.com/maps/?q=48.818888889,-56.721388889")</f>
        <v>https://www.google.com/maps/?q=48.818888889,-56.721388889</v>
      </c>
      <c r="I186" s="84" t="s">
        <v>1210</v>
      </c>
    </row>
    <row r="187" spans="1:11" ht="29" hidden="1" x14ac:dyDescent="0.35">
      <c r="A187" t="s">
        <v>8400</v>
      </c>
      <c r="B187" t="s">
        <v>8401</v>
      </c>
      <c r="C187" t="s">
        <v>8402</v>
      </c>
      <c r="D187" t="s">
        <v>8403</v>
      </c>
      <c r="E187" s="33" t="s">
        <v>28</v>
      </c>
      <c r="F187" s="34" t="s">
        <v>8404</v>
      </c>
      <c r="H187" s="36" t="str">
        <f>HYPERLINK("https://www.google.com/maps/?q=49.5285555560001,-56.8686083329999", "https://www.google.com/maps/?q=49.5285555560001,-56.8686083329999")</f>
        <v>https://www.google.com/maps/?q=49.5285555560001,-56.8686083329999</v>
      </c>
      <c r="I187" s="84" t="s">
        <v>1210</v>
      </c>
    </row>
    <row r="188" spans="1:11" hidden="1" x14ac:dyDescent="0.35">
      <c r="A188" t="s">
        <v>8405</v>
      </c>
      <c r="B188" t="s">
        <v>8406</v>
      </c>
      <c r="C188" t="s">
        <v>8407</v>
      </c>
      <c r="D188" t="s">
        <v>8408</v>
      </c>
      <c r="E188" s="33" t="s">
        <v>28</v>
      </c>
      <c r="F188" s="34" t="s">
        <v>8409</v>
      </c>
      <c r="H188" s="36" t="str">
        <f>HYPERLINK("https://www.google.com/maps/?q=49.7136083330001,-54.1130555559999", "https://www.google.com/maps/?q=49.7136083330001,-54.1130555559999")</f>
        <v>https://www.google.com/maps/?q=49.7136083330001,-54.1130555559999</v>
      </c>
      <c r="I188" s="84" t="s">
        <v>1210</v>
      </c>
    </row>
    <row r="189" spans="1:11" ht="29" hidden="1" x14ac:dyDescent="0.35">
      <c r="A189" t="s">
        <v>8410</v>
      </c>
      <c r="B189" t="s">
        <v>8411</v>
      </c>
      <c r="C189" t="s">
        <v>8412</v>
      </c>
      <c r="D189" t="s">
        <v>8413</v>
      </c>
      <c r="E189" s="33" t="s">
        <v>28</v>
      </c>
      <c r="F189" s="34" t="s">
        <v>8414</v>
      </c>
      <c r="H189" s="36" t="str">
        <f>HYPERLINK("https://www.google.com/maps/?q=50.8375,-56.1080527779999", "https://www.google.com/maps/?q=50.8375,-56.1080527779999")</f>
        <v>https://www.google.com/maps/?q=50.8375,-56.1080527779999</v>
      </c>
      <c r="I189" s="84" t="s">
        <v>1210</v>
      </c>
    </row>
    <row r="190" spans="1:11" ht="29" hidden="1" x14ac:dyDescent="0.35">
      <c r="A190" t="s">
        <v>8415</v>
      </c>
      <c r="B190" t="s">
        <v>8416</v>
      </c>
      <c r="C190" t="s">
        <v>8417</v>
      </c>
      <c r="D190" t="s">
        <v>8418</v>
      </c>
      <c r="E190" s="33" t="s">
        <v>28</v>
      </c>
      <c r="F190" s="34" t="s">
        <v>8419</v>
      </c>
      <c r="H190" s="36" t="str">
        <f>HYPERLINK("https://www.google.com/maps/?q=48.5897194440001,-58.667219444", "https://www.google.com/maps/?q=48.5897194440001,-58.667219444")</f>
        <v>https://www.google.com/maps/?q=48.5897194440001,-58.667219444</v>
      </c>
      <c r="I190" s="84" t="s">
        <v>1210</v>
      </c>
    </row>
    <row r="191" spans="1:11" hidden="1" x14ac:dyDescent="0.35">
      <c r="A191" t="s">
        <v>8420</v>
      </c>
      <c r="B191" t="s">
        <v>8421</v>
      </c>
      <c r="C191" t="s">
        <v>8422</v>
      </c>
      <c r="D191" t="s">
        <v>8423</v>
      </c>
      <c r="E191" s="33" t="s">
        <v>28</v>
      </c>
      <c r="F191" s="34" t="s">
        <v>8424</v>
      </c>
      <c r="H191" s="36" t="str">
        <f>HYPERLINK("https://www.google.com/maps/?q=52.3691666670001,-55.6838888889999", "https://www.google.com/maps/?q=52.3691666670001,-55.6838888889999")</f>
        <v>https://www.google.com/maps/?q=52.3691666670001,-55.6838888889999</v>
      </c>
      <c r="I191" s="84" t="s">
        <v>8115</v>
      </c>
    </row>
    <row r="192" spans="1:11" ht="29" hidden="1" x14ac:dyDescent="0.35">
      <c r="A192" t="s">
        <v>8425</v>
      </c>
      <c r="B192" t="s">
        <v>8426</v>
      </c>
      <c r="C192" t="s">
        <v>8427</v>
      </c>
      <c r="D192" t="s">
        <v>8428</v>
      </c>
      <c r="E192" s="33" t="s">
        <v>28</v>
      </c>
      <c r="F192" s="34" t="s">
        <v>8429</v>
      </c>
      <c r="H192" s="36" t="str">
        <f>HYPERLINK("https://www.google.com/maps/?q=47.6155000000001,-52.7122527779999", "https://www.google.com/maps/?q=47.6155000000001,-52.7122527779999")</f>
        <v>https://www.google.com/maps/?q=47.6155000000001,-52.7122527779999</v>
      </c>
      <c r="I192" s="84" t="s">
        <v>7889</v>
      </c>
    </row>
    <row r="193" spans="1:11" ht="29" hidden="1" x14ac:dyDescent="0.35">
      <c r="A193" t="s">
        <v>8430</v>
      </c>
      <c r="B193" t="s">
        <v>8431</v>
      </c>
      <c r="C193" t="s">
        <v>8432</v>
      </c>
      <c r="D193" t="s">
        <v>8433</v>
      </c>
      <c r="E193" s="33" t="s">
        <v>28</v>
      </c>
      <c r="F193" s="34" t="s">
        <v>8434</v>
      </c>
      <c r="H193" s="36" t="str">
        <f>HYPERLINK("https://www.google.com/maps/?q=47.5475138890001,-52.743127778", "https://www.google.com/maps/?q=47.5475138890001,-52.743127778")</f>
        <v>https://www.google.com/maps/?q=47.5475138890001,-52.743127778</v>
      </c>
      <c r="I193" s="84" t="s">
        <v>8115</v>
      </c>
    </row>
    <row r="194" spans="1:11" hidden="1" x14ac:dyDescent="0.35">
      <c r="A194" t="s">
        <v>8435</v>
      </c>
      <c r="B194" t="s">
        <v>8436</v>
      </c>
      <c r="C194" t="s">
        <v>8437</v>
      </c>
      <c r="D194" t="s">
        <v>8438</v>
      </c>
      <c r="E194" s="33" t="s">
        <v>28</v>
      </c>
      <c r="F194" s="34" t="s">
        <v>8439</v>
      </c>
      <c r="H194" s="36" t="str">
        <f>HYPERLINK("https://www.google.com/maps/?q=48.1842472220001,-53.936027778", "https://www.google.com/maps/?q=48.1842472220001,-53.936027778")</f>
        <v>https://www.google.com/maps/?q=48.1842472220001,-53.936027778</v>
      </c>
      <c r="I194" s="84" t="s">
        <v>1210</v>
      </c>
    </row>
    <row r="195" spans="1:11" ht="29" x14ac:dyDescent="0.35">
      <c r="A195" t="s">
        <v>8440</v>
      </c>
      <c r="B195" t="s">
        <v>8441</v>
      </c>
      <c r="C195" t="s">
        <v>8442</v>
      </c>
      <c r="D195" t="s">
        <v>8443</v>
      </c>
      <c r="E195" s="33" t="s">
        <v>28</v>
      </c>
      <c r="F195" s="34" t="s">
        <v>8444</v>
      </c>
      <c r="G195" s="35" t="s">
        <v>1253</v>
      </c>
      <c r="H195" s="36" t="str">
        <f>HYPERLINK("https://www.google.com/maps/?q=48.9628000000001,-54.6747", "https://www.google.com/maps/?q=48.9628000000001,-54.6747")</f>
        <v>https://www.google.com/maps/?q=48.9628000000001,-54.6747</v>
      </c>
      <c r="I195" s="37" t="s">
        <v>8445</v>
      </c>
      <c r="J195" s="37" t="s">
        <v>8446</v>
      </c>
      <c r="K195" s="104" t="s">
        <v>8447</v>
      </c>
    </row>
    <row r="196" spans="1:11" ht="29" hidden="1" x14ac:dyDescent="0.35">
      <c r="A196" t="s">
        <v>8448</v>
      </c>
      <c r="B196" t="s">
        <v>8449</v>
      </c>
      <c r="C196" t="s">
        <v>8450</v>
      </c>
      <c r="D196" t="s">
        <v>8451</v>
      </c>
      <c r="E196" s="33" t="s">
        <v>28</v>
      </c>
      <c r="F196" s="34" t="s">
        <v>8452</v>
      </c>
      <c r="H196" s="36" t="str">
        <f>HYPERLINK("https://www.google.com/maps/?q=49.5531,-57.8892", "https://www.google.com/maps/?q=49.5531,-57.8892")</f>
        <v>https://www.google.com/maps/?q=49.5531,-57.8892</v>
      </c>
      <c r="I196" s="84" t="s">
        <v>8115</v>
      </c>
    </row>
    <row r="197" spans="1:11" ht="29" hidden="1" x14ac:dyDescent="0.35">
      <c r="A197" t="s">
        <v>8453</v>
      </c>
      <c r="B197" t="s">
        <v>8454</v>
      </c>
      <c r="C197" t="s">
        <v>8455</v>
      </c>
      <c r="D197" t="s">
        <v>8456</v>
      </c>
      <c r="E197" s="33" t="s">
        <v>28</v>
      </c>
      <c r="F197" s="34" t="s">
        <v>8457</v>
      </c>
      <c r="H197" s="36" t="str">
        <f>HYPERLINK("https://www.google.com/maps/?q=48.9572000000001,-54.6086", "https://www.google.com/maps/?q=48.9572000000001,-54.6086")</f>
        <v>https://www.google.com/maps/?q=48.9572000000001,-54.6086</v>
      </c>
      <c r="I197" s="84" t="s">
        <v>7889</v>
      </c>
    </row>
    <row r="198" spans="1:11" x14ac:dyDescent="0.35">
      <c r="A198" t="s">
        <v>8458</v>
      </c>
      <c r="B198" t="s">
        <v>8459</v>
      </c>
      <c r="C198" t="s">
        <v>8460</v>
      </c>
      <c r="D198" t="s">
        <v>8461</v>
      </c>
      <c r="E198" s="33" t="s">
        <v>28</v>
      </c>
      <c r="F198" s="34" t="s">
        <v>7366</v>
      </c>
      <c r="G198" s="35" t="s">
        <v>1253</v>
      </c>
      <c r="H198" s="36" t="str">
        <f>HYPERLINK("https://www.google.com/maps/?q=47.233058333,-52.838052778", "https://www.google.com/maps/?q=47.233058333,-52.838052778")</f>
        <v>https://www.google.com/maps/?q=47.233058333,-52.838052778</v>
      </c>
      <c r="I198" s="37" t="s">
        <v>8462</v>
      </c>
      <c r="J198" s="37" t="s">
        <v>8463</v>
      </c>
      <c r="K198" s="104" t="s">
        <v>8464</v>
      </c>
    </row>
    <row r="199" spans="1:11" ht="29" x14ac:dyDescent="0.35">
      <c r="A199" t="s">
        <v>8465</v>
      </c>
      <c r="B199" t="s">
        <v>8466</v>
      </c>
      <c r="C199" t="s">
        <v>8467</v>
      </c>
      <c r="D199" t="s">
        <v>8468</v>
      </c>
      <c r="E199" s="33" t="s">
        <v>28</v>
      </c>
      <c r="F199" s="34" t="s">
        <v>8469</v>
      </c>
      <c r="G199" s="35" t="s">
        <v>1253</v>
      </c>
      <c r="H199" s="36" t="str">
        <f>HYPERLINK("https://www.google.com/maps/?q=47.7716694440001,-53.214441667", "https://www.google.com/maps/?q=47.7716694440001,-53.214441667")</f>
        <v>https://www.google.com/maps/?q=47.7716694440001,-53.214441667</v>
      </c>
      <c r="I199" s="37" t="s">
        <v>8470</v>
      </c>
      <c r="J199" s="37" t="s">
        <v>8471</v>
      </c>
      <c r="K199" s="104" t="s">
        <v>8472</v>
      </c>
    </row>
    <row r="200" spans="1:11" ht="53.25" hidden="1" customHeight="1" x14ac:dyDescent="0.35">
      <c r="A200" t="s">
        <v>8473</v>
      </c>
      <c r="B200" t="s">
        <v>8474</v>
      </c>
      <c r="C200" t="s">
        <v>8475</v>
      </c>
      <c r="D200" t="s">
        <v>8476</v>
      </c>
      <c r="E200" s="33" t="s">
        <v>28</v>
      </c>
      <c r="F200" s="34" t="s">
        <v>8477</v>
      </c>
      <c r="H200" s="53" t="s">
        <v>8478</v>
      </c>
      <c r="I200" s="84" t="s">
        <v>1210</v>
      </c>
    </row>
    <row r="201" spans="1:11" ht="29" hidden="1" x14ac:dyDescent="0.35">
      <c r="A201" t="s">
        <v>8479</v>
      </c>
      <c r="B201" t="s">
        <v>8480</v>
      </c>
      <c r="C201" t="s">
        <v>8481</v>
      </c>
      <c r="D201" t="s">
        <v>8482</v>
      </c>
      <c r="E201" s="33" t="s">
        <v>28</v>
      </c>
      <c r="F201" s="34" t="s">
        <v>8483</v>
      </c>
      <c r="H201" s="36" t="str">
        <f>HYPERLINK("https://www.google.com/maps/?q=48.9298527780001,-57.9195722219999", "https://www.google.com/maps/?q=48.9298527780001,-57.9195722219999")</f>
        <v>https://www.google.com/maps/?q=48.9298527780001,-57.9195722219999</v>
      </c>
      <c r="I201" s="84" t="s">
        <v>8115</v>
      </c>
    </row>
    <row r="202" spans="1:11" ht="29" x14ac:dyDescent="0.35">
      <c r="A202" t="s">
        <v>8484</v>
      </c>
      <c r="B202" t="s">
        <v>8485</v>
      </c>
      <c r="C202" t="s">
        <v>8486</v>
      </c>
      <c r="D202" t="s">
        <v>8487</v>
      </c>
      <c r="E202" s="33" t="s">
        <v>28</v>
      </c>
      <c r="F202" s="34" t="s">
        <v>8488</v>
      </c>
      <c r="G202" s="35" t="s">
        <v>1356</v>
      </c>
      <c r="H202" s="36" t="str">
        <f>HYPERLINK("https://www.google.com/maps/?q=47.5387277780001,-52.713597222", "https://www.google.com/maps/?q=47.5387277780001,-52.713597222")</f>
        <v>https://www.google.com/maps/?q=47.5387277780001,-52.713597222</v>
      </c>
      <c r="I202" s="37" t="s">
        <v>8489</v>
      </c>
      <c r="J202" s="37" t="s">
        <v>8490</v>
      </c>
      <c r="K202" s="104" t="s">
        <v>8491</v>
      </c>
    </row>
    <row r="203" spans="1:11" ht="29" hidden="1" x14ac:dyDescent="0.35">
      <c r="A203" t="s">
        <v>8492</v>
      </c>
      <c r="B203" t="s">
        <v>8493</v>
      </c>
      <c r="C203" t="s">
        <v>8494</v>
      </c>
      <c r="D203" t="s">
        <v>8495</v>
      </c>
      <c r="E203" s="33" t="s">
        <v>28</v>
      </c>
      <c r="F203" s="34" t="s">
        <v>8496</v>
      </c>
      <c r="H203" s="36" t="str">
        <f>HYPERLINK("https://www.google.com/maps/?q=47.520702778,-52.7511", "https://www.google.com/maps/?q=47.520702778,-52.7511")</f>
        <v>https://www.google.com/maps/?q=47.520702778,-52.7511</v>
      </c>
      <c r="I203" s="84" t="s">
        <v>8115</v>
      </c>
    </row>
    <row r="204" spans="1:11" ht="29" hidden="1" x14ac:dyDescent="0.35">
      <c r="A204" t="s">
        <v>8497</v>
      </c>
      <c r="B204" t="s">
        <v>8498</v>
      </c>
      <c r="C204" t="s">
        <v>8499</v>
      </c>
      <c r="D204" t="s">
        <v>8500</v>
      </c>
      <c r="E204" s="33" t="s">
        <v>28</v>
      </c>
      <c r="F204" s="34" t="s">
        <v>8501</v>
      </c>
      <c r="H204" s="36" t="str">
        <f>HYPERLINK("https://www.google.com/maps/?q=47.598533333,-52.7144888889999", "https://www.google.com/maps/?q=47.598533333,-52.7144888889999")</f>
        <v>https://www.google.com/maps/?q=47.598533333,-52.7144888889999</v>
      </c>
      <c r="I204" s="84" t="s">
        <v>8115</v>
      </c>
    </row>
    <row r="205" spans="1:11" ht="36" customHeight="1" x14ac:dyDescent="0.35">
      <c r="A205" t="s">
        <v>8502</v>
      </c>
      <c r="B205" t="s">
        <v>8503</v>
      </c>
      <c r="C205" t="s">
        <v>8504</v>
      </c>
      <c r="D205" t="s">
        <v>8505</v>
      </c>
      <c r="E205" s="33" t="s">
        <v>28</v>
      </c>
      <c r="F205" s="34" t="s">
        <v>8506</v>
      </c>
      <c r="G205" s="35" t="s">
        <v>1356</v>
      </c>
      <c r="H205" s="53" t="s">
        <v>8507</v>
      </c>
      <c r="I205" s="37" t="s">
        <v>8508</v>
      </c>
      <c r="J205" s="37" t="s">
        <v>8490</v>
      </c>
      <c r="K205" s="104" t="s">
        <v>8509</v>
      </c>
    </row>
    <row r="206" spans="1:11" ht="43.5" customHeight="1" x14ac:dyDescent="0.35">
      <c r="A206" t="s">
        <v>8510</v>
      </c>
      <c r="B206" t="s">
        <v>8511</v>
      </c>
      <c r="C206" t="s">
        <v>8512</v>
      </c>
      <c r="D206" t="s">
        <v>8513</v>
      </c>
      <c r="E206" s="33" t="s">
        <v>28</v>
      </c>
      <c r="F206" s="34" t="s">
        <v>8514</v>
      </c>
      <c r="G206" s="35" t="s">
        <v>1166</v>
      </c>
      <c r="H206" s="53" t="s">
        <v>8515</v>
      </c>
      <c r="I206" s="37" t="s">
        <v>8516</v>
      </c>
      <c r="J206" s="37" t="s">
        <v>8517</v>
      </c>
      <c r="K206" s="104" t="s">
        <v>8518</v>
      </c>
    </row>
    <row r="207" spans="1:11" hidden="1" x14ac:dyDescent="0.35">
      <c r="A207" t="s">
        <v>8519</v>
      </c>
      <c r="B207" t="s">
        <v>8520</v>
      </c>
      <c r="C207" t="s">
        <v>8521</v>
      </c>
      <c r="D207" t="s">
        <v>8522</v>
      </c>
      <c r="E207" s="33" t="s">
        <v>28</v>
      </c>
      <c r="F207" s="34" t="s">
        <v>8523</v>
      </c>
      <c r="H207" s="36" t="str">
        <f>HYPERLINK("https://www.google.com/maps/?q=47.0947194440001,-53.4824972219999", "https://www.google.com/maps/?q=47.0947194440001,-53.4824972219999")</f>
        <v>https://www.google.com/maps/?q=47.0947194440001,-53.4824972219999</v>
      </c>
      <c r="I207" s="84" t="s">
        <v>1210</v>
      </c>
    </row>
    <row r="208" spans="1:11" ht="29" hidden="1" x14ac:dyDescent="0.35">
      <c r="A208" t="s">
        <v>8524</v>
      </c>
      <c r="B208" t="s">
        <v>8525</v>
      </c>
      <c r="C208" t="s">
        <v>8526</v>
      </c>
      <c r="D208" t="s">
        <v>8527</v>
      </c>
      <c r="E208" s="33" t="s">
        <v>28</v>
      </c>
      <c r="F208" s="34" t="s">
        <v>8528</v>
      </c>
      <c r="H208" s="36" t="str">
        <f>HYPERLINK("https://www.google.com/maps/?q=47.530938889,-52.8283916669999", "https://www.google.com/maps/?q=47.530938889,-52.8283916669999")</f>
        <v>https://www.google.com/maps/?q=47.530938889,-52.8283916669999</v>
      </c>
      <c r="I208" s="84" t="s">
        <v>8115</v>
      </c>
    </row>
    <row r="209" spans="1:11" ht="29" hidden="1" x14ac:dyDescent="0.35">
      <c r="A209" t="s">
        <v>8529</v>
      </c>
      <c r="B209" t="s">
        <v>8530</v>
      </c>
      <c r="C209" t="s">
        <v>8531</v>
      </c>
      <c r="D209" t="s">
        <v>8532</v>
      </c>
      <c r="E209" s="33" t="s">
        <v>28</v>
      </c>
      <c r="F209" s="34" t="s">
        <v>8533</v>
      </c>
      <c r="H209" s="36" t="str">
        <f>HYPERLINK("https://www.google.com/maps/?q=47.5203805560001,-52.807627778", "https://www.google.com/maps/?q=47.5203805560001,-52.807627778")</f>
        <v>https://www.google.com/maps/?q=47.5203805560001,-52.807627778</v>
      </c>
      <c r="I209" s="84" t="s">
        <v>8115</v>
      </c>
    </row>
    <row r="210" spans="1:11" ht="29" hidden="1" x14ac:dyDescent="0.35">
      <c r="A210" t="s">
        <v>8534</v>
      </c>
      <c r="B210" t="s">
        <v>8535</v>
      </c>
      <c r="C210" t="s">
        <v>8536</v>
      </c>
      <c r="D210" t="s">
        <v>8537</v>
      </c>
      <c r="E210" s="33" t="s">
        <v>28</v>
      </c>
      <c r="F210" s="34" t="s">
        <v>8538</v>
      </c>
      <c r="H210" s="36" t="str">
        <f>HYPERLINK("https://www.google.com/maps/?q=46.731947222,-53.412497222", "https://www.google.com/maps/?q=46.731947222,-53.412497222")</f>
        <v>https://www.google.com/maps/?q=46.731947222,-53.412497222</v>
      </c>
      <c r="I210" s="84" t="s">
        <v>1210</v>
      </c>
    </row>
    <row r="211" spans="1:11" hidden="1" x14ac:dyDescent="0.35">
      <c r="A211" t="s">
        <v>8539</v>
      </c>
      <c r="B211" t="s">
        <v>8540</v>
      </c>
      <c r="C211" t="s">
        <v>8541</v>
      </c>
      <c r="D211" t="s">
        <v>8542</v>
      </c>
      <c r="E211" s="33" t="s">
        <v>28</v>
      </c>
      <c r="F211" s="34" t="s">
        <v>8543</v>
      </c>
      <c r="H211" s="36" t="str">
        <f>HYPERLINK("https://www.google.com/maps/?q=49.010686111,-58.1362694439999", "https://www.google.com/maps/?q=49.010686111,-58.1362694439999")</f>
        <v>https://www.google.com/maps/?q=49.010686111,-58.1362694439999</v>
      </c>
      <c r="I211" s="84" t="s">
        <v>8115</v>
      </c>
    </row>
    <row r="212" spans="1:11" ht="29" x14ac:dyDescent="0.35">
      <c r="A212" t="s">
        <v>8544</v>
      </c>
      <c r="B212" t="s">
        <v>8545</v>
      </c>
      <c r="C212" t="s">
        <v>8546</v>
      </c>
      <c r="D212" t="s">
        <v>8547</v>
      </c>
      <c r="E212" s="33" t="s">
        <v>28</v>
      </c>
      <c r="F212" s="34" t="s">
        <v>8548</v>
      </c>
      <c r="G212" s="35" t="s">
        <v>1356</v>
      </c>
      <c r="H212" s="36" t="str">
        <f>HYPERLINK("https://www.google.com/maps/?q=53.295522222,-60.539694444", "https://www.google.com/maps/?q=53.295522222,-60.539694444")</f>
        <v>https://www.google.com/maps/?q=53.295522222,-60.539694444</v>
      </c>
      <c r="I212" s="37" t="s">
        <v>8549</v>
      </c>
      <c r="J212" s="37" t="s">
        <v>8550</v>
      </c>
      <c r="K212" s="107" t="s">
        <v>8551</v>
      </c>
    </row>
    <row r="213" spans="1:11" ht="29" hidden="1" x14ac:dyDescent="0.35">
      <c r="A213" t="s">
        <v>8552</v>
      </c>
      <c r="B213" t="s">
        <v>8553</v>
      </c>
      <c r="C213" t="s">
        <v>8554</v>
      </c>
      <c r="D213" t="s">
        <v>8555</v>
      </c>
      <c r="E213" s="33" t="s">
        <v>28</v>
      </c>
      <c r="F213" s="34" t="s">
        <v>8385</v>
      </c>
      <c r="H213" s="36" t="str">
        <f>HYPERLINK("https://www.google.com/maps/?q=49.5878638890001,-56.180225", "https://www.google.com/maps/?q=49.5878638890001,-56.180225")</f>
        <v>https://www.google.com/maps/?q=49.5878638890001,-56.180225</v>
      </c>
      <c r="I213" s="84" t="s">
        <v>8115</v>
      </c>
    </row>
    <row r="214" spans="1:11" ht="58" x14ac:dyDescent="0.35">
      <c r="A214" t="s">
        <v>8556</v>
      </c>
      <c r="B214" t="s">
        <v>8557</v>
      </c>
      <c r="C214" t="s">
        <v>8558</v>
      </c>
      <c r="D214" t="s">
        <v>8559</v>
      </c>
      <c r="E214" s="33" t="s">
        <v>28</v>
      </c>
      <c r="F214" s="34" t="s">
        <v>8560</v>
      </c>
      <c r="G214" s="35" t="s">
        <v>1147</v>
      </c>
      <c r="H214" s="53" t="str">
        <f>HYPERLINK("https://www.google.com/maps/?q=47.5654000000001,-52.714427778", "https://www.google.com/maps/?q=47.5654000000001,-52.714427778")</f>
        <v>https://www.google.com/maps/?q=47.5654000000001,-52.714427778</v>
      </c>
      <c r="I214" s="37" t="s">
        <v>8561</v>
      </c>
      <c r="J214" s="37" t="s">
        <v>8562</v>
      </c>
      <c r="K214" s="104" t="s">
        <v>8563</v>
      </c>
    </row>
    <row r="215" spans="1:11" ht="43.5" x14ac:dyDescent="0.35">
      <c r="A215" t="s">
        <v>8564</v>
      </c>
      <c r="B215" t="s">
        <v>8565</v>
      </c>
      <c r="C215" t="s">
        <v>8566</v>
      </c>
      <c r="D215" t="s">
        <v>8567</v>
      </c>
      <c r="E215" s="33" t="s">
        <v>28</v>
      </c>
      <c r="F215" s="34" t="s">
        <v>8568</v>
      </c>
      <c r="G215" s="35" t="s">
        <v>1147</v>
      </c>
      <c r="H215" s="36" t="str">
        <f>HYPERLINK("https://www.google.com/maps/?q=47.566108333,-52.705552778", "https://www.google.com/maps/?q=47.566108333,-52.705552778")</f>
        <v>https://www.google.com/maps/?q=47.566108333,-52.705552778</v>
      </c>
      <c r="I215" s="37" t="s">
        <v>8569</v>
      </c>
      <c r="J215" s="37" t="s">
        <v>8570</v>
      </c>
      <c r="K215" s="104" t="s">
        <v>8571</v>
      </c>
    </row>
    <row r="216" spans="1:11" ht="29" hidden="1" x14ac:dyDescent="0.35">
      <c r="A216" t="s">
        <v>8572</v>
      </c>
      <c r="B216" t="s">
        <v>8573</v>
      </c>
      <c r="C216" t="s">
        <v>8574</v>
      </c>
      <c r="D216" t="s">
        <v>8575</v>
      </c>
      <c r="E216" s="33" t="s">
        <v>28</v>
      </c>
      <c r="F216" s="34" t="s">
        <v>8576</v>
      </c>
      <c r="H216" s="36" t="str">
        <f>HYPERLINK("https://www.google.com/maps/?q=48.9581000000001,-57.9005999999999", "https://www.google.com/maps/?q=48.9581000000001,-57.9005999999999")</f>
        <v>https://www.google.com/maps/?q=48.9581000000001,-57.9005999999999</v>
      </c>
      <c r="I216" s="84" t="s">
        <v>1210</v>
      </c>
    </row>
    <row r="217" spans="1:11" ht="29" hidden="1" x14ac:dyDescent="0.35">
      <c r="A217" t="s">
        <v>8577</v>
      </c>
      <c r="B217" t="s">
        <v>8578</v>
      </c>
      <c r="C217" t="s">
        <v>8579</v>
      </c>
      <c r="D217" t="s">
        <v>8580</v>
      </c>
      <c r="E217" s="33" t="s">
        <v>28</v>
      </c>
      <c r="F217" s="34" t="s">
        <v>8581</v>
      </c>
      <c r="H217" s="36" t="str">
        <f>HYPERLINK("https://www.google.com/maps/?q=47.602858333,-52.736538889", "https://www.google.com/maps/?q=47.602858333,-52.736538889")</f>
        <v>https://www.google.com/maps/?q=47.602858333,-52.736538889</v>
      </c>
      <c r="I217" s="84" t="s">
        <v>8115</v>
      </c>
    </row>
    <row r="218" spans="1:11" ht="43.5" x14ac:dyDescent="0.35">
      <c r="A218" t="s">
        <v>8582</v>
      </c>
      <c r="B218" t="s">
        <v>8583</v>
      </c>
      <c r="C218" t="s">
        <v>8584</v>
      </c>
      <c r="D218" t="s">
        <v>8585</v>
      </c>
      <c r="E218" s="33" t="s">
        <v>28</v>
      </c>
      <c r="F218" s="34" t="s">
        <v>8586</v>
      </c>
      <c r="G218" s="35" t="s">
        <v>1147</v>
      </c>
      <c r="H218" s="36" t="str">
        <f>HYPERLINK("https://www.google.com/maps/?q=47.5820277780001,-52.712091667", "https://www.google.com/maps/?q=47.5820277780001,-52.712091667")</f>
        <v>https://www.google.com/maps/?q=47.5820277780001,-52.712091667</v>
      </c>
      <c r="I218" s="37" t="s">
        <v>8587</v>
      </c>
      <c r="J218" s="37" t="s">
        <v>8588</v>
      </c>
      <c r="K218" s="104" t="s">
        <v>8589</v>
      </c>
    </row>
    <row r="219" spans="1:11" ht="43.5" x14ac:dyDescent="0.35">
      <c r="A219" t="s">
        <v>8590</v>
      </c>
      <c r="B219" t="s">
        <v>8591</v>
      </c>
      <c r="C219" t="s">
        <v>8592</v>
      </c>
      <c r="D219" t="s">
        <v>8593</v>
      </c>
      <c r="E219" s="33" t="s">
        <v>50</v>
      </c>
      <c r="F219" s="34" t="s">
        <v>8594</v>
      </c>
      <c r="G219" s="35" t="s">
        <v>1147</v>
      </c>
      <c r="H219" s="36" t="str">
        <f>HYPERLINK("https://www.google.com/maps/?q=48.952461111,-57.952827778", "https://www.google.com/maps/?q=48.952461111,-57.952827778")</f>
        <v>https://www.google.com/maps/?q=48.952461111,-57.952827778</v>
      </c>
      <c r="I219" s="37" t="s">
        <v>8595</v>
      </c>
      <c r="J219" s="37" t="s">
        <v>8596</v>
      </c>
      <c r="K219" s="104" t="s">
        <v>8595</v>
      </c>
    </row>
    <row r="220" spans="1:11" ht="29" x14ac:dyDescent="0.35">
      <c r="A220" t="s">
        <v>8597</v>
      </c>
      <c r="B220" t="s">
        <v>8598</v>
      </c>
      <c r="C220" t="s">
        <v>8599</v>
      </c>
      <c r="D220" t="s">
        <v>8600</v>
      </c>
      <c r="E220" s="33" t="s">
        <v>50</v>
      </c>
      <c r="F220" s="34" t="s">
        <v>8176</v>
      </c>
      <c r="G220" s="35" t="s">
        <v>1253</v>
      </c>
      <c r="H220" s="36" t="str">
        <f>HYPERLINK("https://www.google.com/maps/?q=47.583611111,-52.742222222", "https://www.google.com/maps/?q=47.583611111,-52.742222222")</f>
        <v>https://www.google.com/maps/?q=47.583611111,-52.742222222</v>
      </c>
      <c r="I220" s="37" t="s">
        <v>8177</v>
      </c>
      <c r="J220" s="37" t="s">
        <v>8601</v>
      </c>
      <c r="K220" s="104" t="s">
        <v>8179</v>
      </c>
    </row>
    <row r="221" spans="1:11" ht="29" x14ac:dyDescent="0.35">
      <c r="A221" t="s">
        <v>8602</v>
      </c>
      <c r="B221" t="s">
        <v>8603</v>
      </c>
      <c r="C221" t="s">
        <v>8604</v>
      </c>
      <c r="D221" t="s">
        <v>8605</v>
      </c>
      <c r="E221" s="33" t="s">
        <v>50</v>
      </c>
      <c r="F221" s="34" t="s">
        <v>8606</v>
      </c>
      <c r="G221" s="35" t="s">
        <v>1356</v>
      </c>
      <c r="H221" s="36" t="str">
        <f>HYPERLINK("https://www.google.com/maps/?q=48.914186111,-57.918347222", "https://www.google.com/maps/?q=48.914186111,-57.918347222")</f>
        <v>https://www.google.com/maps/?q=48.914186111,-57.918347222</v>
      </c>
      <c r="I221" s="37" t="s">
        <v>8607</v>
      </c>
      <c r="J221" s="37" t="s">
        <v>8608</v>
      </c>
      <c r="K221" s="104" t="s">
        <v>8609</v>
      </c>
    </row>
    <row r="222" spans="1:11" ht="72.5" x14ac:dyDescent="0.35">
      <c r="A222" t="s">
        <v>8610</v>
      </c>
      <c r="B222" t="s">
        <v>8611</v>
      </c>
      <c r="C222" t="s">
        <v>8612</v>
      </c>
      <c r="D222" t="s">
        <v>8613</v>
      </c>
      <c r="E222" s="33" t="s">
        <v>66</v>
      </c>
      <c r="F222" s="34" t="s">
        <v>8614</v>
      </c>
      <c r="G222" s="35" t="s">
        <v>1253</v>
      </c>
      <c r="H222" s="36" t="str">
        <f>HYPERLINK("https://www.google.com/maps/?q=47.520277778,-52.8674999999999", "https://www.google.com/maps/?q=47.520277778,-52.8674999999999")</f>
        <v>https://www.google.com/maps/?q=47.520277778,-52.8674999999999</v>
      </c>
      <c r="I222" s="37" t="s">
        <v>8615</v>
      </c>
      <c r="J222" s="37" t="s">
        <v>8616</v>
      </c>
      <c r="K222" s="104" t="s">
        <v>8617</v>
      </c>
    </row>
    <row r="223" spans="1:11" ht="29" hidden="1" x14ac:dyDescent="0.35">
      <c r="A223" t="s">
        <v>8618</v>
      </c>
      <c r="B223" t="s">
        <v>8619</v>
      </c>
      <c r="C223" t="s">
        <v>8620</v>
      </c>
      <c r="D223" t="s">
        <v>8621</v>
      </c>
      <c r="E223" s="33" t="s">
        <v>50</v>
      </c>
      <c r="F223" s="34" t="s">
        <v>8622</v>
      </c>
      <c r="H223" s="36" t="str">
        <f>HYPERLINK("https://www.google.com/maps/?q=47.6442361110001,-52.850419444", "https://www.google.com/maps/?q=47.6442361110001,-52.850419444")</f>
        <v>https://www.google.com/maps/?q=47.6442361110001,-52.850419444</v>
      </c>
      <c r="I223" s="84" t="s">
        <v>1210</v>
      </c>
    </row>
    <row r="224" spans="1:11" ht="29" hidden="1" x14ac:dyDescent="0.35">
      <c r="A224" t="s">
        <v>8623</v>
      </c>
      <c r="B224" t="s">
        <v>8624</v>
      </c>
      <c r="C224" t="s">
        <v>8625</v>
      </c>
      <c r="D224" t="s">
        <v>8626</v>
      </c>
      <c r="E224" s="33" t="s">
        <v>28</v>
      </c>
      <c r="F224" s="34" t="s">
        <v>8627</v>
      </c>
      <c r="H224" s="36" t="str">
        <f>HYPERLINK("https://www.google.com/maps/?q=48.952497222,-57.946108333", "https://www.google.com/maps/?q=48.952497222,-57.946108333")</f>
        <v>https://www.google.com/maps/?q=48.952497222,-57.946108333</v>
      </c>
      <c r="I224" s="84" t="s">
        <v>7889</v>
      </c>
    </row>
    <row r="225" spans="1:11" ht="43.5" x14ac:dyDescent="0.35">
      <c r="A225" t="s">
        <v>8628</v>
      </c>
      <c r="B225" t="s">
        <v>8629</v>
      </c>
      <c r="C225" t="s">
        <v>8630</v>
      </c>
      <c r="D225" t="s">
        <v>8631</v>
      </c>
      <c r="E225" s="33" t="s">
        <v>28</v>
      </c>
      <c r="F225" s="34" t="s">
        <v>8632</v>
      </c>
      <c r="G225" s="35" t="s">
        <v>1356</v>
      </c>
      <c r="H225" s="36" t="str">
        <f>HYPERLINK("https://www.google.com/maps/?q=46.9074972220001,-55.960555556", "https://www.google.com/maps/?q=46.9074972220001,-55.960555556")</f>
        <v>https://www.google.com/maps/?q=46.9074972220001,-55.960555556</v>
      </c>
      <c r="I225" s="37" t="s">
        <v>8633</v>
      </c>
      <c r="J225" s="37" t="s">
        <v>8634</v>
      </c>
      <c r="K225" s="104" t="s">
        <v>8635</v>
      </c>
    </row>
    <row r="226" spans="1:11" ht="29" hidden="1" x14ac:dyDescent="0.35">
      <c r="A226" t="s">
        <v>8636</v>
      </c>
      <c r="B226" t="s">
        <v>8637</v>
      </c>
      <c r="C226" t="s">
        <v>8638</v>
      </c>
      <c r="D226" t="s">
        <v>8639</v>
      </c>
      <c r="E226" s="33" t="s">
        <v>28</v>
      </c>
      <c r="F226" s="34" t="s">
        <v>8640</v>
      </c>
      <c r="H226" s="36" t="str">
        <f>HYPERLINK("https://www.google.com/maps/?q=47.5748222220001,-52.713902778", "https://www.google.com/maps/?q=47.5748222220001,-52.713902778")</f>
        <v>https://www.google.com/maps/?q=47.5748222220001,-52.713902778</v>
      </c>
      <c r="I226" s="84" t="s">
        <v>8115</v>
      </c>
    </row>
    <row r="227" spans="1:11" ht="29" hidden="1" x14ac:dyDescent="0.35">
      <c r="A227" t="s">
        <v>8641</v>
      </c>
      <c r="B227" t="s">
        <v>8642</v>
      </c>
      <c r="C227" t="s">
        <v>8643</v>
      </c>
      <c r="D227" t="s">
        <v>8644</v>
      </c>
      <c r="E227" s="33" t="s">
        <v>28</v>
      </c>
      <c r="F227" s="34" t="s">
        <v>8645</v>
      </c>
      <c r="H227" s="36" t="str">
        <f>HYPERLINK("https://www.google.com/maps/?q=53.3094,-60.3763999999999", "https://www.google.com/maps/?q=53.3094,-60.3763999999999")</f>
        <v>https://www.google.com/maps/?q=53.3094,-60.3763999999999</v>
      </c>
      <c r="I227" s="84" t="s">
        <v>7889</v>
      </c>
    </row>
    <row r="228" spans="1:11" ht="29" hidden="1" x14ac:dyDescent="0.35">
      <c r="A228" t="s">
        <v>8646</v>
      </c>
      <c r="B228" t="s">
        <v>8647</v>
      </c>
      <c r="C228" t="s">
        <v>8648</v>
      </c>
      <c r="D228" t="s">
        <v>8649</v>
      </c>
      <c r="E228" s="33" t="s">
        <v>28</v>
      </c>
      <c r="F228" s="34" t="s">
        <v>8650</v>
      </c>
      <c r="H228" s="36" t="str">
        <f>HYPERLINK("https://www.google.com/maps/?q=52.541447222,-56.297380556", "https://www.google.com/maps/?q=52.541447222,-56.297380556")</f>
        <v>https://www.google.com/maps/?q=52.541447222,-56.297380556</v>
      </c>
      <c r="I228" s="84" t="s">
        <v>8115</v>
      </c>
    </row>
    <row r="229" spans="1:11" ht="29" hidden="1" x14ac:dyDescent="0.35">
      <c r="A229" t="s">
        <v>8651</v>
      </c>
      <c r="B229" t="s">
        <v>8652</v>
      </c>
      <c r="C229" t="s">
        <v>8653</v>
      </c>
      <c r="D229" t="s">
        <v>8654</v>
      </c>
      <c r="E229" s="33" t="s">
        <v>28</v>
      </c>
      <c r="F229" s="34" t="s">
        <v>8655</v>
      </c>
      <c r="H229" s="36" t="str">
        <f>HYPERLINK("https://www.google.com/maps/?q=47.5778472220001,-52.699952778", "https://www.google.com/maps/?q=47.5778472220001,-52.699952778")</f>
        <v>https://www.google.com/maps/?q=47.5778472220001,-52.699952778</v>
      </c>
      <c r="I229" s="84" t="s">
        <v>8115</v>
      </c>
    </row>
    <row r="230" spans="1:11" ht="29" hidden="1" x14ac:dyDescent="0.35">
      <c r="A230" t="s">
        <v>8656</v>
      </c>
      <c r="B230" t="s">
        <v>8657</v>
      </c>
      <c r="C230" t="s">
        <v>8658</v>
      </c>
      <c r="D230" t="s">
        <v>8659</v>
      </c>
      <c r="E230" s="33" t="s">
        <v>28</v>
      </c>
      <c r="F230" s="34" t="s">
        <v>8660</v>
      </c>
      <c r="H230" s="36" t="str">
        <f>HYPERLINK("https://www.google.com/maps/?q=47.5641722220001,-52.762247222", "https://www.google.com/maps/?q=47.5641722220001,-52.762247222")</f>
        <v>https://www.google.com/maps/?q=47.5641722220001,-52.762247222</v>
      </c>
      <c r="I230" s="84" t="s">
        <v>8115</v>
      </c>
    </row>
    <row r="231" spans="1:11" ht="45" hidden="1" customHeight="1" x14ac:dyDescent="0.35">
      <c r="A231" t="s">
        <v>8661</v>
      </c>
      <c r="B231" t="s">
        <v>8662</v>
      </c>
      <c r="C231" t="s">
        <v>8663</v>
      </c>
      <c r="D231" t="s">
        <v>8664</v>
      </c>
      <c r="E231" s="33" t="s">
        <v>28</v>
      </c>
      <c r="F231" s="34" t="s">
        <v>8665</v>
      </c>
      <c r="H231" s="53" t="s">
        <v>8666</v>
      </c>
      <c r="I231" s="84" t="s">
        <v>7889</v>
      </c>
    </row>
    <row r="232" spans="1:11" ht="29" hidden="1" x14ac:dyDescent="0.35">
      <c r="A232" t="s">
        <v>8667</v>
      </c>
      <c r="B232" t="s">
        <v>8668</v>
      </c>
      <c r="C232" t="s">
        <v>8669</v>
      </c>
      <c r="D232" t="s">
        <v>8670</v>
      </c>
      <c r="E232" s="33" t="s">
        <v>44</v>
      </c>
      <c r="F232" s="34" t="s">
        <v>7736</v>
      </c>
      <c r="H232" s="36" t="str">
        <f>HYPERLINK("https://www.google.com/maps/?q=49.0915416670001,-57.500733333", "https://www.google.com/maps/?q=49.0915416670001,-57.500733333")</f>
        <v>https://www.google.com/maps/?q=49.0915416670001,-57.500733333</v>
      </c>
      <c r="I232" s="84" t="s">
        <v>1210</v>
      </c>
    </row>
    <row r="233" spans="1:11" ht="29" x14ac:dyDescent="0.35">
      <c r="A233" t="s">
        <v>8671</v>
      </c>
      <c r="B233" t="s">
        <v>8672</v>
      </c>
      <c r="C233" t="s">
        <v>8673</v>
      </c>
      <c r="D233" t="s">
        <v>8674</v>
      </c>
      <c r="E233" s="33" t="s">
        <v>44</v>
      </c>
      <c r="F233" s="34" t="s">
        <v>8675</v>
      </c>
      <c r="G233" s="35" t="s">
        <v>1253</v>
      </c>
      <c r="H233" s="36" t="str">
        <f>HYPERLINK("https://www.google.com/maps/?q=49.4449527780001,-53.9625694439999", "https://www.google.com/maps/?q=49.4449527780001,-53.9625694439999")</f>
        <v>https://www.google.com/maps/?q=49.4449527780001,-53.9625694439999</v>
      </c>
      <c r="I233" s="37" t="s">
        <v>8676</v>
      </c>
      <c r="J233" s="37" t="s">
        <v>8677</v>
      </c>
      <c r="K233" s="104" t="s">
        <v>8678</v>
      </c>
    </row>
    <row r="234" spans="1:11" x14ac:dyDescent="0.35">
      <c r="A234" t="s">
        <v>8679</v>
      </c>
      <c r="B234" t="s">
        <v>8680</v>
      </c>
      <c r="C234" t="s">
        <v>8681</v>
      </c>
      <c r="D234" t="s">
        <v>8682</v>
      </c>
      <c r="E234" s="33" t="s">
        <v>1109</v>
      </c>
      <c r="F234" s="34" t="s">
        <v>8683</v>
      </c>
      <c r="H234" s="36" t="str">
        <f>HYPERLINK("https://www.google.com/maps/?q=53.0711111110001,-66.203055556", "https://www.google.com/maps/?q=53.0711111110001,-66.203055556")</f>
        <v>https://www.google.com/maps/?q=53.0711111110001,-66.203055556</v>
      </c>
    </row>
    <row r="235" spans="1:11" ht="43.5" x14ac:dyDescent="0.35">
      <c r="A235" t="s">
        <v>8684</v>
      </c>
      <c r="B235" t="s">
        <v>8685</v>
      </c>
      <c r="C235" t="s">
        <v>8686</v>
      </c>
      <c r="D235" t="s">
        <v>8687</v>
      </c>
      <c r="E235" s="33" t="s">
        <v>28</v>
      </c>
      <c r="F235" s="34" t="s">
        <v>7736</v>
      </c>
      <c r="H235" s="36" t="str">
        <f>HYPERLINK("https://www.google.com/maps/?q=48.585977778,-54.381608333", "https://www.google.com/maps/?q=48.585977778,-54.381608333")</f>
        <v>https://www.google.com/maps/?q=48.585977778,-54.381608333</v>
      </c>
      <c r="J235" s="84" t="s">
        <v>8688</v>
      </c>
    </row>
    <row r="236" spans="1:11" ht="43.5" hidden="1" x14ac:dyDescent="0.35">
      <c r="A236" t="s">
        <v>8689</v>
      </c>
      <c r="B236" t="s">
        <v>8690</v>
      </c>
      <c r="C236" t="s">
        <v>8691</v>
      </c>
      <c r="D236" t="s">
        <v>8692</v>
      </c>
      <c r="E236" s="33" t="s">
        <v>28</v>
      </c>
      <c r="F236" s="34" t="s">
        <v>8693</v>
      </c>
      <c r="H236" s="36" t="str">
        <f>HYPERLINK("https://www.google.com/maps/?q=48.396666667,-54.095830556", "https://www.google.com/maps/?q=48.396666667,-54.095830556")</f>
        <v>https://www.google.com/maps/?q=48.396666667,-54.095830556</v>
      </c>
      <c r="I236" s="84" t="s">
        <v>1210</v>
      </c>
      <c r="J236" s="37" t="s">
        <v>8694</v>
      </c>
    </row>
    <row r="237" spans="1:11" ht="29" hidden="1" x14ac:dyDescent="0.35">
      <c r="A237" t="s">
        <v>8695</v>
      </c>
      <c r="B237" t="s">
        <v>6685</v>
      </c>
      <c r="C237" t="s">
        <v>8696</v>
      </c>
      <c r="D237" t="s">
        <v>6687</v>
      </c>
      <c r="E237" s="33" t="s">
        <v>28</v>
      </c>
      <c r="F237" s="34" t="s">
        <v>8697</v>
      </c>
      <c r="H237" s="36" t="str">
        <f>HYPERLINK("https://www.google.com/maps/?q=52.9583277780001,-66.9347222219999", "https://www.google.com/maps/?q=52.9583277780001,-66.9347222219999")</f>
        <v>https://www.google.com/maps/?q=52.9583277780001,-66.9347222219999</v>
      </c>
      <c r="I237" s="84" t="s">
        <v>1210</v>
      </c>
    </row>
    <row r="238" spans="1:11" ht="29" hidden="1" x14ac:dyDescent="0.35">
      <c r="A238" t="s">
        <v>8698</v>
      </c>
      <c r="B238" t="s">
        <v>8699</v>
      </c>
      <c r="C238" t="s">
        <v>8700</v>
      </c>
      <c r="D238" t="s">
        <v>8701</v>
      </c>
      <c r="E238" s="33" t="s">
        <v>28</v>
      </c>
      <c r="F238" s="34" t="s">
        <v>8702</v>
      </c>
      <c r="H238" s="36" t="str">
        <f>HYPERLINK("https://www.google.com/maps/?q=47.7166750000001,-52.709441667", "https://www.google.com/maps/?q=47.7166750000001,-52.709441667")</f>
        <v>https://www.google.com/maps/?q=47.7166750000001,-52.709441667</v>
      </c>
      <c r="I238" s="84" t="s">
        <v>1210</v>
      </c>
    </row>
    <row r="239" spans="1:11" ht="29" hidden="1" x14ac:dyDescent="0.35">
      <c r="A239" t="s">
        <v>8703</v>
      </c>
      <c r="B239" t="s">
        <v>8704</v>
      </c>
      <c r="C239" t="s">
        <v>8705</v>
      </c>
      <c r="D239" t="s">
        <v>8706</v>
      </c>
      <c r="E239" s="33" t="s">
        <v>50</v>
      </c>
      <c r="F239" s="34" t="s">
        <v>8707</v>
      </c>
      <c r="H239" s="36" t="str">
        <f>HYPERLINK("https://www.google.com/maps/?q=47.6008,-52.690322222", "https://www.google.com/maps/?q=47.6008,-52.690322222")</f>
        <v>https://www.google.com/maps/?q=47.6008,-52.690322222</v>
      </c>
      <c r="I239" s="84" t="s">
        <v>8115</v>
      </c>
    </row>
    <row r="240" spans="1:11" ht="29" hidden="1" x14ac:dyDescent="0.35">
      <c r="A240" t="s">
        <v>8708</v>
      </c>
      <c r="B240" t="s">
        <v>8709</v>
      </c>
      <c r="C240" t="s">
        <v>8710</v>
      </c>
      <c r="D240" t="s">
        <v>8711</v>
      </c>
      <c r="E240" s="33" t="s">
        <v>50</v>
      </c>
      <c r="F240" s="34" t="s">
        <v>8712</v>
      </c>
      <c r="H240" s="36" t="str">
        <f>HYPERLINK("https://www.google.com/maps/?q=47.5553194440001,-52.732413889", "https://www.google.com/maps/?q=47.5553194440001,-52.732413889")</f>
        <v>https://www.google.com/maps/?q=47.5553194440001,-52.732413889</v>
      </c>
      <c r="I240" s="84" t="s">
        <v>8115</v>
      </c>
    </row>
    <row r="241" spans="1:11" ht="43.5" x14ac:dyDescent="0.35">
      <c r="A241" t="s">
        <v>8713</v>
      </c>
      <c r="B241" t="s">
        <v>8714</v>
      </c>
      <c r="C241" t="s">
        <v>8715</v>
      </c>
      <c r="D241" t="s">
        <v>8716</v>
      </c>
      <c r="E241" s="33" t="s">
        <v>50</v>
      </c>
      <c r="F241" s="34" t="s">
        <v>7851</v>
      </c>
      <c r="G241" s="35" t="s">
        <v>1356</v>
      </c>
      <c r="H241" s="36" t="str">
        <f>HYPERLINK("https://www.google.com/maps/?q=48.9338750000001,-57.966172222", "https://www.google.com/maps/?q=48.9338750000001,-57.966172222")</f>
        <v>https://www.google.com/maps/?q=48.9338750000001,-57.966172222</v>
      </c>
      <c r="I241" s="37" t="s">
        <v>8717</v>
      </c>
      <c r="J241" s="37" t="s">
        <v>8718</v>
      </c>
      <c r="K241" s="104" t="s">
        <v>8719</v>
      </c>
    </row>
    <row r="242" spans="1:11" ht="43.5" x14ac:dyDescent="0.35">
      <c r="A242" t="s">
        <v>8720</v>
      </c>
      <c r="B242" t="s">
        <v>8721</v>
      </c>
      <c r="C242" t="s">
        <v>8722</v>
      </c>
      <c r="D242" t="s">
        <v>8723</v>
      </c>
      <c r="E242" s="33" t="s">
        <v>28</v>
      </c>
      <c r="F242" s="34" t="s">
        <v>8274</v>
      </c>
      <c r="G242" s="35" t="s">
        <v>1356</v>
      </c>
      <c r="H242" s="36" t="str">
        <f>HYPERLINK("https://www.google.com/maps/?q=47.6930472220001,-53.469163889", "https://www.google.com/maps/?q=47.6930472220001,-53.469163889")</f>
        <v>https://www.google.com/maps/?q=47.6930472220001,-53.469163889</v>
      </c>
      <c r="I242" s="37" t="s">
        <v>8724</v>
      </c>
      <c r="J242" s="37" t="s">
        <v>8725</v>
      </c>
      <c r="K242" s="104" t="s">
        <v>8726</v>
      </c>
    </row>
    <row r="243" spans="1:11" ht="29" x14ac:dyDescent="0.35">
      <c r="A243" t="s">
        <v>8727</v>
      </c>
      <c r="B243" t="s">
        <v>8728</v>
      </c>
      <c r="C243" t="s">
        <v>8729</v>
      </c>
      <c r="D243" t="s">
        <v>8730</v>
      </c>
      <c r="E243" s="33" t="s">
        <v>28</v>
      </c>
      <c r="F243" s="34" t="s">
        <v>8731</v>
      </c>
      <c r="G243" s="35" t="s">
        <v>1253</v>
      </c>
      <c r="H243" s="36" t="str">
        <f>HYPERLINK("https://www.google.com/maps/?q=49.1659916670001,-57.423280556", "https://www.google.com/maps/?q=49.1659916670001,-57.423280556")</f>
        <v>https://www.google.com/maps/?q=49.1659916670001,-57.423280556</v>
      </c>
      <c r="I243" s="37" t="s">
        <v>8732</v>
      </c>
      <c r="J243" s="37" t="s">
        <v>8733</v>
      </c>
      <c r="K243" s="104" t="s">
        <v>8734</v>
      </c>
    </row>
    <row r="244" spans="1:11" ht="72.5" x14ac:dyDescent="0.35">
      <c r="A244" t="s">
        <v>8735</v>
      </c>
      <c r="B244" t="s">
        <v>8736</v>
      </c>
      <c r="C244" t="s">
        <v>8737</v>
      </c>
      <c r="D244" t="s">
        <v>8738</v>
      </c>
      <c r="E244" s="33" t="s">
        <v>28</v>
      </c>
      <c r="F244" s="34" t="s">
        <v>8739</v>
      </c>
      <c r="G244" s="35" t="s">
        <v>1131</v>
      </c>
      <c r="H244" s="36" t="str">
        <f>HYPERLINK("https://www.google.com/maps/?q=47.5606000000001,-52.7431", "https://www.google.com/maps/?q=47.5606000000001,-52.7431")</f>
        <v>https://www.google.com/maps/?q=47.5606000000001,-52.7431</v>
      </c>
      <c r="I244" s="37" t="s">
        <v>8740</v>
      </c>
      <c r="J244" s="37" t="s">
        <v>8741</v>
      </c>
      <c r="K244" s="104" t="s">
        <v>8742</v>
      </c>
    </row>
    <row r="245" spans="1:11" hidden="1" x14ac:dyDescent="0.35">
      <c r="A245" t="s">
        <v>8743</v>
      </c>
      <c r="B245" t="s">
        <v>8744</v>
      </c>
      <c r="C245" t="s">
        <v>8745</v>
      </c>
      <c r="D245" t="s">
        <v>8746</v>
      </c>
      <c r="E245" s="33" t="s">
        <v>28</v>
      </c>
      <c r="F245" s="34" t="s">
        <v>8747</v>
      </c>
      <c r="H245" s="36" t="str">
        <f>HYPERLINK("https://www.google.com/maps/?q=47.0486083330001,-55.217775", "https://www.google.com/maps/?q=47.0486083330001,-55.217775")</f>
        <v>https://www.google.com/maps/?q=47.0486083330001,-55.217775</v>
      </c>
      <c r="I245" s="84" t="s">
        <v>1210</v>
      </c>
    </row>
    <row r="246" spans="1:11" ht="29" hidden="1" x14ac:dyDescent="0.35">
      <c r="A246" t="s">
        <v>8748</v>
      </c>
      <c r="B246" t="s">
        <v>8749</v>
      </c>
      <c r="C246" t="s">
        <v>8750</v>
      </c>
      <c r="D246" t="s">
        <v>8751</v>
      </c>
      <c r="E246" s="33" t="s">
        <v>28</v>
      </c>
      <c r="F246" s="34" t="s">
        <v>8752</v>
      </c>
      <c r="H246" s="36" t="str">
        <f>HYPERLINK("https://www.google.com/maps/?q=48.9414055560001,-54.5770638889999", "https://www.google.com/maps/?q=48.9414055560001,-54.5770638889999")</f>
        <v>https://www.google.com/maps/?q=48.9414055560001,-54.5770638889999</v>
      </c>
      <c r="I246" s="84" t="s">
        <v>8115</v>
      </c>
    </row>
    <row r="247" spans="1:11" ht="29" hidden="1" x14ac:dyDescent="0.35">
      <c r="A247" t="s">
        <v>8753</v>
      </c>
      <c r="B247" t="s">
        <v>8754</v>
      </c>
      <c r="C247" t="s">
        <v>8755</v>
      </c>
      <c r="D247" t="s">
        <v>8756</v>
      </c>
      <c r="E247" s="33" t="s">
        <v>28</v>
      </c>
      <c r="F247" s="34" t="s">
        <v>8757</v>
      </c>
      <c r="H247" s="36" t="str">
        <f>HYPERLINK("https://www.google.com/maps/?q=47.3212500000001,-53.908847222", "https://www.google.com/maps/?q=47.3212500000001,-53.908847222")</f>
        <v>https://www.google.com/maps/?q=47.3212500000001,-53.908847222</v>
      </c>
      <c r="I247" s="84" t="s">
        <v>8115</v>
      </c>
    </row>
    <row r="248" spans="1:11" ht="29" hidden="1" x14ac:dyDescent="0.35">
      <c r="A248" t="s">
        <v>8758</v>
      </c>
      <c r="B248" t="s">
        <v>8759</v>
      </c>
      <c r="C248" t="s">
        <v>8760</v>
      </c>
      <c r="D248" t="s">
        <v>8761</v>
      </c>
      <c r="E248" s="33" t="s">
        <v>28</v>
      </c>
      <c r="F248" s="34" t="s">
        <v>8762</v>
      </c>
      <c r="H248" s="36" t="str">
        <f>HYPERLINK("https://www.google.com/maps/?q=48.999402778,-57.896094444", "https://www.google.com/maps/?q=48.999402778,-57.896094444")</f>
        <v>https://www.google.com/maps/?q=48.999402778,-57.896094444</v>
      </c>
      <c r="I248" s="84" t="s">
        <v>8115</v>
      </c>
    </row>
    <row r="249" spans="1:11" ht="29" hidden="1" x14ac:dyDescent="0.35">
      <c r="A249" t="s">
        <v>8763</v>
      </c>
      <c r="B249" t="s">
        <v>8764</v>
      </c>
      <c r="C249" t="s">
        <v>8765</v>
      </c>
      <c r="D249" t="s">
        <v>8766</v>
      </c>
      <c r="E249" s="33" t="s">
        <v>28</v>
      </c>
      <c r="F249" s="34" t="s">
        <v>8767</v>
      </c>
      <c r="H249" s="36" t="str">
        <f>HYPERLINK("https://www.google.com/maps/?q=47.534258333,-52.806283333", "https://www.google.com/maps/?q=47.534258333,-52.806283333")</f>
        <v>https://www.google.com/maps/?q=47.534258333,-52.806283333</v>
      </c>
      <c r="I249" s="84" t="s">
        <v>8115</v>
      </c>
    </row>
    <row r="250" spans="1:11" ht="29" hidden="1" x14ac:dyDescent="0.35">
      <c r="A250" t="s">
        <v>8768</v>
      </c>
      <c r="B250" t="s">
        <v>8769</v>
      </c>
      <c r="C250" t="s">
        <v>8770</v>
      </c>
      <c r="D250" t="s">
        <v>8771</v>
      </c>
      <c r="E250" s="33" t="s">
        <v>28</v>
      </c>
      <c r="F250" s="34" t="s">
        <v>8772</v>
      </c>
      <c r="H250" s="36" t="str">
        <f>HYPERLINK("https://www.google.com/maps/?q=47.600319444,-52.694111111", "https://www.google.com/maps/?q=47.600319444,-52.694111111")</f>
        <v>https://www.google.com/maps/?q=47.600319444,-52.694111111</v>
      </c>
      <c r="I250" s="84" t="s">
        <v>8115</v>
      </c>
    </row>
    <row r="251" spans="1:11" ht="29" hidden="1" x14ac:dyDescent="0.35">
      <c r="A251" t="s">
        <v>8773</v>
      </c>
      <c r="B251" t="s">
        <v>8774</v>
      </c>
      <c r="C251" t="s">
        <v>8775</v>
      </c>
      <c r="D251" t="s">
        <v>8776</v>
      </c>
      <c r="E251" s="33" t="s">
        <v>28</v>
      </c>
      <c r="F251" s="34" t="s">
        <v>8777</v>
      </c>
      <c r="H251" s="36" t="str">
        <f>HYPERLINK("https://www.google.com/maps/?q=47.5577083330001,-52.7550388889999", "https://www.google.com/maps/?q=47.5577083330001,-52.7550388889999")</f>
        <v>https://www.google.com/maps/?q=47.5577083330001,-52.7550388889999</v>
      </c>
      <c r="I251" s="84" t="s">
        <v>8115</v>
      </c>
    </row>
    <row r="252" spans="1:11" ht="29" hidden="1" x14ac:dyDescent="0.35">
      <c r="A252" t="s">
        <v>8778</v>
      </c>
      <c r="B252" t="s">
        <v>8779</v>
      </c>
      <c r="C252" t="s">
        <v>8780</v>
      </c>
      <c r="D252" t="s">
        <v>8781</v>
      </c>
      <c r="E252" s="33" t="s">
        <v>28</v>
      </c>
      <c r="F252" s="34" t="s">
        <v>8782</v>
      </c>
      <c r="H252" s="36" t="str">
        <f>HYPERLINK("https://www.google.com/maps/?q=47.490136111,-52.828527778", "https://www.google.com/maps/?q=47.490136111,-52.828527778")</f>
        <v>https://www.google.com/maps/?q=47.490136111,-52.828527778</v>
      </c>
      <c r="I252" s="84" t="s">
        <v>8115</v>
      </c>
    </row>
    <row r="253" spans="1:11" ht="29" hidden="1" x14ac:dyDescent="0.35">
      <c r="A253" t="s">
        <v>8783</v>
      </c>
      <c r="B253" t="s">
        <v>8784</v>
      </c>
      <c r="C253" t="s">
        <v>8785</v>
      </c>
      <c r="D253" t="s">
        <v>8786</v>
      </c>
      <c r="E253" s="33" t="s">
        <v>28</v>
      </c>
      <c r="F253" s="34" t="s">
        <v>8787</v>
      </c>
      <c r="H253" s="36" t="str">
        <f>HYPERLINK("https://www.google.com/maps/?q=47.459102778,-52.771891667", "https://www.google.com/maps/?q=47.459102778,-52.771891667")</f>
        <v>https://www.google.com/maps/?q=47.459102778,-52.771891667</v>
      </c>
      <c r="I253" s="84" t="s">
        <v>8115</v>
      </c>
    </row>
    <row r="254" spans="1:11" hidden="1" x14ac:dyDescent="0.35">
      <c r="A254" t="s">
        <v>2697</v>
      </c>
      <c r="B254" t="s">
        <v>8788</v>
      </c>
      <c r="C254" t="s">
        <v>2699</v>
      </c>
      <c r="D254" t="s">
        <v>8789</v>
      </c>
      <c r="E254" s="33" t="s">
        <v>28</v>
      </c>
      <c r="F254" s="34" t="s">
        <v>8790</v>
      </c>
      <c r="H254" s="36" t="str">
        <f>HYPERLINK("https://www.google.com/maps/?q=47.4496972220001,-52.9756", "https://www.google.com/maps/?q=47.4496972220001,-52.9756")</f>
        <v>https://www.google.com/maps/?q=47.4496972220001,-52.9756</v>
      </c>
      <c r="I254" s="84" t="s">
        <v>1210</v>
      </c>
    </row>
    <row r="255" spans="1:11" ht="45" customHeight="1" x14ac:dyDescent="0.35">
      <c r="A255" t="s">
        <v>8791</v>
      </c>
      <c r="B255" t="s">
        <v>8792</v>
      </c>
      <c r="C255" t="s">
        <v>8793</v>
      </c>
      <c r="D255" t="s">
        <v>8794</v>
      </c>
      <c r="E255" s="33" t="s">
        <v>28</v>
      </c>
      <c r="F255" s="34" t="s">
        <v>8795</v>
      </c>
      <c r="G255" s="35" t="s">
        <v>1253</v>
      </c>
      <c r="H255" s="53" t="s">
        <v>8796</v>
      </c>
      <c r="I255" s="37" t="s">
        <v>8797</v>
      </c>
      <c r="J255" s="37" t="s">
        <v>8798</v>
      </c>
      <c r="K255" s="104" t="s">
        <v>8799</v>
      </c>
    </row>
    <row r="256" spans="1:11" ht="45" hidden="1" customHeight="1" x14ac:dyDescent="0.35">
      <c r="A256" t="s">
        <v>8800</v>
      </c>
      <c r="B256" t="s">
        <v>8801</v>
      </c>
      <c r="C256" t="s">
        <v>8802</v>
      </c>
      <c r="D256" t="s">
        <v>8803</v>
      </c>
      <c r="E256" s="33" t="s">
        <v>28</v>
      </c>
      <c r="F256" s="34" t="s">
        <v>7504</v>
      </c>
      <c r="H256" s="36" t="str">
        <f>HYPERLINK("https://www.google.com/maps/?q=47.9694416670001,-58.966666667", "https://www.google.com/maps/?q=47.9694416670001,-58.966666667")</f>
        <v>https://www.google.com/maps/?q=47.9694416670001,-58.966666667</v>
      </c>
      <c r="I256" s="84" t="s">
        <v>7889</v>
      </c>
    </row>
    <row r="257" spans="1:11" ht="29" x14ac:dyDescent="0.35">
      <c r="A257" t="s">
        <v>8804</v>
      </c>
      <c r="B257" t="s">
        <v>8805</v>
      </c>
      <c r="C257" t="s">
        <v>8806</v>
      </c>
      <c r="D257" t="s">
        <v>8807</v>
      </c>
      <c r="E257" s="33" t="s">
        <v>28</v>
      </c>
      <c r="F257" s="34" t="s">
        <v>8808</v>
      </c>
      <c r="G257" s="35" t="s">
        <v>1253</v>
      </c>
      <c r="H257" s="36" t="str">
        <f>HYPERLINK("https://www.google.com/maps/?q=47.645263889,-52.941527778", "https://www.google.com/maps/?q=47.645263889,-52.941527778")</f>
        <v>https://www.google.com/maps/?q=47.645263889,-52.941527778</v>
      </c>
      <c r="I257" s="37" t="s">
        <v>8809</v>
      </c>
      <c r="J257" s="37" t="s">
        <v>8810</v>
      </c>
      <c r="K257" s="104" t="s">
        <v>8811</v>
      </c>
    </row>
    <row r="258" spans="1:11" hidden="1" x14ac:dyDescent="0.35">
      <c r="A258" t="s">
        <v>8812</v>
      </c>
      <c r="B258" t="s">
        <v>8813</v>
      </c>
      <c r="C258" t="s">
        <v>8814</v>
      </c>
      <c r="D258" t="s">
        <v>8815</v>
      </c>
      <c r="E258" s="33" t="s">
        <v>28</v>
      </c>
      <c r="F258" s="34" t="s">
        <v>8816</v>
      </c>
      <c r="H258" s="36" t="str">
        <f>HYPERLINK("https://www.google.com/maps/?q=47.2482694440001,-52.843594444", "https://www.google.com/maps/?q=47.2482694440001,-52.843594444")</f>
        <v>https://www.google.com/maps/?q=47.2482694440001,-52.843594444</v>
      </c>
      <c r="I258" s="84" t="s">
        <v>7437</v>
      </c>
    </row>
    <row r="259" spans="1:11" hidden="1" x14ac:dyDescent="0.35">
      <c r="A259" t="s">
        <v>8817</v>
      </c>
      <c r="B259" t="s">
        <v>8818</v>
      </c>
      <c r="C259" t="s">
        <v>8819</v>
      </c>
      <c r="D259" t="s">
        <v>8820</v>
      </c>
      <c r="E259" s="33" t="s">
        <v>28</v>
      </c>
      <c r="F259" s="34" t="s">
        <v>8821</v>
      </c>
      <c r="H259" s="36" t="str">
        <f>HYPERLINK("https://www.google.com/maps/?q=49.178105556,-55.045930556", "https://www.google.com/maps/?q=49.178105556,-55.045930556")</f>
        <v>https://www.google.com/maps/?q=49.178105556,-55.045930556</v>
      </c>
      <c r="I259" s="84" t="s">
        <v>8822</v>
      </c>
    </row>
    <row r="260" spans="1:11" ht="29" x14ac:dyDescent="0.35">
      <c r="A260" t="s">
        <v>8823</v>
      </c>
      <c r="B260" t="s">
        <v>8824</v>
      </c>
      <c r="C260" t="s">
        <v>8825</v>
      </c>
      <c r="D260" t="s">
        <v>8826</v>
      </c>
      <c r="E260" s="33" t="s">
        <v>28</v>
      </c>
      <c r="F260" s="34" t="s">
        <v>8827</v>
      </c>
      <c r="H260" s="36" t="str">
        <f>HYPERLINK("https://www.google.com/maps/?q=47.5294222220001,-52.8049972219999", "https://www.google.com/maps/?q=47.5294222220001,-52.8049972219999")</f>
        <v>https://www.google.com/maps/?q=47.5294222220001,-52.8049972219999</v>
      </c>
      <c r="I260" s="37" t="s">
        <v>8828</v>
      </c>
      <c r="J260" s="84" t="s">
        <v>8829</v>
      </c>
      <c r="K260" s="104" t="s">
        <v>8830</v>
      </c>
    </row>
    <row r="261" spans="1:11" ht="43.5" x14ac:dyDescent="0.35">
      <c r="A261" t="s">
        <v>8831</v>
      </c>
      <c r="B261" t="s">
        <v>8832</v>
      </c>
      <c r="C261" t="s">
        <v>8833</v>
      </c>
      <c r="D261" t="s">
        <v>8834</v>
      </c>
      <c r="E261" s="33" t="s">
        <v>28</v>
      </c>
      <c r="F261" s="34" t="s">
        <v>8835</v>
      </c>
      <c r="G261" s="35" t="s">
        <v>1356</v>
      </c>
      <c r="H261" s="36" t="str">
        <f>HYPERLINK("https://www.google.com/maps/?q=49.687086111,-54.802169444", "https://www.google.com/maps/?q=49.687086111,-54.802169444")</f>
        <v>https://www.google.com/maps/?q=49.687086111,-54.802169444</v>
      </c>
      <c r="I261" s="37" t="s">
        <v>8836</v>
      </c>
      <c r="J261" s="37" t="s">
        <v>8837</v>
      </c>
      <c r="K261" s="104" t="s">
        <v>8838</v>
      </c>
    </row>
    <row r="262" spans="1:11" ht="43.5" x14ac:dyDescent="0.35">
      <c r="A262" t="s">
        <v>8839</v>
      </c>
      <c r="B262" t="s">
        <v>8840</v>
      </c>
      <c r="C262" t="s">
        <v>8841</v>
      </c>
      <c r="D262" t="s">
        <v>8842</v>
      </c>
      <c r="E262" s="33" t="s">
        <v>28</v>
      </c>
      <c r="F262" s="34" t="s">
        <v>8843</v>
      </c>
      <c r="G262" s="35" t="s">
        <v>1253</v>
      </c>
      <c r="H262" s="36" t="str">
        <f>HYPERLINK("https://www.google.com/maps/?q=48.4002750000001,-53.9169416669999", "https://www.google.com/maps/?q=48.4002750000001,-53.9169416669999")</f>
        <v>https://www.google.com/maps/?q=48.4002750000001,-53.9169416669999</v>
      </c>
      <c r="I262" s="37" t="s">
        <v>8844</v>
      </c>
      <c r="J262" s="37" t="s">
        <v>8845</v>
      </c>
      <c r="K262" s="104" t="s">
        <v>8846</v>
      </c>
    </row>
    <row r="263" spans="1:11" ht="29" hidden="1" x14ac:dyDescent="0.35">
      <c r="A263" t="s">
        <v>8847</v>
      </c>
      <c r="B263" t="s">
        <v>8848</v>
      </c>
      <c r="C263" t="s">
        <v>8849</v>
      </c>
      <c r="D263" t="s">
        <v>8850</v>
      </c>
      <c r="E263" s="33" t="s">
        <v>28</v>
      </c>
      <c r="F263" s="34" t="s">
        <v>8851</v>
      </c>
      <c r="H263" s="36" t="str">
        <f>HYPERLINK("https://www.google.com/maps/?q=52.9078638890001,-66.868777778", "https://www.google.com/maps/?q=52.9078638890001,-66.868777778")</f>
        <v>https://www.google.com/maps/?q=52.9078638890001,-66.868777778</v>
      </c>
      <c r="I263" s="84" t="s">
        <v>8852</v>
      </c>
    </row>
    <row r="264" spans="1:11" ht="72.5" x14ac:dyDescent="0.35">
      <c r="A264" t="s">
        <v>8853</v>
      </c>
      <c r="B264" t="s">
        <v>8854</v>
      </c>
      <c r="C264" t="s">
        <v>8855</v>
      </c>
      <c r="D264" t="s">
        <v>8856</v>
      </c>
      <c r="E264" s="33" t="s">
        <v>28</v>
      </c>
      <c r="F264" s="34" t="s">
        <v>8857</v>
      </c>
      <c r="G264" s="35" t="s">
        <v>1138</v>
      </c>
      <c r="H264" s="36" t="str">
        <f>HYPERLINK("https://www.google.com/maps/?q=47.418327778,-53.535277778", "https://www.google.com/maps/?q=47.418327778,-53.535277778")</f>
        <v>https://www.google.com/maps/?q=47.418327778,-53.535277778</v>
      </c>
      <c r="I264" s="37" t="s">
        <v>8858</v>
      </c>
      <c r="J264" s="37" t="s">
        <v>8859</v>
      </c>
      <c r="K264" s="104" t="s">
        <v>8860</v>
      </c>
    </row>
    <row r="265" spans="1:11" ht="29" hidden="1" x14ac:dyDescent="0.35">
      <c r="A265" t="s">
        <v>8861</v>
      </c>
      <c r="B265" t="s">
        <v>8862</v>
      </c>
      <c r="C265" t="s">
        <v>8863</v>
      </c>
      <c r="D265" t="s">
        <v>8864</v>
      </c>
      <c r="E265" s="33" t="s">
        <v>28</v>
      </c>
      <c r="F265" s="34" t="s">
        <v>8865</v>
      </c>
      <c r="H265" s="36" t="str">
        <f>HYPERLINK("https://www.google.com/maps/?q=47.9465361110001,-53.951730556", "https://www.google.com/maps/?q=47.9465361110001,-53.951730556")</f>
        <v>https://www.google.com/maps/?q=47.9465361110001,-53.951730556</v>
      </c>
      <c r="I265" s="84" t="s">
        <v>8265</v>
      </c>
    </row>
    <row r="266" spans="1:11" hidden="1" x14ac:dyDescent="0.35">
      <c r="A266" t="s">
        <v>8866</v>
      </c>
      <c r="B266" t="s">
        <v>8867</v>
      </c>
      <c r="C266" t="s">
        <v>8868</v>
      </c>
      <c r="D266" t="s">
        <v>8869</v>
      </c>
      <c r="E266" s="33" t="s">
        <v>28</v>
      </c>
      <c r="F266" s="34" t="s">
        <v>8870</v>
      </c>
      <c r="H266" s="36" t="str">
        <f>HYPERLINK("https://www.google.com/maps/?q=49.935552778,-56.217497222", "https://www.google.com/maps/?q=49.935552778,-56.217497222")</f>
        <v>https://www.google.com/maps/?q=49.935552778,-56.217497222</v>
      </c>
      <c r="I266" s="84" t="s">
        <v>1210</v>
      </c>
    </row>
    <row r="267" spans="1:11" ht="29" hidden="1" x14ac:dyDescent="0.35">
      <c r="A267" t="s">
        <v>8871</v>
      </c>
      <c r="B267" t="s">
        <v>8872</v>
      </c>
      <c r="C267" t="s">
        <v>8873</v>
      </c>
      <c r="D267" t="s">
        <v>8874</v>
      </c>
      <c r="E267" s="33" t="s">
        <v>28</v>
      </c>
      <c r="F267" s="34" t="s">
        <v>8875</v>
      </c>
      <c r="H267" s="36" t="str">
        <f>HYPERLINK("https://www.google.com/maps/?q=47.4166638890001,-53.3158333329999", "https://www.google.com/maps/?q=47.4166638890001,-53.3158333329999")</f>
        <v>https://www.google.com/maps/?q=47.4166638890001,-53.3158333329999</v>
      </c>
      <c r="I267" s="84" t="s">
        <v>1210</v>
      </c>
    </row>
    <row r="268" spans="1:11" ht="58" hidden="1" x14ac:dyDescent="0.35">
      <c r="A268" t="s">
        <v>8876</v>
      </c>
      <c r="B268" t="s">
        <v>8877</v>
      </c>
      <c r="C268" t="s">
        <v>8878</v>
      </c>
      <c r="D268" t="s">
        <v>8879</v>
      </c>
      <c r="E268" s="33" t="s">
        <v>28</v>
      </c>
      <c r="F268" s="34" t="s">
        <v>7366</v>
      </c>
      <c r="H268" s="36" t="str">
        <f>HYPERLINK("https://www.google.com/maps/?q=47.8272000000001,-53.9342", "https://www.google.com/maps/?q=47.8272000000001,-53.9342")</f>
        <v>https://www.google.com/maps/?q=47.8272000000001,-53.9342</v>
      </c>
      <c r="I268" s="84" t="s">
        <v>1210</v>
      </c>
      <c r="J268" s="37" t="s">
        <v>8880</v>
      </c>
    </row>
    <row r="269" spans="1:11" ht="29" hidden="1" x14ac:dyDescent="0.35">
      <c r="A269" t="s">
        <v>8881</v>
      </c>
      <c r="B269" t="s">
        <v>8882</v>
      </c>
      <c r="C269" t="s">
        <v>8883</v>
      </c>
      <c r="D269" t="s">
        <v>8884</v>
      </c>
      <c r="E269" s="33" t="s">
        <v>28</v>
      </c>
      <c r="F269" s="34" t="s">
        <v>8885</v>
      </c>
      <c r="H269" s="36" t="str">
        <f>HYPERLINK("https://www.google.com/maps/?q=47.5584500000001,-52.757397222", "https://www.google.com/maps/?q=47.5584500000001,-52.757397222")</f>
        <v>https://www.google.com/maps/?q=47.5584500000001,-52.757397222</v>
      </c>
      <c r="I269" s="84" t="s">
        <v>8265</v>
      </c>
    </row>
    <row r="270" spans="1:11" ht="43.5" hidden="1" x14ac:dyDescent="0.35">
      <c r="A270" t="s">
        <v>8886</v>
      </c>
      <c r="B270" t="s">
        <v>8887</v>
      </c>
      <c r="C270" t="s">
        <v>8888</v>
      </c>
      <c r="D270" t="s">
        <v>8889</v>
      </c>
      <c r="E270" s="33" t="s">
        <v>28</v>
      </c>
      <c r="F270" s="34" t="s">
        <v>8890</v>
      </c>
      <c r="H270" s="36" t="str">
        <f>HYPERLINK("https://www.google.com/maps/?q=47.6248000000001,-52.6625", "https://www.google.com/maps/?q=47.6248000000001,-52.6625")</f>
        <v>https://www.google.com/maps/?q=47.6248000000001,-52.6625</v>
      </c>
      <c r="I270" s="84" t="s">
        <v>8265</v>
      </c>
    </row>
    <row r="271" spans="1:11" ht="29" hidden="1" x14ac:dyDescent="0.35">
      <c r="A271" t="s">
        <v>8891</v>
      </c>
      <c r="B271" t="s">
        <v>8892</v>
      </c>
      <c r="C271" t="s">
        <v>8893</v>
      </c>
      <c r="D271" t="s">
        <v>8894</v>
      </c>
      <c r="E271" s="33" t="s">
        <v>28</v>
      </c>
      <c r="F271" s="34" t="s">
        <v>8895</v>
      </c>
      <c r="H271" s="36" t="str">
        <f>HYPERLINK("https://www.google.com/maps/?q=47.4816638890001,-55.811383333", "https://www.google.com/maps/?q=47.4816638890001,-55.811383333")</f>
        <v>https://www.google.com/maps/?q=47.4816638890001,-55.811383333</v>
      </c>
      <c r="I271" s="84" t="s">
        <v>8265</v>
      </c>
    </row>
    <row r="272" spans="1:11" ht="58" x14ac:dyDescent="0.35">
      <c r="A272" t="s">
        <v>8896</v>
      </c>
      <c r="B272" t="s">
        <v>8897</v>
      </c>
      <c r="C272" t="s">
        <v>8898</v>
      </c>
      <c r="D272" t="s">
        <v>8899</v>
      </c>
      <c r="E272" s="33" t="s">
        <v>50</v>
      </c>
      <c r="F272" s="34" t="s">
        <v>8790</v>
      </c>
      <c r="G272" s="35" t="s">
        <v>1356</v>
      </c>
      <c r="H272" s="36" t="str">
        <f>HYPERLINK("https://www.google.com/maps/?q=47.4497388890001,-52.9754444439999", "https://www.google.com/maps/?q=47.4497388890001,-52.9754444439999")</f>
        <v>https://www.google.com/maps/?q=47.4497388890001,-52.9754444439999</v>
      </c>
      <c r="I272" s="37" t="s">
        <v>8900</v>
      </c>
      <c r="J272" s="37" t="s">
        <v>8901</v>
      </c>
      <c r="K272" s="104" t="s">
        <v>8902</v>
      </c>
    </row>
    <row r="273" spans="1:11" ht="46.5" customHeight="1" x14ac:dyDescent="0.35">
      <c r="A273" t="s">
        <v>8903</v>
      </c>
      <c r="B273" t="s">
        <v>8904</v>
      </c>
      <c r="C273" t="s">
        <v>8905</v>
      </c>
      <c r="D273" t="s">
        <v>8906</v>
      </c>
      <c r="E273" s="33" t="s">
        <v>461</v>
      </c>
      <c r="F273" s="34" t="s">
        <v>8907</v>
      </c>
      <c r="G273" s="35" t="s">
        <v>1131</v>
      </c>
      <c r="H273" s="53" t="s">
        <v>8908</v>
      </c>
      <c r="I273" s="37" t="s">
        <v>8740</v>
      </c>
      <c r="J273" s="84" t="s">
        <v>8909</v>
      </c>
      <c r="K273" s="104" t="s">
        <v>8742</v>
      </c>
    </row>
    <row r="274" spans="1:11" ht="29" hidden="1" x14ac:dyDescent="0.35">
      <c r="A274" t="s">
        <v>8910</v>
      </c>
      <c r="B274" t="s">
        <v>8911</v>
      </c>
      <c r="C274" t="s">
        <v>8912</v>
      </c>
      <c r="D274" t="s">
        <v>8913</v>
      </c>
      <c r="E274" s="33" t="s">
        <v>28</v>
      </c>
      <c r="F274" s="34" t="s">
        <v>8914</v>
      </c>
      <c r="H274" s="36" t="str">
        <f>HYPERLINK("https://www.google.com/maps/?q=47.5418222220001,-52.919252778", "https://www.google.com/maps/?q=47.5418222220001,-52.919252778")</f>
        <v>https://www.google.com/maps/?q=47.5418222220001,-52.919252778</v>
      </c>
      <c r="I274" s="84" t="s">
        <v>8265</v>
      </c>
    </row>
    <row r="275" spans="1:11" hidden="1" x14ac:dyDescent="0.35">
      <c r="A275" t="s">
        <v>8915</v>
      </c>
      <c r="B275" t="s">
        <v>8916</v>
      </c>
      <c r="C275" t="s">
        <v>8917</v>
      </c>
      <c r="D275" t="s">
        <v>8918</v>
      </c>
      <c r="E275" s="33" t="s">
        <v>28</v>
      </c>
      <c r="F275" s="34" t="s">
        <v>8919</v>
      </c>
      <c r="H275" s="36" t="str">
        <f>HYPERLINK("https://www.google.com/maps/?q=49.7052694440001,-56.0855833329999", "https://www.google.com/maps/?q=49.7052694440001,-56.0855833329999")</f>
        <v>https://www.google.com/maps/?q=49.7052694440001,-56.0855833329999</v>
      </c>
      <c r="I275" s="84" t="s">
        <v>8265</v>
      </c>
    </row>
    <row r="276" spans="1:11" ht="29" hidden="1" x14ac:dyDescent="0.35">
      <c r="A276" t="s">
        <v>8847</v>
      </c>
      <c r="B276" t="s">
        <v>8920</v>
      </c>
      <c r="C276" t="s">
        <v>8849</v>
      </c>
      <c r="D276" t="s">
        <v>8921</v>
      </c>
      <c r="E276" s="33" t="s">
        <v>17</v>
      </c>
      <c r="F276" s="34" t="s">
        <v>8851</v>
      </c>
      <c r="H276" s="36" t="str">
        <f>HYPERLINK("https://www.google.com/maps/?q=52.9078638890001,-66.8687805559999", "https://www.google.com/maps/?q=52.9078638890001,-66.8687805559999")</f>
        <v>https://www.google.com/maps/?q=52.9078638890001,-66.8687805559999</v>
      </c>
      <c r="I276" s="84" t="s">
        <v>8852</v>
      </c>
    </row>
    <row r="277" spans="1:11" ht="43.5" x14ac:dyDescent="0.35">
      <c r="A277" t="s">
        <v>8922</v>
      </c>
      <c r="B277" t="s">
        <v>8923</v>
      </c>
      <c r="C277" t="s">
        <v>8924</v>
      </c>
      <c r="D277" t="s">
        <v>8925</v>
      </c>
      <c r="E277" s="33" t="s">
        <v>50</v>
      </c>
      <c r="F277" s="34" t="s">
        <v>8926</v>
      </c>
      <c r="G277" s="35" t="s">
        <v>1253</v>
      </c>
      <c r="H277" s="36" t="str">
        <f>HYPERLINK("https://www.google.com/maps/?q=47.5070638890001,-52.869555556", "https://www.google.com/maps/?q=47.5070638890001,-52.869555556")</f>
        <v>https://www.google.com/maps/?q=47.5070638890001,-52.869555556</v>
      </c>
      <c r="I277" s="37" t="s">
        <v>8927</v>
      </c>
      <c r="J277" s="37" t="s">
        <v>8928</v>
      </c>
      <c r="K277" s="104" t="s">
        <v>8929</v>
      </c>
    </row>
    <row r="278" spans="1:11" ht="29" hidden="1" x14ac:dyDescent="0.35">
      <c r="A278" t="s">
        <v>8930</v>
      </c>
      <c r="B278" t="s">
        <v>8931</v>
      </c>
      <c r="C278" t="s">
        <v>8932</v>
      </c>
      <c r="D278" t="s">
        <v>8933</v>
      </c>
      <c r="E278" s="33" t="s">
        <v>50</v>
      </c>
      <c r="F278" s="34" t="s">
        <v>8934</v>
      </c>
      <c r="H278" s="36" t="str">
        <f>HYPERLINK("https://www.google.com/maps/?q=48.127522222,-53.941133333", "https://www.google.com/maps/?q=48.127522222,-53.941133333")</f>
        <v>https://www.google.com/maps/?q=48.127522222,-53.941133333</v>
      </c>
      <c r="I278" s="84" t="s">
        <v>8265</v>
      </c>
    </row>
    <row r="279" spans="1:11" ht="45.75" customHeight="1" x14ac:dyDescent="0.35">
      <c r="A279" t="s">
        <v>8935</v>
      </c>
      <c r="B279" t="s">
        <v>8936</v>
      </c>
      <c r="C279" t="s">
        <v>8937</v>
      </c>
      <c r="D279" t="s">
        <v>8938</v>
      </c>
      <c r="E279" s="33" t="s">
        <v>50</v>
      </c>
      <c r="F279" s="34" t="s">
        <v>8939</v>
      </c>
      <c r="G279" s="35" t="s">
        <v>1147</v>
      </c>
      <c r="H279" s="53" t="s">
        <v>8940</v>
      </c>
      <c r="I279" s="37" t="s">
        <v>8569</v>
      </c>
      <c r="J279" s="37" t="s">
        <v>8570</v>
      </c>
      <c r="K279" s="104" t="s">
        <v>8571</v>
      </c>
    </row>
    <row r="280" spans="1:11" ht="29" hidden="1" x14ac:dyDescent="0.35">
      <c r="A280" t="s">
        <v>8941</v>
      </c>
      <c r="B280" t="s">
        <v>8942</v>
      </c>
      <c r="C280" t="s">
        <v>8943</v>
      </c>
      <c r="D280" t="s">
        <v>8944</v>
      </c>
      <c r="E280" s="33" t="s">
        <v>50</v>
      </c>
      <c r="F280" s="34" t="s">
        <v>8945</v>
      </c>
      <c r="H280" s="36" t="str">
        <f>HYPERLINK("https://www.google.com/maps/?q=47.5637972220001,-52.719136111", "https://www.google.com/maps/?q=47.5637972220001,-52.719136111")</f>
        <v>https://www.google.com/maps/?q=47.5637972220001,-52.719136111</v>
      </c>
      <c r="I280" s="84" t="s">
        <v>8265</v>
      </c>
    </row>
    <row r="281" spans="1:11" ht="29" x14ac:dyDescent="0.35">
      <c r="A281" t="s">
        <v>8946</v>
      </c>
      <c r="B281" t="s">
        <v>8947</v>
      </c>
      <c r="C281" t="s">
        <v>8948</v>
      </c>
      <c r="D281" t="s">
        <v>8949</v>
      </c>
      <c r="E281" s="33" t="s">
        <v>66</v>
      </c>
      <c r="F281" s="34" t="s">
        <v>7308</v>
      </c>
      <c r="G281" s="35" t="s">
        <v>1166</v>
      </c>
      <c r="H281" s="36" t="str">
        <f>HYPERLINK("https://www.google.com/maps/?q=47.595,-52.684444444", "https://www.google.com/maps/?q=47.595,-52.684444444")</f>
        <v>https://www.google.com/maps/?q=47.595,-52.684444444</v>
      </c>
      <c r="I281" s="37" t="s">
        <v>8950</v>
      </c>
      <c r="J281" s="37" t="s">
        <v>8951</v>
      </c>
      <c r="K281" s="104" t="s">
        <v>8952</v>
      </c>
    </row>
    <row r="282" spans="1:11" hidden="1" x14ac:dyDescent="0.35">
      <c r="A282" t="s">
        <v>8953</v>
      </c>
      <c r="B282" t="s">
        <v>8954</v>
      </c>
      <c r="C282" t="s">
        <v>8955</v>
      </c>
      <c r="D282" t="s">
        <v>8956</v>
      </c>
      <c r="E282" s="33" t="s">
        <v>1109</v>
      </c>
      <c r="F282" s="34" t="s">
        <v>8288</v>
      </c>
      <c r="H282" s="36" t="str">
        <f>HYPERLINK("https://www.google.com/maps/?q=52.27,-65.6880555559999", "https://www.google.com/maps/?q=52.27,-65.6880555559999")</f>
        <v>https://www.google.com/maps/?q=52.27,-65.6880555559999</v>
      </c>
      <c r="I282" s="84" t="s">
        <v>8265</v>
      </c>
    </row>
    <row r="283" spans="1:11" hidden="1" x14ac:dyDescent="0.35">
      <c r="A283" t="s">
        <v>8957</v>
      </c>
      <c r="B283" t="s">
        <v>8958</v>
      </c>
      <c r="C283" t="s">
        <v>8959</v>
      </c>
      <c r="D283" t="s">
        <v>8960</v>
      </c>
      <c r="E283" s="33" t="s">
        <v>1109</v>
      </c>
      <c r="F283" s="34" t="s">
        <v>8961</v>
      </c>
      <c r="H283" s="36" t="str">
        <f>HYPERLINK("https://www.google.com/maps/?q=53.015833333,-66.1880555559999", "https://www.google.com/maps/?q=53.015833333,-66.1880555559999")</f>
        <v>https://www.google.com/maps/?q=53.015833333,-66.1880555559999</v>
      </c>
      <c r="I283" s="84" t="s">
        <v>8265</v>
      </c>
    </row>
    <row r="284" spans="1:11" ht="29" hidden="1" x14ac:dyDescent="0.35">
      <c r="A284" t="s">
        <v>8962</v>
      </c>
      <c r="B284" t="s">
        <v>8963</v>
      </c>
      <c r="C284" t="s">
        <v>8964</v>
      </c>
      <c r="D284" t="s">
        <v>8965</v>
      </c>
      <c r="E284" s="33" t="s">
        <v>28</v>
      </c>
      <c r="F284" s="34" t="s">
        <v>8966</v>
      </c>
      <c r="H284" s="36" t="str">
        <f>HYPERLINK("https://www.google.com/maps/?q=49.0028222220001,-58.133463889", "https://www.google.com/maps/?q=49.0028222220001,-58.133463889")</f>
        <v>https://www.google.com/maps/?q=49.0028222220001,-58.133463889</v>
      </c>
      <c r="I284" s="84" t="s">
        <v>8265</v>
      </c>
    </row>
    <row r="285" spans="1:11" ht="29" hidden="1" x14ac:dyDescent="0.35">
      <c r="A285" t="s">
        <v>8967</v>
      </c>
      <c r="B285" t="s">
        <v>8968</v>
      </c>
      <c r="C285" t="s">
        <v>8969</v>
      </c>
      <c r="D285" t="s">
        <v>8970</v>
      </c>
      <c r="E285" s="33" t="s">
        <v>28</v>
      </c>
      <c r="F285" s="34" t="s">
        <v>8971</v>
      </c>
      <c r="H285" s="36" t="str">
        <f>HYPERLINK("https://www.google.com/maps/?q=48.939983333,-57.891130556", "https://www.google.com/maps/?q=48.939983333,-57.891130556")</f>
        <v>https://www.google.com/maps/?q=48.939983333,-57.891130556</v>
      </c>
      <c r="I285" s="84" t="s">
        <v>8265</v>
      </c>
    </row>
    <row r="286" spans="1:11" ht="29" hidden="1" x14ac:dyDescent="0.35">
      <c r="A286" t="s">
        <v>8972</v>
      </c>
      <c r="B286" t="s">
        <v>8973</v>
      </c>
      <c r="C286" t="s">
        <v>8974</v>
      </c>
      <c r="D286" t="s">
        <v>8975</v>
      </c>
      <c r="E286" s="33" t="s">
        <v>28</v>
      </c>
      <c r="F286" s="34" t="s">
        <v>8976</v>
      </c>
      <c r="G286" s="35" t="s">
        <v>1356</v>
      </c>
      <c r="H286" s="36" t="str">
        <f>HYPERLINK("https://www.google.com/maps/?q=47.3275,-53.1286111109999", "https://www.google.com/maps/?q=47.3275,-53.1286111109999")</f>
        <v>https://www.google.com/maps/?q=47.3275,-53.1286111109999</v>
      </c>
      <c r="I286" s="84" t="s">
        <v>1210</v>
      </c>
      <c r="J286" s="37" t="s">
        <v>8977</v>
      </c>
    </row>
    <row r="287" spans="1:11" ht="47.25" hidden="1" customHeight="1" x14ac:dyDescent="0.35">
      <c r="A287" t="s">
        <v>8978</v>
      </c>
      <c r="B287" t="s">
        <v>8979</v>
      </c>
      <c r="C287" t="s">
        <v>8980</v>
      </c>
      <c r="D287" t="s">
        <v>8981</v>
      </c>
      <c r="E287" s="33" t="s">
        <v>28</v>
      </c>
      <c r="F287" s="34" t="s">
        <v>8982</v>
      </c>
      <c r="H287" s="53" t="s">
        <v>8983</v>
      </c>
      <c r="I287" s="84" t="s">
        <v>7889</v>
      </c>
    </row>
    <row r="288" spans="1:11" ht="29" hidden="1" x14ac:dyDescent="0.35">
      <c r="A288" t="s">
        <v>8984</v>
      </c>
      <c r="B288" t="s">
        <v>8985</v>
      </c>
      <c r="C288" t="s">
        <v>8986</v>
      </c>
      <c r="D288" t="s">
        <v>8987</v>
      </c>
      <c r="E288" s="33" t="s">
        <v>28</v>
      </c>
      <c r="F288" s="34" t="s">
        <v>8988</v>
      </c>
      <c r="H288" s="36" t="str">
        <f>HYPERLINK("https://www.google.com/maps/?q=47.478047222,-53.053611111", "https://www.google.com/maps/?q=47.478047222,-53.053611111")</f>
        <v>https://www.google.com/maps/?q=47.478047222,-53.053611111</v>
      </c>
      <c r="I288" s="84" t="s">
        <v>8265</v>
      </c>
    </row>
    <row r="289" spans="1:11" hidden="1" x14ac:dyDescent="0.35">
      <c r="A289" t="s">
        <v>8989</v>
      </c>
      <c r="B289" t="s">
        <v>8990</v>
      </c>
      <c r="C289" t="s">
        <v>8991</v>
      </c>
      <c r="D289" t="s">
        <v>8992</v>
      </c>
      <c r="E289" s="33" t="s">
        <v>28</v>
      </c>
      <c r="F289" s="34" t="s">
        <v>8209</v>
      </c>
      <c r="H289" s="36" t="str">
        <f>HYPERLINK("https://www.google.com/maps/?q=52.5450250000001,-56.299711111", "https://www.google.com/maps/?q=52.5450250000001,-56.299711111")</f>
        <v>https://www.google.com/maps/?q=52.5450250000001,-56.299711111</v>
      </c>
      <c r="I289" s="84" t="s">
        <v>8265</v>
      </c>
    </row>
    <row r="290" spans="1:11" ht="29" hidden="1" x14ac:dyDescent="0.35">
      <c r="A290" t="s">
        <v>8993</v>
      </c>
      <c r="B290" t="s">
        <v>8994</v>
      </c>
      <c r="C290" t="s">
        <v>8995</v>
      </c>
      <c r="D290" t="s">
        <v>8996</v>
      </c>
      <c r="E290" s="33" t="s">
        <v>28</v>
      </c>
      <c r="F290" s="34" t="s">
        <v>8997</v>
      </c>
      <c r="H290" s="36" t="str">
        <f>HYPERLINK("https://www.google.com/maps/?q=47.727819444,-53.244727778", "https://www.google.com/maps/?q=47.727819444,-53.244727778")</f>
        <v>https://www.google.com/maps/?q=47.727819444,-53.244727778</v>
      </c>
      <c r="I290" s="84" t="s">
        <v>8265</v>
      </c>
    </row>
    <row r="291" spans="1:11" ht="36" customHeight="1" x14ac:dyDescent="0.35">
      <c r="A291" t="s">
        <v>8998</v>
      </c>
      <c r="B291" t="s">
        <v>8999</v>
      </c>
      <c r="C291" t="s">
        <v>9000</v>
      </c>
      <c r="D291" t="s">
        <v>9001</v>
      </c>
      <c r="E291" s="33" t="s">
        <v>44</v>
      </c>
      <c r="F291" s="34" t="s">
        <v>7616</v>
      </c>
      <c r="G291" s="35" t="s">
        <v>1253</v>
      </c>
      <c r="H291" s="53" t="s">
        <v>9002</v>
      </c>
      <c r="I291" s="37" t="s">
        <v>9003</v>
      </c>
      <c r="J291" s="37" t="s">
        <v>9004</v>
      </c>
      <c r="K291" s="104" t="s">
        <v>9005</v>
      </c>
    </row>
    <row r="292" spans="1:11" ht="72.5" x14ac:dyDescent="0.35">
      <c r="A292" t="s">
        <v>9006</v>
      </c>
      <c r="B292" t="s">
        <v>9007</v>
      </c>
      <c r="C292" t="s">
        <v>9008</v>
      </c>
      <c r="D292" t="s">
        <v>9009</v>
      </c>
      <c r="E292" s="33" t="s">
        <v>1109</v>
      </c>
      <c r="F292" s="34" t="s">
        <v>8288</v>
      </c>
      <c r="G292" s="35" t="s">
        <v>1356</v>
      </c>
      <c r="H292" s="36" t="str">
        <f>HYPERLINK("https://www.google.com/maps/?q=53.0589722220001,-66.931166667", "https://www.google.com/maps/?q=53.0589722220001,-66.931166667")</f>
        <v>https://www.google.com/maps/?q=53.0589722220001,-66.931166667</v>
      </c>
      <c r="I292" s="37" t="s">
        <v>9010</v>
      </c>
      <c r="J292" s="37" t="s">
        <v>9011</v>
      </c>
      <c r="K292" s="104" t="s">
        <v>9012</v>
      </c>
    </row>
    <row r="293" spans="1:11" hidden="1" x14ac:dyDescent="0.35">
      <c r="A293" t="s">
        <v>9013</v>
      </c>
      <c r="B293" t="s">
        <v>9014</v>
      </c>
      <c r="C293" t="s">
        <v>9015</v>
      </c>
      <c r="D293" t="s">
        <v>9016</v>
      </c>
      <c r="E293" s="33" t="s">
        <v>44</v>
      </c>
      <c r="F293" s="34" t="s">
        <v>9017</v>
      </c>
      <c r="H293" s="36" t="str">
        <f>HYPERLINK("https://www.google.com/maps/?q=48.6478000000001,-59.000588889", "https://www.google.com/maps/?q=48.6478000000001,-59.000588889")</f>
        <v>https://www.google.com/maps/?q=48.6478000000001,-59.000588889</v>
      </c>
      <c r="I293" s="84" t="s">
        <v>8265</v>
      </c>
    </row>
    <row r="294" spans="1:11" ht="43.5" x14ac:dyDescent="0.35">
      <c r="A294" t="s">
        <v>9018</v>
      </c>
      <c r="B294" t="s">
        <v>9019</v>
      </c>
      <c r="C294" t="s">
        <v>9020</v>
      </c>
      <c r="D294" t="s">
        <v>9021</v>
      </c>
      <c r="E294" s="33" t="s">
        <v>28</v>
      </c>
      <c r="F294" s="34" t="s">
        <v>9022</v>
      </c>
      <c r="G294" s="35" t="s">
        <v>1253</v>
      </c>
      <c r="H294" s="36" t="str">
        <f>HYPERLINK("https://www.google.com/maps/?q=49.254216667,-55.062030556", "https://www.google.com/maps/?q=49.254216667,-55.062030556")</f>
        <v>https://www.google.com/maps/?q=49.254216667,-55.062030556</v>
      </c>
      <c r="I294" s="37" t="s">
        <v>9023</v>
      </c>
      <c r="J294" s="37" t="s">
        <v>9024</v>
      </c>
      <c r="K294" s="104" t="s">
        <v>9025</v>
      </c>
    </row>
    <row r="295" spans="1:11" ht="29" hidden="1" x14ac:dyDescent="0.35">
      <c r="A295" t="s">
        <v>9026</v>
      </c>
      <c r="B295" t="s">
        <v>9027</v>
      </c>
      <c r="C295" t="s">
        <v>9028</v>
      </c>
      <c r="D295" t="s">
        <v>9029</v>
      </c>
      <c r="E295" s="33" t="s">
        <v>28</v>
      </c>
      <c r="F295" s="34" t="s">
        <v>9030</v>
      </c>
      <c r="H295" s="36" t="str">
        <f>HYPERLINK("https://www.google.com/maps/?q=48.9347138890001,-57.892811111", "https://www.google.com/maps/?q=48.9347138890001,-57.892811111")</f>
        <v>https://www.google.com/maps/?q=48.9347138890001,-57.892811111</v>
      </c>
      <c r="I295" s="84" t="s">
        <v>8265</v>
      </c>
    </row>
    <row r="296" spans="1:11" ht="43.5" hidden="1" x14ac:dyDescent="0.35">
      <c r="A296" t="s">
        <v>9031</v>
      </c>
      <c r="B296" t="s">
        <v>9032</v>
      </c>
      <c r="C296" t="s">
        <v>9033</v>
      </c>
      <c r="D296" t="s">
        <v>9034</v>
      </c>
      <c r="E296" s="33" t="s">
        <v>28</v>
      </c>
      <c r="F296" s="34" t="s">
        <v>9035</v>
      </c>
      <c r="H296" s="36" t="str">
        <f>HYPERLINK("https://www.google.com/maps/?q=48.52,-53.0561083329999", "https://www.google.com/maps/?q=48.52,-53.0561083329999")</f>
        <v>https://www.google.com/maps/?q=48.52,-53.0561083329999</v>
      </c>
      <c r="I296" s="102" t="s">
        <v>8822</v>
      </c>
      <c r="J296" s="37" t="s">
        <v>9036</v>
      </c>
      <c r="K296" s="104" t="s">
        <v>9037</v>
      </c>
    </row>
    <row r="297" spans="1:11" ht="43.5" x14ac:dyDescent="0.35">
      <c r="A297" t="s">
        <v>9038</v>
      </c>
      <c r="B297" t="s">
        <v>9039</v>
      </c>
      <c r="C297" t="s">
        <v>9040</v>
      </c>
      <c r="D297" t="s">
        <v>9041</v>
      </c>
      <c r="E297" s="33" t="s">
        <v>28</v>
      </c>
      <c r="F297" s="34" t="s">
        <v>9042</v>
      </c>
      <c r="G297" s="35" t="s">
        <v>1253</v>
      </c>
      <c r="H297" s="36" t="str">
        <f>HYPERLINK("https://www.google.com/maps/?q=47.142219444,-55.149997222", "https://www.google.com/maps/?q=47.142219444,-55.149997222")</f>
        <v>https://www.google.com/maps/?q=47.142219444,-55.149997222</v>
      </c>
      <c r="I297" s="37" t="s">
        <v>9043</v>
      </c>
      <c r="J297" s="37" t="s">
        <v>9044</v>
      </c>
      <c r="K297" s="104" t="s">
        <v>9045</v>
      </c>
    </row>
    <row r="298" spans="1:11" ht="29" hidden="1" x14ac:dyDescent="0.35">
      <c r="A298" t="s">
        <v>9046</v>
      </c>
      <c r="B298" t="s">
        <v>9047</v>
      </c>
      <c r="C298" t="s">
        <v>9048</v>
      </c>
      <c r="D298" t="s">
        <v>9049</v>
      </c>
      <c r="E298" s="33" t="s">
        <v>28</v>
      </c>
      <c r="F298" s="34" t="s">
        <v>9050</v>
      </c>
      <c r="H298" s="36" t="str">
        <f>HYPERLINK("https://www.google.com/maps/?q=48.5472194440001,-58.581383333", "https://www.google.com/maps/?q=48.5472194440001,-58.581383333")</f>
        <v>https://www.google.com/maps/?q=48.5472194440001,-58.581383333</v>
      </c>
      <c r="I298" s="84" t="s">
        <v>7889</v>
      </c>
    </row>
    <row r="299" spans="1:11" hidden="1" x14ac:dyDescent="0.35">
      <c r="A299" t="s">
        <v>9051</v>
      </c>
      <c r="B299" t="s">
        <v>9052</v>
      </c>
      <c r="C299" t="s">
        <v>9053</v>
      </c>
      <c r="D299" t="s">
        <v>9054</v>
      </c>
      <c r="E299" s="33" t="s">
        <v>28</v>
      </c>
      <c r="F299" s="34" t="s">
        <v>9055</v>
      </c>
      <c r="H299" s="36" t="str">
        <f>HYPERLINK("https://www.google.com/maps/?q=49.7040388890001,-56.0920277779999", "https://www.google.com/maps/?q=49.7040388890001,-56.0920277779999")</f>
        <v>https://www.google.com/maps/?q=49.7040388890001,-56.0920277779999</v>
      </c>
      <c r="I299" s="84" t="s">
        <v>8265</v>
      </c>
    </row>
    <row r="300" spans="1:11" ht="58" x14ac:dyDescent="0.35">
      <c r="A300" t="s">
        <v>9056</v>
      </c>
      <c r="B300" t="s">
        <v>9057</v>
      </c>
      <c r="C300" t="s">
        <v>9058</v>
      </c>
      <c r="D300" t="s">
        <v>9059</v>
      </c>
      <c r="E300" s="33" t="s">
        <v>28</v>
      </c>
      <c r="F300" s="34" t="s">
        <v>9060</v>
      </c>
      <c r="G300" s="35" t="s">
        <v>1356</v>
      </c>
      <c r="H300" s="36" t="str">
        <f>HYPERLINK("https://www.google.com/maps/?q=48.943888889,-55.651383333", "https://www.google.com/maps/?q=48.943888889,-55.651383333")</f>
        <v>https://www.google.com/maps/?q=48.943888889,-55.651383333</v>
      </c>
      <c r="I300" s="37" t="s">
        <v>9061</v>
      </c>
      <c r="J300" s="37" t="s">
        <v>9062</v>
      </c>
      <c r="K300" s="104" t="s">
        <v>9063</v>
      </c>
    </row>
    <row r="301" spans="1:11" ht="43.5" hidden="1" x14ac:dyDescent="0.35">
      <c r="A301" t="s">
        <v>9064</v>
      </c>
      <c r="B301" t="s">
        <v>9065</v>
      </c>
      <c r="C301" t="s">
        <v>9066</v>
      </c>
      <c r="D301" t="s">
        <v>9067</v>
      </c>
      <c r="E301" s="33" t="s">
        <v>28</v>
      </c>
      <c r="F301" s="34" t="s">
        <v>9068</v>
      </c>
      <c r="H301" s="36" t="str">
        <f>HYPERLINK("https://www.google.com/maps/?q=48.9878,-57.7819", "https://www.google.com/maps/?q=48.9878,-57.7819")</f>
        <v>https://www.google.com/maps/?q=48.9878,-57.7819</v>
      </c>
      <c r="I301" s="84" t="s">
        <v>1210</v>
      </c>
      <c r="J301" s="37" t="s">
        <v>9044</v>
      </c>
    </row>
    <row r="302" spans="1:11" hidden="1" x14ac:dyDescent="0.35">
      <c r="A302" t="s">
        <v>9069</v>
      </c>
      <c r="B302" t="s">
        <v>9070</v>
      </c>
      <c r="C302" t="s">
        <v>9071</v>
      </c>
      <c r="D302" t="s">
        <v>9072</v>
      </c>
      <c r="E302" s="33" t="s">
        <v>28</v>
      </c>
      <c r="F302" s="34" t="s">
        <v>9073</v>
      </c>
      <c r="H302" s="36" t="str">
        <f>HYPERLINK("https://www.google.com/maps/?q=48.6713833330001,-53.768052778", "https://www.google.com/maps/?q=48.6713833330001,-53.768052778")</f>
        <v>https://www.google.com/maps/?q=48.6713833330001,-53.768052778</v>
      </c>
      <c r="I302" s="84" t="s">
        <v>1210</v>
      </c>
    </row>
    <row r="303" spans="1:11" ht="58" x14ac:dyDescent="0.35">
      <c r="A303" t="s">
        <v>9074</v>
      </c>
      <c r="B303" t="s">
        <v>9075</v>
      </c>
      <c r="C303" t="s">
        <v>9076</v>
      </c>
      <c r="D303" t="s">
        <v>9077</v>
      </c>
      <c r="E303" s="33" t="s">
        <v>28</v>
      </c>
      <c r="F303" s="34" t="s">
        <v>9078</v>
      </c>
      <c r="G303" s="35" t="s">
        <v>1253</v>
      </c>
      <c r="H303" s="36" t="str">
        <f>HYPERLINK("https://www.google.com/maps/?q=53.516666667,-60.146666667", "https://www.google.com/maps/?q=53.516666667,-60.146666667")</f>
        <v>https://www.google.com/maps/?q=53.516666667,-60.146666667</v>
      </c>
      <c r="I303" s="37" t="s">
        <v>9079</v>
      </c>
      <c r="J303" s="37" t="s">
        <v>9080</v>
      </c>
      <c r="K303" s="104" t="s">
        <v>9081</v>
      </c>
    </row>
    <row r="304" spans="1:11" hidden="1" x14ac:dyDescent="0.35">
      <c r="A304" t="s">
        <v>9082</v>
      </c>
      <c r="B304" t="s">
        <v>9083</v>
      </c>
      <c r="C304" t="s">
        <v>9084</v>
      </c>
      <c r="D304" t="s">
        <v>9085</v>
      </c>
      <c r="E304" s="33" t="s">
        <v>28</v>
      </c>
      <c r="F304" s="34" t="s">
        <v>7486</v>
      </c>
      <c r="H304" s="36" t="str">
        <f>HYPERLINK("https://www.google.com/maps/?q=48.189397222,-54.0368999999999", "https://www.google.com/maps/?q=48.189397222,-54.0368999999999")</f>
        <v>https://www.google.com/maps/?q=48.189397222,-54.0368999999999</v>
      </c>
      <c r="I304" s="84" t="s">
        <v>1210</v>
      </c>
    </row>
    <row r="305" spans="1:11" ht="29" hidden="1" x14ac:dyDescent="0.35">
      <c r="A305" t="s">
        <v>9086</v>
      </c>
      <c r="B305" t="s">
        <v>9087</v>
      </c>
      <c r="C305" t="s">
        <v>9088</v>
      </c>
      <c r="D305" t="s">
        <v>9089</v>
      </c>
      <c r="E305" s="33" t="s">
        <v>28</v>
      </c>
      <c r="F305" s="34" t="s">
        <v>9090</v>
      </c>
      <c r="H305" s="36" t="str">
        <f>HYPERLINK("https://www.google.com/maps/?q=47.546275,-52.7685222219999", "https://www.google.com/maps/?q=47.546275,-52.7685222219999")</f>
        <v>https://www.google.com/maps/?q=47.546275,-52.7685222219999</v>
      </c>
      <c r="I305" s="84" t="s">
        <v>1210</v>
      </c>
    </row>
    <row r="306" spans="1:11" ht="29" x14ac:dyDescent="0.35">
      <c r="A306" t="s">
        <v>9091</v>
      </c>
      <c r="B306" t="s">
        <v>9092</v>
      </c>
      <c r="C306" t="s">
        <v>9093</v>
      </c>
      <c r="D306" t="s">
        <v>9094</v>
      </c>
      <c r="E306" s="33" t="s">
        <v>44</v>
      </c>
      <c r="F306" s="34" t="s">
        <v>9095</v>
      </c>
      <c r="G306" s="35" t="s">
        <v>1253</v>
      </c>
      <c r="H306" s="36" t="str">
        <f>HYPERLINK("https://www.google.com/maps/?q=49.352422222,-54.714575", "https://www.google.com/maps/?q=49.352422222,-54.714575")</f>
        <v>https://www.google.com/maps/?q=49.352422222,-54.714575</v>
      </c>
      <c r="I306" s="37" t="s">
        <v>9096</v>
      </c>
      <c r="J306" s="37" t="s">
        <v>9097</v>
      </c>
      <c r="K306" s="104" t="s">
        <v>9098</v>
      </c>
    </row>
    <row r="307" spans="1:11" ht="42" customHeight="1" x14ac:dyDescent="0.35">
      <c r="A307" t="s">
        <v>9099</v>
      </c>
      <c r="B307" t="s">
        <v>9100</v>
      </c>
      <c r="C307" t="s">
        <v>9101</v>
      </c>
      <c r="D307" t="s">
        <v>9102</v>
      </c>
      <c r="E307" s="33" t="s">
        <v>50</v>
      </c>
      <c r="F307" s="34" t="s">
        <v>9103</v>
      </c>
      <c r="G307" s="35" t="s">
        <v>1253</v>
      </c>
      <c r="H307" s="53" t="s">
        <v>9104</v>
      </c>
      <c r="I307" s="37" t="s">
        <v>9105</v>
      </c>
      <c r="J307" s="37" t="s">
        <v>9106</v>
      </c>
      <c r="K307" s="104" t="s">
        <v>9107</v>
      </c>
    </row>
    <row r="308" spans="1:11" ht="29" hidden="1" x14ac:dyDescent="0.35">
      <c r="A308" t="s">
        <v>9108</v>
      </c>
      <c r="B308" t="s">
        <v>9109</v>
      </c>
      <c r="C308" t="s">
        <v>9110</v>
      </c>
      <c r="D308" t="s">
        <v>9111</v>
      </c>
      <c r="E308" s="33" t="s">
        <v>28</v>
      </c>
      <c r="F308" s="34" t="s">
        <v>9112</v>
      </c>
      <c r="G308" s="35" t="s">
        <v>1356</v>
      </c>
      <c r="H308" s="36" t="str">
        <f>HYPERLINK("https://www.google.com/maps/?q=49.1225000000001,-57.5011", "https://www.google.com/maps/?q=49.1225000000001,-57.5011")</f>
        <v>https://www.google.com/maps/?q=49.1225000000001,-57.5011</v>
      </c>
      <c r="I308" s="84" t="s">
        <v>1210</v>
      </c>
    </row>
    <row r="309" spans="1:11" ht="29" hidden="1" x14ac:dyDescent="0.35">
      <c r="A309" t="s">
        <v>9113</v>
      </c>
      <c r="B309" t="s">
        <v>9114</v>
      </c>
      <c r="C309" t="s">
        <v>9115</v>
      </c>
      <c r="D309" t="s">
        <v>9116</v>
      </c>
      <c r="E309" s="33" t="s">
        <v>28</v>
      </c>
      <c r="F309" s="34" t="s">
        <v>8606</v>
      </c>
      <c r="H309" s="36" t="str">
        <f>HYPERLINK("https://www.google.com/maps/?q=48.928766667,-57.9317722219999", "https://www.google.com/maps/?q=48.928766667,-57.9317722219999")</f>
        <v>https://www.google.com/maps/?q=48.928766667,-57.9317722219999</v>
      </c>
      <c r="I309" s="84" t="s">
        <v>8265</v>
      </c>
    </row>
    <row r="310" spans="1:11" ht="29" hidden="1" x14ac:dyDescent="0.35">
      <c r="A310" t="s">
        <v>9117</v>
      </c>
      <c r="B310" t="s">
        <v>9118</v>
      </c>
      <c r="C310" t="s">
        <v>9119</v>
      </c>
      <c r="D310" t="s">
        <v>9120</v>
      </c>
      <c r="E310" s="33" t="s">
        <v>28</v>
      </c>
      <c r="F310" s="34" t="s">
        <v>9121</v>
      </c>
      <c r="H310" s="36" t="str">
        <f>HYPERLINK("https://www.google.com/maps/?q=47.5880638890001,-52.700552778", "https://www.google.com/maps/?q=47.5880638890001,-52.700552778")</f>
        <v>https://www.google.com/maps/?q=47.5880638890001,-52.700552778</v>
      </c>
      <c r="I310" s="84" t="s">
        <v>8265</v>
      </c>
    </row>
    <row r="311" spans="1:11" ht="58" x14ac:dyDescent="0.35">
      <c r="A311" t="s">
        <v>9122</v>
      </c>
      <c r="B311" t="s">
        <v>9123</v>
      </c>
      <c r="C311" t="s">
        <v>9124</v>
      </c>
      <c r="D311" t="s">
        <v>9125</v>
      </c>
      <c r="E311" s="33" t="s">
        <v>28</v>
      </c>
      <c r="F311" s="34" t="s">
        <v>9126</v>
      </c>
      <c r="G311" s="35" t="s">
        <v>1356</v>
      </c>
      <c r="H311" s="36" t="str">
        <f>HYPERLINK("https://www.google.com/maps/?q=53.528652778,-64.016119444", "https://www.google.com/maps/?q=53.528652778,-64.016119444")</f>
        <v>https://www.google.com/maps/?q=53.528652778,-64.016119444</v>
      </c>
      <c r="I311" s="37" t="s">
        <v>9127</v>
      </c>
      <c r="J311" s="37" t="s">
        <v>9128</v>
      </c>
      <c r="K311" s="104" t="s">
        <v>9129</v>
      </c>
    </row>
    <row r="312" spans="1:11" ht="29" hidden="1" x14ac:dyDescent="0.35">
      <c r="A312" t="s">
        <v>9130</v>
      </c>
      <c r="B312" t="s">
        <v>9131</v>
      </c>
      <c r="C312" t="s">
        <v>9132</v>
      </c>
      <c r="D312" t="s">
        <v>9133</v>
      </c>
      <c r="E312" s="33" t="s">
        <v>44</v>
      </c>
      <c r="F312" s="34" t="s">
        <v>9134</v>
      </c>
      <c r="H312" s="36" t="str">
        <f>HYPERLINK("https://www.google.com/maps/?q=47.314636111,-53.787775", "https://www.google.com/maps/?q=47.314636111,-53.787775")</f>
        <v>https://www.google.com/maps/?q=47.314636111,-53.787775</v>
      </c>
      <c r="I312" s="84" t="s">
        <v>1210</v>
      </c>
    </row>
    <row r="313" spans="1:11" ht="29" x14ac:dyDescent="0.35">
      <c r="A313" t="s">
        <v>9135</v>
      </c>
      <c r="B313" t="s">
        <v>9136</v>
      </c>
      <c r="C313" t="s">
        <v>9137</v>
      </c>
      <c r="D313" t="s">
        <v>9138</v>
      </c>
      <c r="E313" s="33" t="s">
        <v>28</v>
      </c>
      <c r="F313" s="34" t="s">
        <v>9139</v>
      </c>
      <c r="G313" s="35" t="s">
        <v>1356</v>
      </c>
      <c r="H313" s="36" t="str">
        <f>HYPERLINK("https://www.google.com/maps/?q=47.5335138890001,-52.79855", "https://www.google.com/maps/?q=47.5335138890001,-52.79855")</f>
        <v>https://www.google.com/maps/?q=47.5335138890001,-52.79855</v>
      </c>
      <c r="I313" s="37" t="s">
        <v>9140</v>
      </c>
      <c r="J313" s="37" t="s">
        <v>9141</v>
      </c>
      <c r="K313" s="104" t="s">
        <v>9142</v>
      </c>
    </row>
    <row r="314" spans="1:11" hidden="1" x14ac:dyDescent="0.35">
      <c r="A314" t="s">
        <v>9143</v>
      </c>
      <c r="B314" t="s">
        <v>9144</v>
      </c>
      <c r="C314" t="s">
        <v>9145</v>
      </c>
      <c r="D314" t="s">
        <v>9146</v>
      </c>
      <c r="E314" s="33" t="s">
        <v>28</v>
      </c>
      <c r="F314" s="34" t="s">
        <v>9147</v>
      </c>
      <c r="H314" s="36" t="str">
        <f>HYPERLINK("https://www.google.com/maps/?q=48.0839472220001,-53.003827778", "https://www.google.com/maps/?q=48.0839472220001,-53.003827778")</f>
        <v>https://www.google.com/maps/?q=48.0839472220001,-53.003827778</v>
      </c>
      <c r="I314" s="84" t="s">
        <v>8265</v>
      </c>
    </row>
    <row r="315" spans="1:11" ht="29" hidden="1" x14ac:dyDescent="0.35">
      <c r="A315" t="s">
        <v>9148</v>
      </c>
      <c r="B315" t="s">
        <v>9149</v>
      </c>
      <c r="C315" t="s">
        <v>9150</v>
      </c>
      <c r="D315" t="s">
        <v>9151</v>
      </c>
      <c r="E315" s="33" t="s">
        <v>28</v>
      </c>
      <c r="F315" s="34" t="s">
        <v>9152</v>
      </c>
      <c r="H315" s="36" t="str">
        <f>HYPERLINK("https://www.google.com/maps/?q=47.583516667,-53.544727778", "https://www.google.com/maps/?q=47.583516667,-53.544727778")</f>
        <v>https://www.google.com/maps/?q=47.583516667,-53.544727778</v>
      </c>
      <c r="I315" s="84" t="s">
        <v>8265</v>
      </c>
    </row>
    <row r="316" spans="1:11" ht="29" hidden="1" x14ac:dyDescent="0.35">
      <c r="A316" t="s">
        <v>9153</v>
      </c>
      <c r="B316" t="s">
        <v>9154</v>
      </c>
      <c r="C316" t="s">
        <v>9155</v>
      </c>
      <c r="D316" t="s">
        <v>9156</v>
      </c>
      <c r="E316" s="33" t="s">
        <v>28</v>
      </c>
      <c r="F316" s="34" t="s">
        <v>9157</v>
      </c>
      <c r="H316" s="36" t="str">
        <f>HYPERLINK("https://www.google.com/maps/?q=47.6101944440001,-52.724777778", "https://www.google.com/maps/?q=47.6101944440001,-52.724777778")</f>
        <v>https://www.google.com/maps/?q=47.6101944440001,-52.724777778</v>
      </c>
      <c r="I316" s="84" t="s">
        <v>8265</v>
      </c>
    </row>
    <row r="317" spans="1:11" ht="29" hidden="1" x14ac:dyDescent="0.35">
      <c r="A317" t="s">
        <v>9158</v>
      </c>
      <c r="B317" t="s">
        <v>9159</v>
      </c>
      <c r="C317" t="s">
        <v>9160</v>
      </c>
      <c r="D317" t="s">
        <v>9161</v>
      </c>
      <c r="E317" s="33" t="s">
        <v>28</v>
      </c>
      <c r="F317" s="34" t="s">
        <v>7525</v>
      </c>
      <c r="H317" s="36" t="str">
        <f>HYPERLINK("https://www.google.com/maps/?q=48.9398444440001,-57.935769444", "https://www.google.com/maps/?q=48.9398444440001,-57.935769444")</f>
        <v>https://www.google.com/maps/?q=48.9398444440001,-57.935769444</v>
      </c>
      <c r="I317" s="84" t="s">
        <v>8265</v>
      </c>
    </row>
    <row r="318" spans="1:11" ht="39" customHeight="1" x14ac:dyDescent="0.35">
      <c r="A318" t="s">
        <v>9162</v>
      </c>
      <c r="B318" t="s">
        <v>9163</v>
      </c>
      <c r="C318" t="s">
        <v>9164</v>
      </c>
      <c r="D318" t="s">
        <v>9165</v>
      </c>
      <c r="E318" s="33" t="s">
        <v>28</v>
      </c>
      <c r="F318" s="34" t="s">
        <v>9166</v>
      </c>
      <c r="G318" s="35" t="s">
        <v>1253</v>
      </c>
      <c r="H318" s="53" t="s">
        <v>9167</v>
      </c>
      <c r="I318" s="37" t="s">
        <v>9168</v>
      </c>
      <c r="J318" s="37" t="s">
        <v>9169</v>
      </c>
      <c r="K318" s="104" t="s">
        <v>9170</v>
      </c>
    </row>
    <row r="319" spans="1:11" ht="29" hidden="1" x14ac:dyDescent="0.35">
      <c r="A319" t="s">
        <v>9171</v>
      </c>
      <c r="B319" t="s">
        <v>9172</v>
      </c>
      <c r="C319" t="s">
        <v>9173</v>
      </c>
      <c r="D319" t="s">
        <v>9174</v>
      </c>
      <c r="E319" s="33" t="s">
        <v>28</v>
      </c>
      <c r="F319" s="34" t="s">
        <v>9175</v>
      </c>
      <c r="H319" s="36" t="str">
        <f>HYPERLINK("https://www.google.com/maps/?q=47.5781777780001,-52.6950166669999", "https://www.google.com/maps/?q=47.5781777780001,-52.6950166669999")</f>
        <v>https://www.google.com/maps/?q=47.5781777780001,-52.6950166669999</v>
      </c>
      <c r="I319" s="84" t="s">
        <v>8265</v>
      </c>
    </row>
    <row r="320" spans="1:11" ht="29" hidden="1" x14ac:dyDescent="0.35">
      <c r="A320" t="s">
        <v>9176</v>
      </c>
      <c r="B320" t="s">
        <v>9177</v>
      </c>
      <c r="C320" t="s">
        <v>9178</v>
      </c>
      <c r="D320" t="s">
        <v>9179</v>
      </c>
      <c r="E320" s="33" t="s">
        <v>28</v>
      </c>
      <c r="F320" s="34" t="s">
        <v>9180</v>
      </c>
      <c r="H320" s="36" t="str">
        <f>HYPERLINK("https://www.google.com/maps/?q=47.4530583330001,-52.768977778", "https://www.google.com/maps/?q=47.4530583330001,-52.768977778")</f>
        <v>https://www.google.com/maps/?q=47.4530583330001,-52.768977778</v>
      </c>
      <c r="I320" s="84" t="s">
        <v>8265</v>
      </c>
    </row>
    <row r="321" spans="1:11" ht="43.5" hidden="1" x14ac:dyDescent="0.35">
      <c r="A321" t="s">
        <v>9181</v>
      </c>
      <c r="B321" t="s">
        <v>9182</v>
      </c>
      <c r="C321" t="s">
        <v>9183</v>
      </c>
      <c r="D321" t="s">
        <v>9184</v>
      </c>
      <c r="E321" s="33" t="s">
        <v>28</v>
      </c>
      <c r="F321" s="34" t="s">
        <v>9185</v>
      </c>
      <c r="H321" s="36" t="str">
        <f>HYPERLINK("https://www.google.com/maps/?q=47.582244444,-52.693288889", "https://www.google.com/maps/?q=47.582244444,-52.693288889")</f>
        <v>https://www.google.com/maps/?q=47.582244444,-52.693288889</v>
      </c>
      <c r="I321" s="84" t="s">
        <v>8265</v>
      </c>
    </row>
    <row r="322" spans="1:11" ht="29" hidden="1" x14ac:dyDescent="0.35">
      <c r="A322" t="s">
        <v>9186</v>
      </c>
      <c r="B322" t="s">
        <v>9187</v>
      </c>
      <c r="C322" t="s">
        <v>9188</v>
      </c>
      <c r="D322" t="s">
        <v>9189</v>
      </c>
      <c r="E322" s="33" t="s">
        <v>28</v>
      </c>
      <c r="F322" s="34" t="s">
        <v>9190</v>
      </c>
      <c r="H322" s="36" t="str">
        <f>HYPERLINK("https://www.google.com/maps/?q=47.6008944440001,-52.684333333", "https://www.google.com/maps/?q=47.6008944440001,-52.684333333")</f>
        <v>https://www.google.com/maps/?q=47.6008944440001,-52.684333333</v>
      </c>
      <c r="I322" s="84" t="s">
        <v>8265</v>
      </c>
    </row>
    <row r="323" spans="1:11" ht="29" hidden="1" x14ac:dyDescent="0.35">
      <c r="A323" t="s">
        <v>9191</v>
      </c>
      <c r="B323" t="s">
        <v>9192</v>
      </c>
      <c r="C323" t="s">
        <v>9193</v>
      </c>
      <c r="D323" t="s">
        <v>9194</v>
      </c>
      <c r="E323" s="33" t="s">
        <v>28</v>
      </c>
      <c r="F323" s="34" t="s">
        <v>9195</v>
      </c>
      <c r="H323" s="36" t="str">
        <f>HYPERLINK("https://www.google.com/maps/?q=49.0977777780001,-56.084719444", "https://www.google.com/maps/?q=49.0977777780001,-56.084719444")</f>
        <v>https://www.google.com/maps/?q=49.0977777780001,-56.084719444</v>
      </c>
      <c r="I323" s="84" t="s">
        <v>1210</v>
      </c>
    </row>
    <row r="324" spans="1:11" ht="29" x14ac:dyDescent="0.35">
      <c r="A324" t="s">
        <v>9196</v>
      </c>
      <c r="B324" t="s">
        <v>9197</v>
      </c>
      <c r="C324" t="s">
        <v>9198</v>
      </c>
      <c r="D324" t="s">
        <v>9199</v>
      </c>
      <c r="E324" s="33" t="s">
        <v>28</v>
      </c>
      <c r="F324" s="34" t="s">
        <v>9200</v>
      </c>
      <c r="G324" s="35" t="s">
        <v>1253</v>
      </c>
      <c r="H324" s="36" t="str">
        <f>HYPERLINK("https://www.google.com/maps/?q=48.9972333330001,-58.0398888889999", "https://www.google.com/maps/?q=48.9972333330001,-58.0398888889999")</f>
        <v>https://www.google.com/maps/?q=48.9972333330001,-58.0398888889999</v>
      </c>
      <c r="I324" s="37" t="s">
        <v>9201</v>
      </c>
      <c r="J324" s="37" t="s">
        <v>9202</v>
      </c>
      <c r="K324" s="104" t="s">
        <v>9203</v>
      </c>
    </row>
    <row r="325" spans="1:11" ht="29" hidden="1" x14ac:dyDescent="0.35">
      <c r="A325" t="s">
        <v>9204</v>
      </c>
      <c r="B325" t="s">
        <v>9205</v>
      </c>
      <c r="C325" t="s">
        <v>9206</v>
      </c>
      <c r="D325" t="s">
        <v>9207</v>
      </c>
      <c r="E325" s="33" t="s">
        <v>28</v>
      </c>
      <c r="F325" s="34" t="s">
        <v>9208</v>
      </c>
      <c r="H325" s="36" t="str">
        <f>HYPERLINK("https://www.google.com/maps/?q=47.5212888890001,-52.845527778", "https://www.google.com/maps/?q=47.5212888890001,-52.845527778")</f>
        <v>https://www.google.com/maps/?q=47.5212888890001,-52.845527778</v>
      </c>
      <c r="I325" s="84" t="s">
        <v>8265</v>
      </c>
    </row>
    <row r="326" spans="1:11" ht="41.25" customHeight="1" x14ac:dyDescent="0.35">
      <c r="A326" t="s">
        <v>9209</v>
      </c>
      <c r="B326" t="s">
        <v>9210</v>
      </c>
      <c r="C326" t="s">
        <v>9211</v>
      </c>
      <c r="D326" t="s">
        <v>9212</v>
      </c>
      <c r="E326" s="33" t="s">
        <v>28</v>
      </c>
      <c r="F326" s="34" t="s">
        <v>8606</v>
      </c>
      <c r="G326" s="35" t="s">
        <v>1356</v>
      </c>
      <c r="H326" s="53" t="s">
        <v>9213</v>
      </c>
      <c r="I326" s="37" t="s">
        <v>9214</v>
      </c>
      <c r="J326" s="37" t="s">
        <v>9215</v>
      </c>
      <c r="K326" s="104" t="s">
        <v>9216</v>
      </c>
    </row>
    <row r="327" spans="1:11" ht="29" hidden="1" x14ac:dyDescent="0.35">
      <c r="A327" t="s">
        <v>9217</v>
      </c>
      <c r="B327" t="s">
        <v>9218</v>
      </c>
      <c r="C327" t="s">
        <v>9219</v>
      </c>
      <c r="D327" t="s">
        <v>9220</v>
      </c>
      <c r="E327" s="33" t="s">
        <v>28</v>
      </c>
      <c r="F327" s="34" t="s">
        <v>9221</v>
      </c>
      <c r="H327" s="36" t="str">
        <f>HYPERLINK("https://www.google.com/maps/?q=49.011663889,-55.4919416669999", "https://www.google.com/maps/?q=49.011663889,-55.4919416669999")</f>
        <v>https://www.google.com/maps/?q=49.011663889,-55.4919416669999</v>
      </c>
      <c r="I327" s="84" t="s">
        <v>7889</v>
      </c>
    </row>
    <row r="328" spans="1:11" ht="72.5" x14ac:dyDescent="0.35">
      <c r="A328" t="s">
        <v>9222</v>
      </c>
      <c r="B328" t="s">
        <v>9223</v>
      </c>
      <c r="C328" t="s">
        <v>9224</v>
      </c>
      <c r="D328" t="s">
        <v>9225</v>
      </c>
      <c r="E328" s="33" t="s">
        <v>28</v>
      </c>
      <c r="F328" s="34" t="s">
        <v>9226</v>
      </c>
      <c r="G328" s="35" t="s">
        <v>1356</v>
      </c>
      <c r="H328" s="36" t="str">
        <f>HYPERLINK("https://www.google.com/maps/?q=49.1566638890001,-53.5875", "https://www.google.com/maps/?q=49.1566638890001,-53.5875")</f>
        <v>https://www.google.com/maps/?q=49.1566638890001,-53.5875</v>
      </c>
      <c r="I328" s="37" t="s">
        <v>9227</v>
      </c>
      <c r="J328" s="37" t="s">
        <v>9228</v>
      </c>
      <c r="K328" s="104" t="s">
        <v>9229</v>
      </c>
    </row>
    <row r="329" spans="1:11" ht="61.5" customHeight="1" x14ac:dyDescent="0.35">
      <c r="A329" t="s">
        <v>9230</v>
      </c>
      <c r="B329" t="s">
        <v>9231</v>
      </c>
      <c r="C329" t="s">
        <v>9232</v>
      </c>
      <c r="D329" t="s">
        <v>9233</v>
      </c>
      <c r="E329" s="33" t="s">
        <v>28</v>
      </c>
      <c r="F329" s="34" t="s">
        <v>9234</v>
      </c>
      <c r="G329" s="35" t="s">
        <v>1253</v>
      </c>
      <c r="H329" s="53" t="s">
        <v>9235</v>
      </c>
      <c r="I329" s="37" t="s">
        <v>9236</v>
      </c>
      <c r="J329" s="37" t="s">
        <v>9237</v>
      </c>
      <c r="K329" s="104" t="s">
        <v>9238</v>
      </c>
    </row>
    <row r="330" spans="1:11" ht="63" customHeight="1" x14ac:dyDescent="0.35">
      <c r="A330" t="s">
        <v>9239</v>
      </c>
      <c r="B330" t="s">
        <v>9240</v>
      </c>
      <c r="C330" t="s">
        <v>9241</v>
      </c>
      <c r="D330" t="s">
        <v>9242</v>
      </c>
      <c r="E330" s="33" t="s">
        <v>28</v>
      </c>
      <c r="F330" s="34" t="s">
        <v>9243</v>
      </c>
      <c r="G330" s="35" t="s">
        <v>1147</v>
      </c>
      <c r="H330" s="53" t="s">
        <v>9244</v>
      </c>
      <c r="I330" s="37" t="s">
        <v>9245</v>
      </c>
      <c r="J330" s="37" t="s">
        <v>9246</v>
      </c>
      <c r="K330" s="104" t="s">
        <v>9247</v>
      </c>
    </row>
    <row r="331" spans="1:11" ht="29" x14ac:dyDescent="0.35">
      <c r="A331" t="s">
        <v>9248</v>
      </c>
      <c r="B331" t="s">
        <v>9249</v>
      </c>
      <c r="C331" t="s">
        <v>9250</v>
      </c>
      <c r="D331" t="s">
        <v>9251</v>
      </c>
      <c r="E331" s="33" t="s">
        <v>28</v>
      </c>
      <c r="F331" s="34" t="s">
        <v>9252</v>
      </c>
      <c r="H331" s="36" t="str">
        <f>HYPERLINK("https://www.google.com/maps/?q=49.966944444,-55.603888889", "https://www.google.com/maps/?q=49.966944444,-55.603888889")</f>
        <v>https://www.google.com/maps/?q=49.966944444,-55.603888889</v>
      </c>
    </row>
    <row r="332" spans="1:11" ht="29" x14ac:dyDescent="0.35">
      <c r="A332" t="s">
        <v>9253</v>
      </c>
      <c r="B332" t="s">
        <v>9254</v>
      </c>
      <c r="C332" t="s">
        <v>9255</v>
      </c>
      <c r="D332" t="s">
        <v>9256</v>
      </c>
      <c r="E332" s="33" t="s">
        <v>28</v>
      </c>
      <c r="F332" s="34" t="s">
        <v>9257</v>
      </c>
      <c r="H332" s="36" t="str">
        <f>HYPERLINK("https://www.google.com/maps/?q=47.572630556,-52.6988083329999", "https://www.google.com/maps/?q=47.572630556,-52.6988083329999")</f>
        <v>https://www.google.com/maps/?q=47.572630556,-52.6988083329999</v>
      </c>
    </row>
    <row r="333" spans="1:11" ht="29" x14ac:dyDescent="0.35">
      <c r="A333" t="s">
        <v>9258</v>
      </c>
      <c r="B333" t="s">
        <v>9259</v>
      </c>
      <c r="C333" t="s">
        <v>9260</v>
      </c>
      <c r="D333" t="s">
        <v>9261</v>
      </c>
      <c r="E333" s="33" t="s">
        <v>28</v>
      </c>
      <c r="F333" s="34" t="s">
        <v>8327</v>
      </c>
      <c r="H333" s="36" t="str">
        <f>HYPERLINK("https://www.google.com/maps/?q=48.9925638890001,-57.9099166669999", "https://www.google.com/maps/?q=48.9925638890001,-57.9099166669999")</f>
        <v>https://www.google.com/maps/?q=48.9925638890001,-57.9099166669999</v>
      </c>
    </row>
    <row r="334" spans="1:11" ht="29" x14ac:dyDescent="0.35">
      <c r="A334" t="s">
        <v>9262</v>
      </c>
      <c r="B334" t="s">
        <v>9263</v>
      </c>
      <c r="C334" t="s">
        <v>9264</v>
      </c>
      <c r="D334" t="s">
        <v>9265</v>
      </c>
      <c r="E334" s="33" t="s">
        <v>50</v>
      </c>
      <c r="F334" s="34" t="s">
        <v>8488</v>
      </c>
      <c r="H334" s="36" t="str">
        <f>HYPERLINK("https://www.google.com/maps/?q=47.53925,-52.716027778", "https://www.google.com/maps/?q=47.53925,-52.716027778")</f>
        <v>https://www.google.com/maps/?q=47.53925,-52.716027778</v>
      </c>
    </row>
    <row r="335" spans="1:11" ht="29" x14ac:dyDescent="0.35">
      <c r="A335" t="s">
        <v>9266</v>
      </c>
      <c r="B335" t="s">
        <v>9267</v>
      </c>
      <c r="C335" t="s">
        <v>9268</v>
      </c>
      <c r="D335" t="s">
        <v>9269</v>
      </c>
      <c r="E335" s="33" t="s">
        <v>66</v>
      </c>
      <c r="F335" s="34" t="s">
        <v>9270</v>
      </c>
      <c r="H335" s="36" t="str">
        <f>HYPERLINK("https://www.google.com/maps/?q=47.5346388890001,-52.822119444", "https://www.google.com/maps/?q=47.5346388890001,-52.822119444")</f>
        <v>https://www.google.com/maps/?q=47.5346388890001,-52.822119444</v>
      </c>
    </row>
    <row r="336" spans="1:11" ht="29" x14ac:dyDescent="0.35">
      <c r="A336" t="s">
        <v>9271</v>
      </c>
      <c r="B336" t="s">
        <v>9272</v>
      </c>
      <c r="C336" t="s">
        <v>9273</v>
      </c>
      <c r="D336" t="s">
        <v>9274</v>
      </c>
      <c r="E336" s="33" t="s">
        <v>66</v>
      </c>
      <c r="F336" s="34" t="s">
        <v>9275</v>
      </c>
      <c r="H336" s="36" t="str">
        <f>HYPERLINK("https://www.google.com/maps/?q=47.5586111110001,-52.713888889", "https://www.google.com/maps/?q=47.5586111110001,-52.713888889")</f>
        <v>https://www.google.com/maps/?q=47.5586111110001,-52.713888889</v>
      </c>
    </row>
    <row r="337" spans="1:8" ht="29" x14ac:dyDescent="0.35">
      <c r="A337" t="s">
        <v>9276</v>
      </c>
      <c r="B337" t="s">
        <v>9277</v>
      </c>
      <c r="C337" t="s">
        <v>9278</v>
      </c>
      <c r="D337" t="s">
        <v>9279</v>
      </c>
      <c r="E337" s="33" t="s">
        <v>66</v>
      </c>
      <c r="F337" s="34" t="s">
        <v>7962</v>
      </c>
      <c r="H337" s="36" t="str">
        <f>HYPERLINK("https://www.google.com/maps/?q=47.6205555560001,-52.961388889", "https://www.google.com/maps/?q=47.6205555560001,-52.961388889")</f>
        <v>https://www.google.com/maps/?q=47.6205555560001,-52.961388889</v>
      </c>
    </row>
    <row r="338" spans="1:8" ht="29" x14ac:dyDescent="0.35">
      <c r="A338" t="s">
        <v>9280</v>
      </c>
      <c r="B338" t="s">
        <v>9281</v>
      </c>
      <c r="C338" t="s">
        <v>9282</v>
      </c>
      <c r="D338" t="s">
        <v>9283</v>
      </c>
      <c r="E338" s="33" t="s">
        <v>28</v>
      </c>
      <c r="F338" s="34" t="s">
        <v>9284</v>
      </c>
      <c r="H338" s="36" t="str">
        <f>HYPERLINK("https://www.google.com/maps/?q=47.5313444440001,-52.741972222", "https://www.google.com/maps/?q=47.5313444440001,-52.741972222")</f>
        <v>https://www.google.com/maps/?q=47.5313444440001,-52.741972222</v>
      </c>
    </row>
    <row r="339" spans="1:8" ht="29" x14ac:dyDescent="0.35">
      <c r="A339" t="s">
        <v>9285</v>
      </c>
      <c r="B339" t="s">
        <v>9286</v>
      </c>
      <c r="C339" t="s">
        <v>9287</v>
      </c>
      <c r="D339" t="s">
        <v>9288</v>
      </c>
      <c r="E339" s="33" t="s">
        <v>50</v>
      </c>
      <c r="F339" s="34" t="s">
        <v>9289</v>
      </c>
      <c r="H339" s="36" t="str">
        <f>HYPERLINK("https://www.google.com/maps/?q=47.6389472220001,-52.728594444", "https://www.google.com/maps/?q=47.6389472220001,-52.728594444")</f>
        <v>https://www.google.com/maps/?q=47.6389472220001,-52.728594444</v>
      </c>
    </row>
    <row r="340" spans="1:8" ht="29" x14ac:dyDescent="0.35">
      <c r="A340" t="s">
        <v>9290</v>
      </c>
      <c r="B340" t="s">
        <v>9291</v>
      </c>
      <c r="C340" t="s">
        <v>9292</v>
      </c>
      <c r="D340" t="s">
        <v>9293</v>
      </c>
      <c r="E340" s="33" t="s">
        <v>50</v>
      </c>
      <c r="F340" s="34" t="s">
        <v>9294</v>
      </c>
      <c r="H340" s="36" t="str">
        <f>HYPERLINK("https://www.google.com/maps/?q=47.5915000000001,-52.723197222", "https://www.google.com/maps/?q=47.5915000000001,-52.723197222")</f>
        <v>https://www.google.com/maps/?q=47.5915000000001,-52.723197222</v>
      </c>
    </row>
    <row r="341" spans="1:8" ht="29" x14ac:dyDescent="0.35">
      <c r="A341" t="s">
        <v>9295</v>
      </c>
      <c r="B341" t="s">
        <v>9296</v>
      </c>
      <c r="C341" t="s">
        <v>9297</v>
      </c>
      <c r="D341" t="s">
        <v>9298</v>
      </c>
      <c r="E341" s="33" t="s">
        <v>66</v>
      </c>
      <c r="F341" s="34" t="s">
        <v>8298</v>
      </c>
      <c r="H341" s="36" t="str">
        <f>HYPERLINK("https://www.google.com/maps/?q=47.510777778,-52.9463888889999", "https://www.google.com/maps/?q=47.510777778,-52.9463888889999")</f>
        <v>https://www.google.com/maps/?q=47.510777778,-52.9463888889999</v>
      </c>
    </row>
    <row r="342" spans="1:8" ht="29" x14ac:dyDescent="0.35">
      <c r="A342" t="s">
        <v>9299</v>
      </c>
      <c r="B342" t="s">
        <v>9300</v>
      </c>
      <c r="C342" t="s">
        <v>9301</v>
      </c>
      <c r="D342" t="s">
        <v>9302</v>
      </c>
      <c r="E342" s="33" t="s">
        <v>66</v>
      </c>
      <c r="F342" s="34" t="s">
        <v>7702</v>
      </c>
      <c r="H342" s="36" t="str">
        <f>HYPERLINK("https://www.google.com/maps/?q=47.638952778,-52.7223888889999", "https://www.google.com/maps/?q=47.638952778,-52.7223888889999")</f>
        <v>https://www.google.com/maps/?q=47.638952778,-52.7223888889999</v>
      </c>
    </row>
    <row r="343" spans="1:8" ht="29" x14ac:dyDescent="0.35">
      <c r="A343" t="s">
        <v>9303</v>
      </c>
      <c r="B343" t="s">
        <v>9304</v>
      </c>
      <c r="C343" t="s">
        <v>9305</v>
      </c>
      <c r="D343" t="s">
        <v>9306</v>
      </c>
      <c r="E343" s="33" t="s">
        <v>28</v>
      </c>
      <c r="F343" s="34" t="s">
        <v>9307</v>
      </c>
      <c r="H343" s="36" t="str">
        <f>HYPERLINK("https://www.google.com/maps/?q=48.9555583330001,-57.939119444", "https://www.google.com/maps/?q=48.9555583330001,-57.939119444")</f>
        <v>https://www.google.com/maps/?q=48.9555583330001,-57.939119444</v>
      </c>
    </row>
    <row r="344" spans="1:8" ht="29" x14ac:dyDescent="0.35">
      <c r="A344" t="s">
        <v>9308</v>
      </c>
      <c r="B344" t="s">
        <v>9309</v>
      </c>
      <c r="C344" t="s">
        <v>9310</v>
      </c>
      <c r="D344" t="s">
        <v>9311</v>
      </c>
      <c r="E344" s="33" t="s">
        <v>28</v>
      </c>
      <c r="F344" s="34" t="s">
        <v>9312</v>
      </c>
      <c r="H344" s="36" t="str">
        <f>HYPERLINK("https://www.google.com/maps/?q=47.0930666670001,-55.202247222", "https://www.google.com/maps/?q=47.0930666670001,-55.202247222")</f>
        <v>https://www.google.com/maps/?q=47.0930666670001,-55.202247222</v>
      </c>
    </row>
    <row r="345" spans="1:8" ht="29" x14ac:dyDescent="0.35">
      <c r="A345" t="s">
        <v>9313</v>
      </c>
      <c r="B345" t="s">
        <v>9314</v>
      </c>
      <c r="C345" t="s">
        <v>9315</v>
      </c>
      <c r="D345" t="s">
        <v>9316</v>
      </c>
      <c r="E345" s="33" t="s">
        <v>28</v>
      </c>
      <c r="F345" s="34" t="s">
        <v>9317</v>
      </c>
      <c r="H345" s="36" t="str">
        <f>HYPERLINK("https://www.google.com/maps/?q=47.561727778,-52.7103888889999", "https://www.google.com/maps/?q=47.561727778,-52.7103888889999")</f>
        <v>https://www.google.com/maps/?q=47.561727778,-52.7103888889999</v>
      </c>
    </row>
    <row r="346" spans="1:8" x14ac:dyDescent="0.35">
      <c r="A346" t="s">
        <v>9318</v>
      </c>
      <c r="B346" t="s">
        <v>9319</v>
      </c>
      <c r="C346" t="s">
        <v>9320</v>
      </c>
      <c r="D346" t="s">
        <v>9321</v>
      </c>
      <c r="E346" s="33" t="s">
        <v>44</v>
      </c>
      <c r="F346" s="34" t="s">
        <v>7784</v>
      </c>
      <c r="H346" s="36" t="str">
        <f>HYPERLINK("https://www.google.com/maps/?q=48.6756861110001,-54.0783111109999", "https://www.google.com/maps/?q=48.6756861110001,-54.0783111109999")</f>
        <v>https://www.google.com/maps/?q=48.6756861110001,-54.0783111109999</v>
      </c>
    </row>
    <row r="347" spans="1:8" x14ac:dyDescent="0.35">
      <c r="A347" t="s">
        <v>9322</v>
      </c>
      <c r="B347" t="s">
        <v>9323</v>
      </c>
      <c r="C347" t="s">
        <v>9324</v>
      </c>
      <c r="D347" t="s">
        <v>9325</v>
      </c>
      <c r="E347" s="33" t="s">
        <v>44</v>
      </c>
      <c r="F347" s="34" t="s">
        <v>9326</v>
      </c>
      <c r="H347" s="36" t="str">
        <f>HYPERLINK("https://www.google.com/maps/?q=49.238580556,-57.474069444", "https://www.google.com/maps/?q=49.238580556,-57.474069444")</f>
        <v>https://www.google.com/maps/?q=49.238580556,-57.474069444</v>
      </c>
    </row>
    <row r="348" spans="1:8" ht="29" x14ac:dyDescent="0.35">
      <c r="A348" t="s">
        <v>9327</v>
      </c>
      <c r="B348" t="s">
        <v>9328</v>
      </c>
      <c r="C348" t="s">
        <v>9329</v>
      </c>
      <c r="D348" t="s">
        <v>9330</v>
      </c>
      <c r="E348" s="33" t="s">
        <v>28</v>
      </c>
      <c r="F348" s="34" t="s">
        <v>9331</v>
      </c>
      <c r="H348" s="36" t="str">
        <f>HYPERLINK("https://www.google.com/maps/?q=48.939758333,-55.658813889", "https://www.google.com/maps/?q=48.939758333,-55.658813889")</f>
        <v>https://www.google.com/maps/?q=48.939758333,-55.658813889</v>
      </c>
    </row>
    <row r="349" spans="1:8" x14ac:dyDescent="0.35">
      <c r="A349" t="s">
        <v>9332</v>
      </c>
      <c r="B349" t="s">
        <v>9333</v>
      </c>
      <c r="C349" t="s">
        <v>9334</v>
      </c>
      <c r="D349" t="s">
        <v>9335</v>
      </c>
      <c r="E349" s="33" t="s">
        <v>1109</v>
      </c>
      <c r="F349" s="34" t="s">
        <v>8961</v>
      </c>
      <c r="H349" s="36" t="str">
        <f>HYPERLINK("https://www.google.com/maps/?q=53.0159444440001,-66.187972222", "https://www.google.com/maps/?q=53.0159444440001,-66.187972222")</f>
        <v>https://www.google.com/maps/?q=53.0159444440001,-66.187972222</v>
      </c>
    </row>
    <row r="350" spans="1:8" ht="29" x14ac:dyDescent="0.35">
      <c r="A350" t="s">
        <v>9336</v>
      </c>
      <c r="B350" t="s">
        <v>9337</v>
      </c>
      <c r="C350" t="s">
        <v>9338</v>
      </c>
      <c r="D350" t="s">
        <v>9339</v>
      </c>
      <c r="E350" s="33" t="s">
        <v>44</v>
      </c>
      <c r="F350" s="34" t="s">
        <v>9226</v>
      </c>
      <c r="H350" s="36" t="str">
        <f>HYPERLINK("https://www.google.com/maps/?q=49.156825,-53.5877166669999", "https://www.google.com/maps/?q=49.156825,-53.5877166669999")</f>
        <v>https://www.google.com/maps/?q=49.156825,-53.5877166669999</v>
      </c>
    </row>
    <row r="351" spans="1:8" ht="29" x14ac:dyDescent="0.35">
      <c r="A351" t="s">
        <v>9340</v>
      </c>
      <c r="B351" t="s">
        <v>9341</v>
      </c>
      <c r="C351" t="s">
        <v>9342</v>
      </c>
      <c r="D351" t="s">
        <v>9343</v>
      </c>
      <c r="E351" s="33" t="s">
        <v>28</v>
      </c>
      <c r="F351" s="34" t="s">
        <v>9344</v>
      </c>
      <c r="H351" s="36" t="str">
        <f>HYPERLINK("https://www.google.com/maps/?q=47.5018388890001,-52.808719444", "https://www.google.com/maps/?q=47.5018388890001,-52.808719444")</f>
        <v>https://www.google.com/maps/?q=47.5018388890001,-52.808719444</v>
      </c>
    </row>
    <row r="352" spans="1:8" ht="29" x14ac:dyDescent="0.35">
      <c r="A352" t="s">
        <v>9345</v>
      </c>
      <c r="B352" t="s">
        <v>9346</v>
      </c>
      <c r="C352" t="s">
        <v>9347</v>
      </c>
      <c r="D352" t="s">
        <v>9348</v>
      </c>
      <c r="E352" s="33" t="s">
        <v>28</v>
      </c>
      <c r="F352" s="34" t="s">
        <v>9349</v>
      </c>
      <c r="H352" s="36" t="str">
        <f>HYPERLINK("https://www.google.com/maps/?q=47.5072777780001,-52.818966667", "https://www.google.com/maps/?q=47.5072777780001,-52.818966667")</f>
        <v>https://www.google.com/maps/?q=47.5072777780001,-52.818966667</v>
      </c>
    </row>
    <row r="353" spans="1:8" x14ac:dyDescent="0.35">
      <c r="A353" t="s">
        <v>9350</v>
      </c>
      <c r="B353" t="s">
        <v>9351</v>
      </c>
      <c r="C353" t="s">
        <v>9352</v>
      </c>
      <c r="D353" t="s">
        <v>9353</v>
      </c>
      <c r="E353" s="33" t="s">
        <v>28</v>
      </c>
      <c r="F353" s="34" t="s">
        <v>9354</v>
      </c>
      <c r="H353" s="36" t="str">
        <f>HYPERLINK("https://www.google.com/maps/?q=49.701413889,-56.103388889", "https://www.google.com/maps/?q=49.701413889,-56.103388889")</f>
        <v>https://www.google.com/maps/?q=49.701413889,-56.103388889</v>
      </c>
    </row>
    <row r="354" spans="1:8" x14ac:dyDescent="0.35">
      <c r="A354" t="s">
        <v>9355</v>
      </c>
      <c r="B354" t="s">
        <v>9356</v>
      </c>
      <c r="C354" t="s">
        <v>9357</v>
      </c>
      <c r="D354" t="s">
        <v>9358</v>
      </c>
      <c r="E354" s="33" t="s">
        <v>44</v>
      </c>
      <c r="F354" s="34" t="s">
        <v>7366</v>
      </c>
      <c r="H354" s="36" t="str">
        <f>HYPERLINK("https://www.google.com/maps/?q=48.6141361110001,-53.153197222", "https://www.google.com/maps/?q=48.6141361110001,-53.153197222")</f>
        <v>https://www.google.com/maps/?q=48.6141361110001,-53.153197222</v>
      </c>
    </row>
    <row r="355" spans="1:8" x14ac:dyDescent="0.35">
      <c r="A355" t="s">
        <v>9359</v>
      </c>
      <c r="B355" t="s">
        <v>9360</v>
      </c>
      <c r="C355" t="s">
        <v>9361</v>
      </c>
      <c r="D355" t="s">
        <v>9362</v>
      </c>
      <c r="E355" s="33" t="s">
        <v>44</v>
      </c>
      <c r="F355" s="34" t="s">
        <v>9363</v>
      </c>
      <c r="H355" s="36" t="str">
        <f>HYPERLINK("https://www.google.com/maps/?q=47.831508333,-53.3013333329999", "https://www.google.com/maps/?q=47.831508333,-53.3013333329999")</f>
        <v>https://www.google.com/maps/?q=47.831508333,-53.3013333329999</v>
      </c>
    </row>
    <row r="356" spans="1:8" ht="29" x14ac:dyDescent="0.35">
      <c r="A356" t="s">
        <v>9364</v>
      </c>
      <c r="B356" t="s">
        <v>9365</v>
      </c>
      <c r="C356" t="s">
        <v>9366</v>
      </c>
      <c r="D356" t="s">
        <v>9367</v>
      </c>
      <c r="E356" s="33" t="s">
        <v>50</v>
      </c>
      <c r="F356" s="34" t="s">
        <v>9368</v>
      </c>
      <c r="H356" s="36" t="str">
        <f>HYPERLINK("https://www.google.com/maps/?q=47.570936111,-52.712152778", "https://www.google.com/maps/?q=47.570936111,-52.712152778")</f>
        <v>https://www.google.com/maps/?q=47.570936111,-52.712152778</v>
      </c>
    </row>
    <row r="357" spans="1:8" ht="29" x14ac:dyDescent="0.35">
      <c r="A357" t="s">
        <v>9369</v>
      </c>
      <c r="B357" t="s">
        <v>9370</v>
      </c>
      <c r="C357" t="s">
        <v>9371</v>
      </c>
      <c r="D357" t="s">
        <v>9372</v>
      </c>
      <c r="E357" s="33" t="s">
        <v>50</v>
      </c>
      <c r="F357" s="34" t="s">
        <v>9373</v>
      </c>
      <c r="H357" s="36" t="str">
        <f>HYPERLINK("https://www.google.com/maps/?q=47.569269444,-52.714294444", "https://www.google.com/maps/?q=47.569269444,-52.714294444")</f>
        <v>https://www.google.com/maps/?q=47.569269444,-52.714294444</v>
      </c>
    </row>
    <row r="358" spans="1:8" ht="29" x14ac:dyDescent="0.35">
      <c r="A358" t="s">
        <v>9374</v>
      </c>
      <c r="B358" t="s">
        <v>9375</v>
      </c>
      <c r="C358" t="s">
        <v>9376</v>
      </c>
      <c r="D358" t="s">
        <v>9377</v>
      </c>
      <c r="E358" s="33" t="s">
        <v>28</v>
      </c>
      <c r="F358" s="34" t="s">
        <v>9378</v>
      </c>
      <c r="H358" s="36" t="str">
        <f>HYPERLINK("https://www.google.com/maps/?q=47.561255556,-52.753291667", "https://www.google.com/maps/?q=47.561255556,-52.753291667")</f>
        <v>https://www.google.com/maps/?q=47.561255556,-52.753291667</v>
      </c>
    </row>
    <row r="359" spans="1:8" ht="29" x14ac:dyDescent="0.35">
      <c r="A359" t="s">
        <v>9379</v>
      </c>
      <c r="B359" t="s">
        <v>9380</v>
      </c>
      <c r="C359" t="s">
        <v>9381</v>
      </c>
      <c r="D359" t="s">
        <v>9382</v>
      </c>
      <c r="E359" s="33" t="s">
        <v>28</v>
      </c>
      <c r="F359" s="34" t="s">
        <v>9383</v>
      </c>
      <c r="H359" s="36" t="str">
        <f>HYPERLINK("https://www.google.com/maps/?q=49.5828777780001,-56.189622222", "https://www.google.com/maps/?q=49.5828777780001,-56.189622222")</f>
        <v>https://www.google.com/maps/?q=49.5828777780001,-56.189622222</v>
      </c>
    </row>
    <row r="360" spans="1:8" ht="29" x14ac:dyDescent="0.35">
      <c r="A360" t="s">
        <v>9384</v>
      </c>
      <c r="B360" t="s">
        <v>9385</v>
      </c>
      <c r="C360" t="s">
        <v>9386</v>
      </c>
      <c r="D360" t="s">
        <v>9387</v>
      </c>
      <c r="E360" s="33" t="s">
        <v>28</v>
      </c>
      <c r="F360" s="34" t="s">
        <v>9388</v>
      </c>
      <c r="H360" s="36" t="str">
        <f>HYPERLINK("https://www.google.com/maps/?q=48.9513666670001,-54.6031055559999", "https://www.google.com/maps/?q=48.9513666670001,-54.6031055559999")</f>
        <v>https://www.google.com/maps/?q=48.9513666670001,-54.6031055559999</v>
      </c>
    </row>
    <row r="361" spans="1:8" ht="29" x14ac:dyDescent="0.35">
      <c r="A361" t="s">
        <v>9389</v>
      </c>
      <c r="B361" t="s">
        <v>9390</v>
      </c>
      <c r="C361" t="s">
        <v>9391</v>
      </c>
      <c r="D361" t="s">
        <v>9392</v>
      </c>
      <c r="E361" s="33" t="s">
        <v>28</v>
      </c>
      <c r="F361" s="34" t="s">
        <v>9393</v>
      </c>
      <c r="H361" s="36" t="str">
        <f>HYPERLINK("https://www.google.com/maps/?q=47.580672222,-52.6975416669999", "https://www.google.com/maps/?q=47.580672222,-52.6975416669999")</f>
        <v>https://www.google.com/maps/?q=47.580672222,-52.6975416669999</v>
      </c>
    </row>
    <row r="362" spans="1:8" ht="29" x14ac:dyDescent="0.35">
      <c r="A362" t="s">
        <v>9394</v>
      </c>
      <c r="B362" t="s">
        <v>9395</v>
      </c>
      <c r="C362" t="s">
        <v>9396</v>
      </c>
      <c r="D362" t="s">
        <v>9397</v>
      </c>
      <c r="E362" s="33" t="s">
        <v>28</v>
      </c>
      <c r="F362" s="34" t="s">
        <v>8787</v>
      </c>
      <c r="H362" s="36" t="str">
        <f>HYPERLINK("https://www.google.com/maps/?q=47.459377778,-52.7719222219999", "https://www.google.com/maps/?q=47.459377778,-52.7719222219999")</f>
        <v>https://www.google.com/maps/?q=47.459377778,-52.7719222219999</v>
      </c>
    </row>
    <row r="363" spans="1:8" ht="29" x14ac:dyDescent="0.35">
      <c r="A363" t="s">
        <v>9398</v>
      </c>
      <c r="B363" t="s">
        <v>9399</v>
      </c>
      <c r="C363" t="s">
        <v>9400</v>
      </c>
      <c r="D363" t="s">
        <v>9401</v>
      </c>
      <c r="E363" s="33" t="s">
        <v>28</v>
      </c>
      <c r="F363" s="34" t="s">
        <v>9402</v>
      </c>
      <c r="H363" s="36" t="str">
        <f>HYPERLINK("https://www.google.com/maps/?q=47.5704027780001,-52.687188889", "https://www.google.com/maps/?q=47.5704027780001,-52.687188889")</f>
        <v>https://www.google.com/maps/?q=47.5704027780001,-52.687188889</v>
      </c>
    </row>
    <row r="364" spans="1:8" ht="29" x14ac:dyDescent="0.35">
      <c r="A364" t="s">
        <v>9403</v>
      </c>
      <c r="B364" t="s">
        <v>9404</v>
      </c>
      <c r="C364" t="s">
        <v>9405</v>
      </c>
      <c r="D364" t="s">
        <v>9406</v>
      </c>
      <c r="E364" s="33" t="s">
        <v>28</v>
      </c>
      <c r="F364" s="34" t="s">
        <v>9407</v>
      </c>
      <c r="H364" s="36" t="str">
        <f>HYPERLINK("https://www.google.com/maps/?q=47.5131250000001,-52.8179499999999", "https://www.google.com/maps/?q=47.5131250000001,-52.8179499999999")</f>
        <v>https://www.google.com/maps/?q=47.5131250000001,-52.8179499999999</v>
      </c>
    </row>
    <row r="365" spans="1:8" ht="29" x14ac:dyDescent="0.35">
      <c r="A365" t="s">
        <v>9408</v>
      </c>
      <c r="B365" t="s">
        <v>9409</v>
      </c>
      <c r="C365" t="s">
        <v>9410</v>
      </c>
      <c r="D365" t="s">
        <v>9411</v>
      </c>
      <c r="E365" s="33" t="s">
        <v>28</v>
      </c>
      <c r="F365" s="34" t="s">
        <v>9412</v>
      </c>
      <c r="H365" s="36" t="str">
        <f>HYPERLINK("https://www.google.com/maps/?q=47.587688889,-52.7282499999999", "https://www.google.com/maps/?q=47.587688889,-52.7282499999999")</f>
        <v>https://www.google.com/maps/?q=47.587688889,-52.7282499999999</v>
      </c>
    </row>
    <row r="366" spans="1:8" x14ac:dyDescent="0.35">
      <c r="A366" t="s">
        <v>9413</v>
      </c>
      <c r="B366" t="s">
        <v>9414</v>
      </c>
      <c r="C366" t="s">
        <v>9415</v>
      </c>
      <c r="D366" t="s">
        <v>9416</v>
      </c>
      <c r="E366" s="33" t="s">
        <v>28</v>
      </c>
      <c r="F366" s="34" t="s">
        <v>9417</v>
      </c>
      <c r="H366" s="36" t="str">
        <f>HYPERLINK("https://www.google.com/maps/?q=48.4464,-53.5363", "https://www.google.com/maps/?q=48.4464,-53.5363")</f>
        <v>https://www.google.com/maps/?q=48.4464,-53.5363</v>
      </c>
    </row>
    <row r="367" spans="1:8" ht="29" x14ac:dyDescent="0.35">
      <c r="A367" t="s">
        <v>9418</v>
      </c>
      <c r="B367" t="s">
        <v>9419</v>
      </c>
      <c r="C367" t="s">
        <v>9420</v>
      </c>
      <c r="D367" t="s">
        <v>9421</v>
      </c>
      <c r="E367" s="33" t="s">
        <v>28</v>
      </c>
      <c r="F367" s="34" t="s">
        <v>9422</v>
      </c>
      <c r="H367" s="36" t="str">
        <f>HYPERLINK("https://www.google.com/maps/?q=47.5604916670001,-52.713438889", "https://www.google.com/maps/?q=47.5604916670001,-52.713438889")</f>
        <v>https://www.google.com/maps/?q=47.5604916670001,-52.713438889</v>
      </c>
    </row>
    <row r="368" spans="1:8" ht="29" x14ac:dyDescent="0.35">
      <c r="A368" t="s">
        <v>9423</v>
      </c>
      <c r="B368" t="s">
        <v>9424</v>
      </c>
      <c r="C368" t="s">
        <v>9425</v>
      </c>
      <c r="D368" t="s">
        <v>9426</v>
      </c>
      <c r="E368" s="33" t="s">
        <v>28</v>
      </c>
      <c r="F368" s="34" t="s">
        <v>9427</v>
      </c>
      <c r="H368" s="36" t="str">
        <f>HYPERLINK("https://www.google.com/maps/?q=51.5422722220001,-55.720094444", "https://www.google.com/maps/?q=51.5422722220001,-55.720094444")</f>
        <v>https://www.google.com/maps/?q=51.5422722220001,-55.720094444</v>
      </c>
    </row>
    <row r="369" spans="1:8" ht="29" x14ac:dyDescent="0.35">
      <c r="A369" t="s">
        <v>9428</v>
      </c>
      <c r="B369" t="s">
        <v>9429</v>
      </c>
      <c r="C369" t="s">
        <v>9430</v>
      </c>
      <c r="D369" t="s">
        <v>9431</v>
      </c>
      <c r="E369" s="33" t="s">
        <v>28</v>
      </c>
      <c r="F369" s="34" t="s">
        <v>9432</v>
      </c>
      <c r="H369" s="36" t="str">
        <f>HYPERLINK("https://www.google.com/maps/?q=47.8541638890001,-55.8783333329999", "https://www.google.com/maps/?q=47.8541638890001,-55.8783333329999")</f>
        <v>https://www.google.com/maps/?q=47.8541638890001,-55.8783333329999</v>
      </c>
    </row>
    <row r="370" spans="1:8" ht="29" x14ac:dyDescent="0.35">
      <c r="A370" t="s">
        <v>9433</v>
      </c>
      <c r="B370" t="s">
        <v>9434</v>
      </c>
      <c r="C370" t="s">
        <v>9435</v>
      </c>
      <c r="D370" t="s">
        <v>9436</v>
      </c>
      <c r="E370" s="33" t="s">
        <v>28</v>
      </c>
      <c r="F370" s="34" t="s">
        <v>9437</v>
      </c>
      <c r="H370" s="36" t="str">
        <f>HYPERLINK("https://www.google.com/maps/?q=49.0245972220001,-55.448391667", "https://www.google.com/maps/?q=49.0245972220001,-55.448391667")</f>
        <v>https://www.google.com/maps/?q=49.0245972220001,-55.448391667</v>
      </c>
    </row>
    <row r="371" spans="1:8" ht="29" x14ac:dyDescent="0.35">
      <c r="A371" t="s">
        <v>9438</v>
      </c>
      <c r="B371" t="s">
        <v>9439</v>
      </c>
      <c r="C371" t="s">
        <v>9440</v>
      </c>
      <c r="D371" t="s">
        <v>9441</v>
      </c>
      <c r="E371" s="33" t="s">
        <v>28</v>
      </c>
      <c r="F371" s="34" t="s">
        <v>9442</v>
      </c>
      <c r="H371" s="36" t="str">
        <f>HYPERLINK("https://www.google.com/maps/?q=47.532822222,-52.826175", "https://www.google.com/maps/?q=47.532822222,-52.826175")</f>
        <v>https://www.google.com/maps/?q=47.532822222,-52.826175</v>
      </c>
    </row>
    <row r="372" spans="1:8" ht="29" x14ac:dyDescent="0.35">
      <c r="A372" t="s">
        <v>9443</v>
      </c>
      <c r="B372" t="s">
        <v>9444</v>
      </c>
      <c r="C372" t="s">
        <v>9445</v>
      </c>
      <c r="D372" t="s">
        <v>9446</v>
      </c>
      <c r="E372" s="33" t="s">
        <v>28</v>
      </c>
      <c r="F372" s="34" t="s">
        <v>9447</v>
      </c>
      <c r="H372" s="36" t="str">
        <f>HYPERLINK("https://www.google.com/maps/?q=47.570052778,-52.718680556", "https://www.google.com/maps/?q=47.570052778,-52.718680556")</f>
        <v>https://www.google.com/maps/?q=47.570052778,-52.718680556</v>
      </c>
    </row>
    <row r="373" spans="1:8" x14ac:dyDescent="0.35">
      <c r="A373" t="s">
        <v>9448</v>
      </c>
      <c r="B373" t="s">
        <v>9449</v>
      </c>
      <c r="C373" t="s">
        <v>9450</v>
      </c>
      <c r="D373" t="s">
        <v>9451</v>
      </c>
      <c r="E373" s="33" t="s">
        <v>28</v>
      </c>
      <c r="F373" s="34" t="s">
        <v>9452</v>
      </c>
      <c r="H373" s="36" t="str">
        <f>HYPERLINK("https://www.google.com/maps/?q=48.0929166670001,-52.896866667", "https://www.google.com/maps/?q=48.0929166670001,-52.896866667")</f>
        <v>https://www.google.com/maps/?q=48.0929166670001,-52.896866667</v>
      </c>
    </row>
    <row r="374" spans="1:8" ht="29" x14ac:dyDescent="0.35">
      <c r="A374" t="s">
        <v>9453</v>
      </c>
      <c r="B374" t="s">
        <v>9454</v>
      </c>
      <c r="C374" t="s">
        <v>9455</v>
      </c>
      <c r="D374" t="s">
        <v>9456</v>
      </c>
      <c r="E374" s="33" t="s">
        <v>28</v>
      </c>
      <c r="F374" s="34" t="s">
        <v>9457</v>
      </c>
      <c r="H374" s="36" t="str">
        <f>HYPERLINK("https://www.google.com/maps/?q=47.5618666670001,-52.7227833329999", "https://www.google.com/maps/?q=47.5618666670001,-52.7227833329999")</f>
        <v>https://www.google.com/maps/?q=47.5618666670001,-52.7227833329999</v>
      </c>
    </row>
    <row r="375" spans="1:8" ht="29" x14ac:dyDescent="0.35">
      <c r="A375" t="s">
        <v>9458</v>
      </c>
      <c r="B375" t="s">
        <v>9459</v>
      </c>
      <c r="C375" t="s">
        <v>9460</v>
      </c>
      <c r="D375" t="s">
        <v>9461</v>
      </c>
      <c r="E375" s="33" t="s">
        <v>28</v>
      </c>
      <c r="F375" s="34" t="s">
        <v>9462</v>
      </c>
      <c r="H375" s="36" t="str">
        <f>HYPERLINK("https://www.google.com/maps/?q=47.5455916670001,-52.752225", "https://www.google.com/maps/?q=47.5455916670001,-52.752225")</f>
        <v>https://www.google.com/maps/?q=47.5455916670001,-52.752225</v>
      </c>
    </row>
    <row r="376" spans="1:8" x14ac:dyDescent="0.35">
      <c r="A376" t="s">
        <v>9463</v>
      </c>
      <c r="B376" t="s">
        <v>9464</v>
      </c>
      <c r="C376" t="s">
        <v>9465</v>
      </c>
      <c r="D376" t="s">
        <v>9466</v>
      </c>
      <c r="E376" s="33" t="s">
        <v>28</v>
      </c>
      <c r="F376" s="34" t="s">
        <v>7366</v>
      </c>
      <c r="H376" s="36" t="str">
        <f>HYPERLINK("https://www.google.com/maps/?q=51.380552778,-56.091108333", "https://www.google.com/maps/?q=51.380552778,-56.091108333")</f>
        <v>https://www.google.com/maps/?q=51.380552778,-56.091108333</v>
      </c>
    </row>
    <row r="377" spans="1:8" ht="29" x14ac:dyDescent="0.35">
      <c r="A377" t="s">
        <v>9467</v>
      </c>
      <c r="B377" t="s">
        <v>9468</v>
      </c>
      <c r="C377" t="s">
        <v>9469</v>
      </c>
      <c r="D377" t="s">
        <v>9470</v>
      </c>
      <c r="E377" s="33" t="s">
        <v>28</v>
      </c>
      <c r="F377" s="34" t="s">
        <v>9471</v>
      </c>
      <c r="H377" s="36" t="str">
        <f>HYPERLINK("https://www.google.com/maps/?q=48.5495111110001,-58.5738916669999", "https://www.google.com/maps/?q=48.5495111110001,-58.5738916669999")</f>
        <v>https://www.google.com/maps/?q=48.5495111110001,-58.5738916669999</v>
      </c>
    </row>
    <row r="378" spans="1:8" x14ac:dyDescent="0.35">
      <c r="A378" t="s">
        <v>9472</v>
      </c>
      <c r="B378" t="s">
        <v>9473</v>
      </c>
      <c r="C378" t="s">
        <v>9474</v>
      </c>
      <c r="D378" t="s">
        <v>9475</v>
      </c>
      <c r="E378" s="33" t="s">
        <v>28</v>
      </c>
      <c r="F378" s="34" t="s">
        <v>8209</v>
      </c>
      <c r="H378" s="36" t="str">
        <f>HYPERLINK("https://www.google.com/maps/?q=52.547838889,-56.298377778", "https://www.google.com/maps/?q=52.547838889,-56.298377778")</f>
        <v>https://www.google.com/maps/?q=52.547838889,-56.298377778</v>
      </c>
    </row>
    <row r="379" spans="1:8" ht="29" x14ac:dyDescent="0.35">
      <c r="A379" t="s">
        <v>9476</v>
      </c>
      <c r="B379" t="s">
        <v>9477</v>
      </c>
      <c r="C379" t="s">
        <v>9478</v>
      </c>
      <c r="D379" t="s">
        <v>9479</v>
      </c>
      <c r="E379" s="33" t="s">
        <v>28</v>
      </c>
      <c r="F379" s="34" t="s">
        <v>9480</v>
      </c>
      <c r="H379" s="36" t="str">
        <f>HYPERLINK("https://www.google.com/maps/?q=47.5315416670001,-52.8635305559999", "https://www.google.com/maps/?q=47.5315416670001,-52.8635305559999")</f>
        <v>https://www.google.com/maps/?q=47.5315416670001,-52.8635305559999</v>
      </c>
    </row>
    <row r="380" spans="1:8" ht="29" x14ac:dyDescent="0.35">
      <c r="A380" t="s">
        <v>9481</v>
      </c>
      <c r="B380" t="s">
        <v>9482</v>
      </c>
      <c r="C380" t="s">
        <v>9483</v>
      </c>
      <c r="D380" t="s">
        <v>9484</v>
      </c>
      <c r="E380" s="33" t="s">
        <v>28</v>
      </c>
      <c r="F380" s="34" t="s">
        <v>9485</v>
      </c>
      <c r="H380" s="36" t="str">
        <f>HYPERLINK("https://www.google.com/maps/?q=47.597080556,-52.730755556", "https://www.google.com/maps/?q=47.597080556,-52.730755556")</f>
        <v>https://www.google.com/maps/?q=47.597080556,-52.730755556</v>
      </c>
    </row>
    <row r="381" spans="1:8" ht="29" x14ac:dyDescent="0.35">
      <c r="A381" t="s">
        <v>9486</v>
      </c>
      <c r="B381" t="s">
        <v>9487</v>
      </c>
      <c r="C381" t="s">
        <v>9488</v>
      </c>
      <c r="D381" t="s">
        <v>9489</v>
      </c>
      <c r="E381" s="33" t="s">
        <v>28</v>
      </c>
      <c r="F381" s="34" t="s">
        <v>9490</v>
      </c>
      <c r="H381" s="36" t="str">
        <f>HYPERLINK("https://www.google.com/maps/?q=47.545188889,-52.7137", "https://www.google.com/maps/?q=47.545188889,-52.7137")</f>
        <v>https://www.google.com/maps/?q=47.545188889,-52.7137</v>
      </c>
    </row>
    <row r="382" spans="1:8" ht="29" x14ac:dyDescent="0.35">
      <c r="A382" t="s">
        <v>9491</v>
      </c>
      <c r="B382" t="s">
        <v>9492</v>
      </c>
      <c r="C382" t="s">
        <v>9493</v>
      </c>
      <c r="D382" t="s">
        <v>9494</v>
      </c>
      <c r="E382" s="33" t="s">
        <v>17</v>
      </c>
      <c r="F382" s="34" t="s">
        <v>9060</v>
      </c>
      <c r="H382" s="36" t="str">
        <f>HYPERLINK("https://www.google.com/maps/?q=48.9439,-55.6516999999999", "https://www.google.com/maps/?q=48.9439,-55.6516999999999")</f>
        <v>https://www.google.com/maps/?q=48.9439,-55.6516999999999</v>
      </c>
    </row>
    <row r="383" spans="1:8" ht="29" x14ac:dyDescent="0.35">
      <c r="A383" t="s">
        <v>9495</v>
      </c>
      <c r="B383" t="s">
        <v>9496</v>
      </c>
      <c r="C383" t="s">
        <v>9497</v>
      </c>
      <c r="D383" t="s">
        <v>9498</v>
      </c>
      <c r="E383" s="33" t="s">
        <v>50</v>
      </c>
      <c r="F383" s="34" t="s">
        <v>7328</v>
      </c>
      <c r="H383" s="36" t="str">
        <f>HYPERLINK("https://www.google.com/maps/?q=47.5806000000001,-52.6992611109999", "https://www.google.com/maps/?q=47.5806000000001,-52.6992611109999")</f>
        <v>https://www.google.com/maps/?q=47.5806000000001,-52.6992611109999</v>
      </c>
    </row>
    <row r="384" spans="1:8" ht="29" x14ac:dyDescent="0.35">
      <c r="A384" t="s">
        <v>9499</v>
      </c>
      <c r="B384" t="s">
        <v>9500</v>
      </c>
      <c r="C384" t="s">
        <v>9501</v>
      </c>
      <c r="D384" t="s">
        <v>9502</v>
      </c>
      <c r="E384" s="33" t="s">
        <v>50</v>
      </c>
      <c r="F384" s="34" t="s">
        <v>9503</v>
      </c>
      <c r="H384" s="36" t="str">
        <f>HYPERLINK("https://www.google.com/maps/?q=47.5912000000001,-52.7299", "https://www.google.com/maps/?q=47.5912000000001,-52.7299")</f>
        <v>https://www.google.com/maps/?q=47.5912000000001,-52.7299</v>
      </c>
    </row>
    <row r="385" spans="1:8" ht="29" x14ac:dyDescent="0.35">
      <c r="A385" t="s">
        <v>9504</v>
      </c>
      <c r="B385" t="s">
        <v>9505</v>
      </c>
      <c r="C385" t="s">
        <v>9506</v>
      </c>
      <c r="D385" t="s">
        <v>9507</v>
      </c>
      <c r="E385" s="33" t="s">
        <v>50</v>
      </c>
      <c r="F385" s="34" t="s">
        <v>9508</v>
      </c>
      <c r="H385" s="36" t="str">
        <f>HYPERLINK("https://www.google.com/maps/?q=47.634533333,-52.730658333", "https://www.google.com/maps/?q=47.634533333,-52.730658333")</f>
        <v>https://www.google.com/maps/?q=47.634533333,-52.730658333</v>
      </c>
    </row>
    <row r="386" spans="1:8" x14ac:dyDescent="0.35">
      <c r="A386" t="s">
        <v>9509</v>
      </c>
      <c r="B386" t="s">
        <v>9510</v>
      </c>
      <c r="C386" t="s">
        <v>9511</v>
      </c>
      <c r="D386" t="s">
        <v>9512</v>
      </c>
      <c r="E386" s="33" t="s">
        <v>1109</v>
      </c>
      <c r="F386" s="34" t="s">
        <v>8288</v>
      </c>
      <c r="H386" s="36" t="str">
        <f>HYPERLINK("https://www.google.com/maps/?q=52.5125,-65.851111111", "https://www.google.com/maps/?q=52.5125,-65.851111111")</f>
        <v>https://www.google.com/maps/?q=52.5125,-65.851111111</v>
      </c>
    </row>
    <row r="387" spans="1:8" x14ac:dyDescent="0.35">
      <c r="A387" t="s">
        <v>9513</v>
      </c>
      <c r="B387" t="s">
        <v>9514</v>
      </c>
      <c r="C387" t="s">
        <v>9515</v>
      </c>
      <c r="D387" t="s">
        <v>9516</v>
      </c>
      <c r="E387" s="33" t="s">
        <v>1109</v>
      </c>
      <c r="F387" s="34" t="s">
        <v>9517</v>
      </c>
      <c r="H387" s="36" t="str">
        <f>HYPERLINK("https://www.google.com/maps/?q=54.5711111110001,-66.666666667", "https://www.google.com/maps/?q=54.5711111110001,-66.666666667")</f>
        <v>https://www.google.com/maps/?q=54.5711111110001,-66.666666667</v>
      </c>
    </row>
    <row r="388" spans="1:8" x14ac:dyDescent="0.35">
      <c r="A388" t="s">
        <v>9518</v>
      </c>
      <c r="B388" t="s">
        <v>9519</v>
      </c>
      <c r="C388" t="s">
        <v>9520</v>
      </c>
      <c r="D388" t="s">
        <v>9521</v>
      </c>
      <c r="E388" s="33" t="s">
        <v>1109</v>
      </c>
      <c r="F388" s="34" t="s">
        <v>8288</v>
      </c>
      <c r="H388" s="36" t="str">
        <f>HYPERLINK("https://www.google.com/maps/?q=52.778611111,-65.8063888889999", "https://www.google.com/maps/?q=52.778611111,-65.8063888889999")</f>
        <v>https://www.google.com/maps/?q=52.778611111,-65.8063888889999</v>
      </c>
    </row>
    <row r="389" spans="1:8" ht="29" x14ac:dyDescent="0.35">
      <c r="A389" t="s">
        <v>9522</v>
      </c>
      <c r="B389" t="s">
        <v>9523</v>
      </c>
      <c r="C389" t="s">
        <v>9524</v>
      </c>
      <c r="D389" t="s">
        <v>9525</v>
      </c>
      <c r="E389" s="33" t="s">
        <v>28</v>
      </c>
      <c r="F389" s="34" t="s">
        <v>9526</v>
      </c>
      <c r="H389" s="36" t="str">
        <f>HYPERLINK("https://www.google.com/maps/?q=47.5807500000001,-52.675702778", "https://www.google.com/maps/?q=47.5807500000001,-52.675702778")</f>
        <v>https://www.google.com/maps/?q=47.5807500000001,-52.675702778</v>
      </c>
    </row>
    <row r="390" spans="1:8" ht="29" x14ac:dyDescent="0.35">
      <c r="A390" t="s">
        <v>9527</v>
      </c>
      <c r="B390" t="s">
        <v>9528</v>
      </c>
      <c r="C390" t="s">
        <v>9529</v>
      </c>
      <c r="D390" t="s">
        <v>9530</v>
      </c>
      <c r="E390" s="33" t="s">
        <v>28</v>
      </c>
      <c r="F390" s="34" t="s">
        <v>9531</v>
      </c>
      <c r="H390" s="36" t="str">
        <f>HYPERLINK("https://www.google.com/maps/?q=47.736327778,-52.8054222219999", "https://www.google.com/maps/?q=47.736327778,-52.8054222219999")</f>
        <v>https://www.google.com/maps/?q=47.736327778,-52.8054222219999</v>
      </c>
    </row>
    <row r="391" spans="1:8" ht="29" x14ac:dyDescent="0.35">
      <c r="A391" t="s">
        <v>9532</v>
      </c>
      <c r="B391" t="s">
        <v>9533</v>
      </c>
      <c r="C391" t="s">
        <v>9534</v>
      </c>
      <c r="D391" t="s">
        <v>9535</v>
      </c>
      <c r="E391" s="33" t="s">
        <v>28</v>
      </c>
      <c r="F391" s="34" t="s">
        <v>9536</v>
      </c>
      <c r="H391" s="36" t="str">
        <f>HYPERLINK("https://www.google.com/maps/?q=51.547772222,-56.793608333", "https://www.google.com/maps/?q=51.547772222,-56.793608333")</f>
        <v>https://www.google.com/maps/?q=51.547772222,-56.793608333</v>
      </c>
    </row>
    <row r="392" spans="1:8" ht="29" x14ac:dyDescent="0.35">
      <c r="A392" t="s">
        <v>9537</v>
      </c>
      <c r="B392" t="s">
        <v>9538</v>
      </c>
      <c r="C392" t="s">
        <v>9539</v>
      </c>
      <c r="D392" t="s">
        <v>9540</v>
      </c>
      <c r="E392" s="33" t="s">
        <v>28</v>
      </c>
      <c r="F392" s="34" t="s">
        <v>9541</v>
      </c>
      <c r="H392" s="36" t="str">
        <f>HYPERLINK("https://www.google.com/maps/?q=49.057972222,-58.380827778", "https://www.google.com/maps/?q=49.057972222,-58.380827778")</f>
        <v>https://www.google.com/maps/?q=49.057972222,-58.380827778</v>
      </c>
    </row>
    <row r="393" spans="1:8" ht="29" x14ac:dyDescent="0.35">
      <c r="A393" t="s">
        <v>9542</v>
      </c>
      <c r="B393" t="s">
        <v>9543</v>
      </c>
      <c r="C393" t="s">
        <v>9544</v>
      </c>
      <c r="D393" t="s">
        <v>9545</v>
      </c>
      <c r="E393" s="33" t="s">
        <v>28</v>
      </c>
      <c r="F393" s="34" t="s">
        <v>9546</v>
      </c>
      <c r="H393" s="36" t="str">
        <f>HYPERLINK("https://www.google.com/maps/?q=47.528372222,-52.870772222", "https://www.google.com/maps/?q=47.528372222,-52.870772222")</f>
        <v>https://www.google.com/maps/?q=47.528372222,-52.870772222</v>
      </c>
    </row>
    <row r="394" spans="1:8" ht="29" x14ac:dyDescent="0.35">
      <c r="A394" t="s">
        <v>9547</v>
      </c>
      <c r="B394" t="s">
        <v>9548</v>
      </c>
      <c r="C394" t="s">
        <v>9549</v>
      </c>
      <c r="D394" t="s">
        <v>9550</v>
      </c>
      <c r="E394" s="33" t="s">
        <v>44</v>
      </c>
      <c r="F394" s="34" t="s">
        <v>9090</v>
      </c>
      <c r="H394" s="36" t="str">
        <f>HYPERLINK("https://www.google.com/maps/?q=47.5463111110001,-52.768355556", "https://www.google.com/maps/?q=47.5463111110001,-52.768355556")</f>
        <v>https://www.google.com/maps/?q=47.5463111110001,-52.768355556</v>
      </c>
    </row>
    <row r="395" spans="1:8" x14ac:dyDescent="0.35">
      <c r="A395" t="s">
        <v>9551</v>
      </c>
      <c r="B395" t="s">
        <v>9552</v>
      </c>
      <c r="C395" t="s">
        <v>9553</v>
      </c>
      <c r="D395" t="s">
        <v>9554</v>
      </c>
      <c r="E395" s="33" t="s">
        <v>44</v>
      </c>
      <c r="F395" s="34" t="s">
        <v>9417</v>
      </c>
      <c r="H395" s="36" t="str">
        <f>HYPERLINK("https://www.google.com/maps/?q=48.445647222,-53.536988889", "https://www.google.com/maps/?q=48.445647222,-53.536988889")</f>
        <v>https://www.google.com/maps/?q=48.445647222,-53.536988889</v>
      </c>
    </row>
    <row r="396" spans="1:8" ht="29" x14ac:dyDescent="0.35">
      <c r="A396" t="s">
        <v>9555</v>
      </c>
      <c r="B396" t="s">
        <v>9556</v>
      </c>
      <c r="C396" t="s">
        <v>9557</v>
      </c>
      <c r="D396" t="s">
        <v>9558</v>
      </c>
      <c r="E396" s="33" t="s">
        <v>44</v>
      </c>
      <c r="F396" s="34" t="s">
        <v>9559</v>
      </c>
      <c r="H396" s="36" t="str">
        <f>HYPERLINK("https://www.google.com/maps/?q=48.9166666670001,-57.968888889", "https://www.google.com/maps/?q=48.9166666670001,-57.968888889")</f>
        <v>https://www.google.com/maps/?q=48.9166666670001,-57.968888889</v>
      </c>
    </row>
    <row r="397" spans="1:8" x14ac:dyDescent="0.35">
      <c r="A397" t="s">
        <v>9560</v>
      </c>
      <c r="B397" t="s">
        <v>9561</v>
      </c>
      <c r="C397" t="s">
        <v>9562</v>
      </c>
      <c r="D397" t="s">
        <v>9563</v>
      </c>
      <c r="E397" s="33" t="s">
        <v>44</v>
      </c>
      <c r="F397" s="34" t="s">
        <v>8242</v>
      </c>
      <c r="H397" s="36" t="str">
        <f>HYPERLINK("https://www.google.com/maps/?q=49.086108333,-58.374308333", "https://www.google.com/maps/?q=49.086108333,-58.374308333")</f>
        <v>https://www.google.com/maps/?q=49.086108333,-58.374308333</v>
      </c>
    </row>
    <row r="398" spans="1:8" x14ac:dyDescent="0.35">
      <c r="A398" t="s">
        <v>9564</v>
      </c>
      <c r="B398" t="s">
        <v>9565</v>
      </c>
      <c r="C398" t="s">
        <v>9566</v>
      </c>
      <c r="D398" t="s">
        <v>9567</v>
      </c>
      <c r="E398" s="33" t="s">
        <v>44</v>
      </c>
      <c r="F398" s="34" t="s">
        <v>9568</v>
      </c>
      <c r="H398" s="36" t="str">
        <f>HYPERLINK("https://www.google.com/maps/?q=47.2240972220001,-53.5525749999999", "https://www.google.com/maps/?q=47.2240972220001,-53.5525749999999")</f>
        <v>https://www.google.com/maps/?q=47.2240972220001,-53.5525749999999</v>
      </c>
    </row>
    <row r="399" spans="1:8" x14ac:dyDescent="0.35">
      <c r="A399" t="s">
        <v>9569</v>
      </c>
      <c r="B399" t="s">
        <v>9570</v>
      </c>
      <c r="C399" t="s">
        <v>9571</v>
      </c>
      <c r="D399" t="s">
        <v>9572</v>
      </c>
      <c r="E399" s="33" t="s">
        <v>28</v>
      </c>
      <c r="F399" s="34" t="s">
        <v>9573</v>
      </c>
      <c r="H399" s="36" t="str">
        <f>HYPERLINK("https://www.google.com/maps/?q=49.4773138890001,-58.118108333", "https://www.google.com/maps/?q=49.4773138890001,-58.118108333")</f>
        <v>https://www.google.com/maps/?q=49.4773138890001,-58.118108333</v>
      </c>
    </row>
    <row r="400" spans="1:8" ht="29" x14ac:dyDescent="0.35">
      <c r="A400" t="s">
        <v>9574</v>
      </c>
      <c r="B400" t="s">
        <v>9575</v>
      </c>
      <c r="C400" t="s">
        <v>9576</v>
      </c>
      <c r="D400" t="s">
        <v>9577</v>
      </c>
      <c r="E400" s="33" t="s">
        <v>28</v>
      </c>
      <c r="F400" s="34" t="s">
        <v>9578</v>
      </c>
      <c r="H400" s="36" t="str">
        <f>HYPERLINK("https://www.google.com/maps/?q=47.5302361110001,-52.926502778", "https://www.google.com/maps/?q=47.5302361110001,-52.926502778")</f>
        <v>https://www.google.com/maps/?q=47.5302361110001,-52.926502778</v>
      </c>
    </row>
    <row r="401" spans="1:8" ht="29" x14ac:dyDescent="0.35">
      <c r="A401" t="s">
        <v>9579</v>
      </c>
      <c r="B401" t="s">
        <v>9580</v>
      </c>
      <c r="C401" t="s">
        <v>9581</v>
      </c>
      <c r="D401" t="s">
        <v>9582</v>
      </c>
      <c r="E401" s="33" t="s">
        <v>28</v>
      </c>
      <c r="F401" s="34" t="s">
        <v>9583</v>
      </c>
      <c r="H401" s="36" t="str">
        <f>HYPERLINK("https://www.google.com/maps/?q=47.372019444,-53.235558333", "https://www.google.com/maps/?q=47.372019444,-53.235558333")</f>
        <v>https://www.google.com/maps/?q=47.372019444,-53.235558333</v>
      </c>
    </row>
    <row r="402" spans="1:8" ht="29" x14ac:dyDescent="0.35">
      <c r="A402" t="s">
        <v>9584</v>
      </c>
      <c r="B402" t="s">
        <v>9585</v>
      </c>
      <c r="C402" t="s">
        <v>9586</v>
      </c>
      <c r="D402" t="s">
        <v>9587</v>
      </c>
      <c r="E402" s="33" t="s">
        <v>28</v>
      </c>
      <c r="F402" s="34" t="s">
        <v>9588</v>
      </c>
      <c r="H402" s="36" t="str">
        <f>HYPERLINK("https://www.google.com/maps/?q=49.5849694440001,-56.182997222", "https://www.google.com/maps/?q=49.5849694440001,-56.182997222")</f>
        <v>https://www.google.com/maps/?q=49.5849694440001,-56.182997222</v>
      </c>
    </row>
    <row r="403" spans="1:8" ht="29" x14ac:dyDescent="0.35">
      <c r="A403" t="s">
        <v>9589</v>
      </c>
      <c r="B403" t="s">
        <v>9590</v>
      </c>
      <c r="C403" t="s">
        <v>9591</v>
      </c>
      <c r="D403" t="s">
        <v>9592</v>
      </c>
      <c r="E403" s="33" t="s">
        <v>28</v>
      </c>
      <c r="F403" s="34" t="s">
        <v>9593</v>
      </c>
      <c r="H403" s="36" t="str">
        <f>HYPERLINK("https://www.google.com/maps/?q=48.949775,-58.014833333", "https://www.google.com/maps/?q=48.949775,-58.014833333")</f>
        <v>https://www.google.com/maps/?q=48.949775,-58.014833333</v>
      </c>
    </row>
    <row r="404" spans="1:8" ht="29" x14ac:dyDescent="0.35">
      <c r="A404" t="s">
        <v>9594</v>
      </c>
      <c r="B404" t="s">
        <v>9595</v>
      </c>
      <c r="C404" t="s">
        <v>9596</v>
      </c>
      <c r="D404" t="s">
        <v>9597</v>
      </c>
      <c r="E404" s="33" t="s">
        <v>28</v>
      </c>
      <c r="F404" s="34" t="s">
        <v>9598</v>
      </c>
      <c r="H404" s="36" t="str">
        <f>HYPERLINK("https://www.google.com/maps/?q=47.6188861110001,-57.631663889", "https://www.google.com/maps/?q=47.6188861110001,-57.631663889")</f>
        <v>https://www.google.com/maps/?q=47.6188861110001,-57.631663889</v>
      </c>
    </row>
    <row r="405" spans="1:8" ht="29" x14ac:dyDescent="0.35">
      <c r="A405" t="s">
        <v>9599</v>
      </c>
      <c r="B405" t="s">
        <v>9600</v>
      </c>
      <c r="C405" t="s">
        <v>9601</v>
      </c>
      <c r="D405" t="s">
        <v>9602</v>
      </c>
      <c r="E405" s="33" t="s">
        <v>28</v>
      </c>
      <c r="F405" s="34" t="s">
        <v>9603</v>
      </c>
      <c r="H405" s="36" t="str">
        <f>HYPERLINK("https://www.google.com/maps/?q=47.4562250000001,-52.775658333", "https://www.google.com/maps/?q=47.4562250000001,-52.775658333")</f>
        <v>https://www.google.com/maps/?q=47.4562250000001,-52.775658333</v>
      </c>
    </row>
    <row r="406" spans="1:8" ht="29" x14ac:dyDescent="0.35">
      <c r="A406" t="s">
        <v>9604</v>
      </c>
      <c r="B406" t="s">
        <v>9605</v>
      </c>
      <c r="C406" t="s">
        <v>9606</v>
      </c>
      <c r="D406" t="s">
        <v>9607</v>
      </c>
      <c r="E406" s="33" t="s">
        <v>28</v>
      </c>
      <c r="F406" s="34" t="s">
        <v>9608</v>
      </c>
      <c r="H406" s="36" t="str">
        <f>HYPERLINK("https://www.google.com/maps/?q=51.732666667,-56.428680556", "https://www.google.com/maps/?q=51.732666667,-56.428680556")</f>
        <v>https://www.google.com/maps/?q=51.732666667,-56.428680556</v>
      </c>
    </row>
    <row r="407" spans="1:8" ht="29" x14ac:dyDescent="0.35">
      <c r="A407" t="s">
        <v>9609</v>
      </c>
      <c r="B407" t="s">
        <v>9610</v>
      </c>
      <c r="C407" t="s">
        <v>9611</v>
      </c>
      <c r="D407" t="s">
        <v>9612</v>
      </c>
      <c r="E407" s="33" t="s">
        <v>28</v>
      </c>
      <c r="F407" s="34" t="s">
        <v>9613</v>
      </c>
      <c r="H407" s="36" t="str">
        <f>HYPERLINK("https://www.google.com/maps/?q=47.580263889,-52.720794444", "https://www.google.com/maps/?q=47.580263889,-52.720794444")</f>
        <v>https://www.google.com/maps/?q=47.580263889,-52.720794444</v>
      </c>
    </row>
    <row r="408" spans="1:8" ht="29" x14ac:dyDescent="0.35">
      <c r="A408" t="s">
        <v>9614</v>
      </c>
      <c r="B408" t="s">
        <v>9615</v>
      </c>
      <c r="C408" t="s">
        <v>9616</v>
      </c>
      <c r="D408" t="s">
        <v>9617</v>
      </c>
      <c r="E408" s="33" t="s">
        <v>28</v>
      </c>
      <c r="F408" s="34" t="s">
        <v>9618</v>
      </c>
      <c r="H408" s="36" t="str">
        <f>HYPERLINK("https://www.google.com/maps/?q=48.9471638890001,-57.916736111", "https://www.google.com/maps/?q=48.9471638890001,-57.916736111")</f>
        <v>https://www.google.com/maps/?q=48.9471638890001,-57.916736111</v>
      </c>
    </row>
    <row r="409" spans="1:8" ht="29" x14ac:dyDescent="0.35">
      <c r="A409" t="s">
        <v>9619</v>
      </c>
      <c r="B409" t="s">
        <v>9620</v>
      </c>
      <c r="C409" t="s">
        <v>9621</v>
      </c>
      <c r="D409" t="s">
        <v>9622</v>
      </c>
      <c r="E409" s="33" t="s">
        <v>28</v>
      </c>
      <c r="F409" s="34" t="s">
        <v>9623</v>
      </c>
      <c r="H409" s="36" t="str">
        <f>HYPERLINK("https://www.google.com/maps/?q=47.5355388890001,-52.832905556", "https://www.google.com/maps/?q=47.5355388890001,-52.832905556")</f>
        <v>https://www.google.com/maps/?q=47.5355388890001,-52.832905556</v>
      </c>
    </row>
    <row r="410" spans="1:8" ht="29" x14ac:dyDescent="0.35">
      <c r="A410" t="s">
        <v>9624</v>
      </c>
      <c r="B410" t="s">
        <v>9625</v>
      </c>
      <c r="C410" t="s">
        <v>9626</v>
      </c>
      <c r="D410" t="s">
        <v>9627</v>
      </c>
      <c r="E410" s="33" t="s">
        <v>28</v>
      </c>
      <c r="F410" s="34" t="s">
        <v>9628</v>
      </c>
      <c r="H410" s="36" t="str">
        <f>HYPERLINK("https://www.google.com/maps/?q=47.6762444440001,-53.2649111109999", "https://www.google.com/maps/?q=47.6762444440001,-53.2649111109999")</f>
        <v>https://www.google.com/maps/?q=47.6762444440001,-53.2649111109999</v>
      </c>
    </row>
    <row r="411" spans="1:8" ht="29" x14ac:dyDescent="0.35">
      <c r="A411" t="s">
        <v>9629</v>
      </c>
      <c r="B411" t="s">
        <v>9630</v>
      </c>
      <c r="C411" t="s">
        <v>9631</v>
      </c>
      <c r="D411" t="s">
        <v>9632</v>
      </c>
      <c r="E411" s="33" t="s">
        <v>28</v>
      </c>
      <c r="F411" s="34" t="s">
        <v>9633</v>
      </c>
      <c r="H411" s="36" t="str">
        <f>HYPERLINK("https://www.google.com/maps/?q=47.5392416670001,-52.927725", "https://www.google.com/maps/?q=47.5392416670001,-52.927725")</f>
        <v>https://www.google.com/maps/?q=47.5392416670001,-52.927725</v>
      </c>
    </row>
    <row r="412" spans="1:8" ht="29" x14ac:dyDescent="0.35">
      <c r="A412" t="s">
        <v>9634</v>
      </c>
      <c r="B412" t="s">
        <v>9635</v>
      </c>
      <c r="C412" t="s">
        <v>9636</v>
      </c>
      <c r="D412" t="s">
        <v>9637</v>
      </c>
      <c r="E412" s="33" t="s">
        <v>28</v>
      </c>
      <c r="F412" s="34" t="s">
        <v>9638</v>
      </c>
      <c r="H412" s="36" t="str">
        <f>HYPERLINK("https://www.google.com/maps/?q=48.8303000000001,-54.3658", "https://www.google.com/maps/?q=48.8303000000001,-54.3658")</f>
        <v>https://www.google.com/maps/?q=48.8303000000001,-54.3658</v>
      </c>
    </row>
    <row r="413" spans="1:8" x14ac:dyDescent="0.35">
      <c r="A413" t="s">
        <v>9639</v>
      </c>
      <c r="B413" t="s">
        <v>9640</v>
      </c>
      <c r="C413" t="s">
        <v>9641</v>
      </c>
      <c r="D413" t="s">
        <v>9642</v>
      </c>
      <c r="E413" s="33" t="s">
        <v>28</v>
      </c>
      <c r="F413" s="34" t="s">
        <v>9643</v>
      </c>
      <c r="H413" s="36" t="str">
        <f>HYPERLINK("https://www.google.com/maps/?q=49.7520916670001,-56.021377778", "https://www.google.com/maps/?q=49.7520916670001,-56.021377778")</f>
        <v>https://www.google.com/maps/?q=49.7520916670001,-56.021377778</v>
      </c>
    </row>
    <row r="414" spans="1:8" ht="29" x14ac:dyDescent="0.35">
      <c r="A414" t="s">
        <v>9644</v>
      </c>
      <c r="B414" t="s">
        <v>9645</v>
      </c>
      <c r="C414" t="s">
        <v>9646</v>
      </c>
      <c r="D414" t="s">
        <v>9647</v>
      </c>
      <c r="E414" s="33" t="s">
        <v>28</v>
      </c>
      <c r="F414" s="34" t="s">
        <v>9648</v>
      </c>
      <c r="H414" s="36" t="str">
        <f>HYPERLINK("https://www.google.com/maps/?q=47.5332388890001,-52.9024277779999", "https://www.google.com/maps/?q=47.5332388890001,-52.9024277779999")</f>
        <v>https://www.google.com/maps/?q=47.5332388890001,-52.9024277779999</v>
      </c>
    </row>
    <row r="415" spans="1:8" ht="29" x14ac:dyDescent="0.35">
      <c r="A415" t="s">
        <v>9649</v>
      </c>
      <c r="B415" t="s">
        <v>9650</v>
      </c>
      <c r="C415" t="s">
        <v>9651</v>
      </c>
      <c r="D415" t="s">
        <v>9652</v>
      </c>
      <c r="E415" s="33" t="s">
        <v>28</v>
      </c>
      <c r="F415" s="34" t="s">
        <v>9653</v>
      </c>
      <c r="H415" s="36" t="str">
        <f>HYPERLINK("https://www.google.com/maps/?q=47.5786000000001,-59.1455999999999", "https://www.google.com/maps/?q=47.5786000000001,-59.1455999999999")</f>
        <v>https://www.google.com/maps/?q=47.5786000000001,-59.1455999999999</v>
      </c>
    </row>
    <row r="416" spans="1:8" ht="29" x14ac:dyDescent="0.35">
      <c r="A416" t="s">
        <v>9654</v>
      </c>
      <c r="B416" t="s">
        <v>9655</v>
      </c>
      <c r="C416" t="s">
        <v>9656</v>
      </c>
      <c r="D416" t="s">
        <v>9657</v>
      </c>
      <c r="E416" s="33" t="s">
        <v>28</v>
      </c>
      <c r="F416" s="34" t="s">
        <v>9658</v>
      </c>
      <c r="H416" s="36" t="str">
        <f>HYPERLINK("https://www.google.com/maps/?q=47.627005556,-52.856738889", "https://www.google.com/maps/?q=47.627005556,-52.856738889")</f>
        <v>https://www.google.com/maps/?q=47.627005556,-52.856738889</v>
      </c>
    </row>
    <row r="417" spans="1:8" x14ac:dyDescent="0.35">
      <c r="A417" t="s">
        <v>8646</v>
      </c>
      <c r="B417" t="s">
        <v>9659</v>
      </c>
      <c r="C417" t="s">
        <v>8648</v>
      </c>
      <c r="D417" t="s">
        <v>9660</v>
      </c>
      <c r="E417" s="33" t="s">
        <v>28</v>
      </c>
      <c r="F417" s="34" t="s">
        <v>8209</v>
      </c>
      <c r="H417" s="36" t="str">
        <f>HYPERLINK("https://www.google.com/maps/?q=52.541447222,-56.293241667", "https://www.google.com/maps/?q=52.541447222,-56.293241667")</f>
        <v>https://www.google.com/maps/?q=52.541447222,-56.293241667</v>
      </c>
    </row>
    <row r="418" spans="1:8" ht="29" x14ac:dyDescent="0.35">
      <c r="A418" t="s">
        <v>9661</v>
      </c>
      <c r="B418" t="s">
        <v>9662</v>
      </c>
      <c r="C418" t="s">
        <v>9663</v>
      </c>
      <c r="D418" t="s">
        <v>9664</v>
      </c>
      <c r="E418" s="33" t="s">
        <v>28</v>
      </c>
      <c r="F418" s="34" t="s">
        <v>9665</v>
      </c>
      <c r="H418" s="36" t="str">
        <f>HYPERLINK("https://www.google.com/maps/?q=48.876386111,-55.788886111", "https://www.google.com/maps/?q=48.876386111,-55.788886111")</f>
        <v>https://www.google.com/maps/?q=48.876386111,-55.788886111</v>
      </c>
    </row>
    <row r="419" spans="1:8" ht="29" x14ac:dyDescent="0.35">
      <c r="A419" t="s">
        <v>9666</v>
      </c>
      <c r="B419" t="s">
        <v>9667</v>
      </c>
      <c r="C419" t="s">
        <v>9668</v>
      </c>
      <c r="D419" t="s">
        <v>9669</v>
      </c>
      <c r="E419" s="33" t="s">
        <v>28</v>
      </c>
      <c r="F419" s="34" t="s">
        <v>7553</v>
      </c>
      <c r="H419" s="36" t="str">
        <f>HYPERLINK("https://www.google.com/maps/?q=49.0547111110001,-58.368802778", "https://www.google.com/maps/?q=49.0547111110001,-58.368802778")</f>
        <v>https://www.google.com/maps/?q=49.0547111110001,-58.368802778</v>
      </c>
    </row>
    <row r="420" spans="1:8" x14ac:dyDescent="0.35">
      <c r="A420" t="s">
        <v>9670</v>
      </c>
      <c r="B420" t="s">
        <v>9671</v>
      </c>
      <c r="C420" t="s">
        <v>9672</v>
      </c>
      <c r="D420" t="s">
        <v>9673</v>
      </c>
      <c r="E420" s="33" t="s">
        <v>28</v>
      </c>
      <c r="F420" s="34" t="s">
        <v>9674</v>
      </c>
      <c r="H420" s="36" t="str">
        <f>HYPERLINK("https://www.google.com/maps/?q=48.933461111,-57.886544444", "https://www.google.com/maps/?q=48.933461111,-57.886544444")</f>
        <v>https://www.google.com/maps/?q=48.933461111,-57.886544444</v>
      </c>
    </row>
    <row r="421" spans="1:8" ht="29" x14ac:dyDescent="0.35">
      <c r="A421" t="s">
        <v>9675</v>
      </c>
      <c r="B421" t="s">
        <v>9676</v>
      </c>
      <c r="C421" t="s">
        <v>9677</v>
      </c>
      <c r="D421" t="s">
        <v>9678</v>
      </c>
      <c r="E421" s="33" t="s">
        <v>66</v>
      </c>
      <c r="F421" s="34" t="s">
        <v>9679</v>
      </c>
      <c r="H421" s="36" t="str">
        <f>HYPERLINK("https://www.google.com/maps/?q=47.565991667,-52.705363889", "https://www.google.com/maps/?q=47.565991667,-52.705363889")</f>
        <v>https://www.google.com/maps/?q=47.565991667,-52.705363889</v>
      </c>
    </row>
    <row r="422" spans="1:8" ht="29" x14ac:dyDescent="0.35">
      <c r="A422" t="s">
        <v>9680</v>
      </c>
      <c r="B422" t="s">
        <v>9681</v>
      </c>
      <c r="C422" t="s">
        <v>9682</v>
      </c>
      <c r="D422" t="s">
        <v>9683</v>
      </c>
      <c r="E422" s="33" t="s">
        <v>17</v>
      </c>
      <c r="F422" s="34" t="s">
        <v>9684</v>
      </c>
      <c r="H422" s="36" t="str">
        <f>HYPERLINK("https://www.google.com/maps/?q=48.9200916670001,-57.96985", "https://www.google.com/maps/?q=48.9200916670001,-57.96985")</f>
        <v>https://www.google.com/maps/?q=48.9200916670001,-57.96985</v>
      </c>
    </row>
    <row r="423" spans="1:8" ht="29" x14ac:dyDescent="0.35">
      <c r="A423" t="s">
        <v>9685</v>
      </c>
      <c r="B423" t="s">
        <v>9686</v>
      </c>
      <c r="C423" t="s">
        <v>9687</v>
      </c>
      <c r="D423" t="s">
        <v>9688</v>
      </c>
      <c r="E423" s="33" t="s">
        <v>28</v>
      </c>
      <c r="F423" s="34" t="s">
        <v>9689</v>
      </c>
      <c r="H423" s="36" t="str">
        <f>HYPERLINK("https://www.google.com/maps/?q=47.6181222220001,-52.726086111", "https://www.google.com/maps/?q=47.6181222220001,-52.726086111")</f>
        <v>https://www.google.com/maps/?q=47.6181222220001,-52.726086111</v>
      </c>
    </row>
    <row r="424" spans="1:8" ht="29" x14ac:dyDescent="0.35">
      <c r="A424" t="s">
        <v>9690</v>
      </c>
      <c r="B424" t="s">
        <v>9691</v>
      </c>
      <c r="C424" t="s">
        <v>9692</v>
      </c>
      <c r="D424" t="s">
        <v>9693</v>
      </c>
      <c r="E424" s="33" t="s">
        <v>28</v>
      </c>
      <c r="F424" s="34" t="s">
        <v>9694</v>
      </c>
      <c r="H424" s="36" t="str">
        <f>HYPERLINK("https://www.google.com/maps/?q=47.5840166670001,-52.716694444", "https://www.google.com/maps/?q=47.5840166670001,-52.716694444")</f>
        <v>https://www.google.com/maps/?q=47.5840166670001,-52.716694444</v>
      </c>
    </row>
    <row r="425" spans="1:8" ht="29" x14ac:dyDescent="0.35">
      <c r="A425" t="s">
        <v>9695</v>
      </c>
      <c r="B425" t="s">
        <v>9696</v>
      </c>
      <c r="C425" t="s">
        <v>9697</v>
      </c>
      <c r="D425" t="s">
        <v>9698</v>
      </c>
      <c r="E425" s="33" t="s">
        <v>28</v>
      </c>
      <c r="F425" s="34" t="s">
        <v>9699</v>
      </c>
      <c r="H425" s="36" t="str">
        <f>HYPERLINK("https://www.google.com/maps/?q=49.5205527780001,-55.613333333", "https://www.google.com/maps/?q=49.5205527780001,-55.613333333")</f>
        <v>https://www.google.com/maps/?q=49.5205527780001,-55.613333333</v>
      </c>
    </row>
    <row r="426" spans="1:8" ht="29" x14ac:dyDescent="0.35">
      <c r="A426" t="s">
        <v>9700</v>
      </c>
      <c r="B426" t="s">
        <v>9701</v>
      </c>
      <c r="C426" t="s">
        <v>9702</v>
      </c>
      <c r="D426" t="s">
        <v>9703</v>
      </c>
      <c r="E426" s="33" t="s">
        <v>28</v>
      </c>
      <c r="F426" s="34" t="s">
        <v>9704</v>
      </c>
      <c r="H426" s="36" t="str">
        <f>HYPERLINK("https://www.google.com/maps/?q=48.956852778,-57.921113889", "https://www.google.com/maps/?q=48.956852778,-57.921113889")</f>
        <v>https://www.google.com/maps/?q=48.956852778,-57.921113889</v>
      </c>
    </row>
    <row r="427" spans="1:8" x14ac:dyDescent="0.35">
      <c r="A427" t="s">
        <v>9705</v>
      </c>
      <c r="B427" t="s">
        <v>9706</v>
      </c>
      <c r="C427" t="s">
        <v>9707</v>
      </c>
      <c r="D427" t="s">
        <v>9708</v>
      </c>
      <c r="E427" s="33" t="s">
        <v>44</v>
      </c>
      <c r="F427" s="34" t="s">
        <v>7366</v>
      </c>
      <c r="H427" s="36" t="str">
        <f>HYPERLINK("https://www.google.com/maps/?q=47.444786111,-53.3878611109999", "https://www.google.com/maps/?q=47.444786111,-53.3878611109999")</f>
        <v>https://www.google.com/maps/?q=47.444786111,-53.3878611109999</v>
      </c>
    </row>
    <row r="428" spans="1:8" ht="29" x14ac:dyDescent="0.35">
      <c r="A428" t="s">
        <v>9709</v>
      </c>
      <c r="B428" t="s">
        <v>9710</v>
      </c>
      <c r="C428" t="s">
        <v>9711</v>
      </c>
      <c r="D428" t="s">
        <v>9712</v>
      </c>
      <c r="E428" s="33" t="s">
        <v>28</v>
      </c>
      <c r="F428" s="34" t="s">
        <v>9713</v>
      </c>
      <c r="H428" s="36" t="str">
        <f>HYPERLINK("https://www.google.com/maps/?q=47.7403,-53.9353", "https://www.google.com/maps/?q=47.7403,-53.9353")</f>
        <v>https://www.google.com/maps/?q=47.7403,-53.9353</v>
      </c>
    </row>
    <row r="429" spans="1:8" ht="29" x14ac:dyDescent="0.35">
      <c r="A429" t="s">
        <v>9714</v>
      </c>
      <c r="B429" t="s">
        <v>9715</v>
      </c>
      <c r="C429" t="s">
        <v>9716</v>
      </c>
      <c r="D429" t="s">
        <v>9717</v>
      </c>
      <c r="E429" s="33" t="s">
        <v>28</v>
      </c>
      <c r="F429" s="34" t="s">
        <v>7553</v>
      </c>
      <c r="H429" s="36" t="str">
        <f>HYPERLINK("https://www.google.com/maps/?q=49.0612750000001,-58.3802666669999", "https://www.google.com/maps/?q=49.0612750000001,-58.3802666669999")</f>
        <v>https://www.google.com/maps/?q=49.0612750000001,-58.3802666669999</v>
      </c>
    </row>
    <row r="430" spans="1:8" ht="29" x14ac:dyDescent="0.35">
      <c r="A430" t="s">
        <v>9718</v>
      </c>
      <c r="B430" t="s">
        <v>9719</v>
      </c>
      <c r="C430" t="s">
        <v>9720</v>
      </c>
      <c r="D430" t="s">
        <v>9721</v>
      </c>
      <c r="E430" s="33" t="s">
        <v>28</v>
      </c>
      <c r="F430" s="34" t="s">
        <v>8093</v>
      </c>
      <c r="H430" s="36" t="str">
        <f>HYPERLINK("https://www.google.com/maps/?q=47.769536111,-53.4703361109999", "https://www.google.com/maps/?q=47.769536111,-53.4703361109999")</f>
        <v>https://www.google.com/maps/?q=47.769536111,-53.4703361109999</v>
      </c>
    </row>
    <row r="431" spans="1:8" ht="29" x14ac:dyDescent="0.35">
      <c r="A431" t="s">
        <v>9722</v>
      </c>
      <c r="B431" t="s">
        <v>9723</v>
      </c>
      <c r="C431" t="s">
        <v>9724</v>
      </c>
      <c r="D431" t="s">
        <v>9725</v>
      </c>
      <c r="E431" s="33" t="s">
        <v>28</v>
      </c>
      <c r="F431" s="34" t="s">
        <v>9726</v>
      </c>
      <c r="H431" s="36" t="str">
        <f>HYPERLINK("https://www.google.com/maps/?q=47.6124722220001,-52.6822972219999", "https://www.google.com/maps/?q=47.6124722220001,-52.6822972219999")</f>
        <v>https://www.google.com/maps/?q=47.6124722220001,-52.6822972219999</v>
      </c>
    </row>
    <row r="432" spans="1:8" x14ac:dyDescent="0.35">
      <c r="A432" t="s">
        <v>9727</v>
      </c>
      <c r="B432" t="s">
        <v>9728</v>
      </c>
      <c r="C432" t="s">
        <v>9729</v>
      </c>
      <c r="D432" t="s">
        <v>9730</v>
      </c>
      <c r="E432" s="33" t="s">
        <v>28</v>
      </c>
      <c r="F432" s="34" t="s">
        <v>7497</v>
      </c>
      <c r="H432" s="36" t="str">
        <f>HYPERLINK("https://www.google.com/maps/?q=48.5272000000001,-58.4863999999999", "https://www.google.com/maps/?q=48.5272000000001,-58.4863999999999")</f>
        <v>https://www.google.com/maps/?q=48.5272000000001,-58.4863999999999</v>
      </c>
    </row>
    <row r="433" spans="1:8" x14ac:dyDescent="0.35">
      <c r="A433" t="s">
        <v>9731</v>
      </c>
      <c r="B433" t="s">
        <v>9732</v>
      </c>
      <c r="C433" t="s">
        <v>9733</v>
      </c>
      <c r="D433" t="s">
        <v>9734</v>
      </c>
      <c r="E433" s="33" t="s">
        <v>28</v>
      </c>
      <c r="F433" s="34" t="s">
        <v>8919</v>
      </c>
      <c r="H433" s="36" t="str">
        <f>HYPERLINK("https://www.google.com/maps/?q=49.7047666670001,-56.0887", "https://www.google.com/maps/?q=49.7047666670001,-56.0887")</f>
        <v>https://www.google.com/maps/?q=49.7047666670001,-56.0887</v>
      </c>
    </row>
    <row r="434" spans="1:8" ht="29" x14ac:dyDescent="0.35">
      <c r="A434" t="s">
        <v>9735</v>
      </c>
      <c r="B434" t="s">
        <v>9736</v>
      </c>
      <c r="C434" t="s">
        <v>9737</v>
      </c>
      <c r="D434" t="s">
        <v>9738</v>
      </c>
      <c r="E434" s="33" t="s">
        <v>28</v>
      </c>
      <c r="F434" s="34" t="s">
        <v>9344</v>
      </c>
      <c r="H434" s="36" t="str">
        <f>HYPERLINK("https://www.google.com/maps/?q=47.5026722220001,-52.812838889", "https://www.google.com/maps/?q=47.5026722220001,-52.812838889")</f>
        <v>https://www.google.com/maps/?q=47.5026722220001,-52.812838889</v>
      </c>
    </row>
    <row r="435" spans="1:8" ht="29" x14ac:dyDescent="0.35">
      <c r="A435" t="s">
        <v>9739</v>
      </c>
      <c r="B435" t="s">
        <v>9740</v>
      </c>
      <c r="C435" t="s">
        <v>9741</v>
      </c>
      <c r="D435" t="s">
        <v>9742</v>
      </c>
      <c r="E435" s="33" t="s">
        <v>28</v>
      </c>
      <c r="F435" s="34" t="s">
        <v>7688</v>
      </c>
      <c r="H435" s="36" t="str">
        <f>HYPERLINK("https://www.google.com/maps/?q=48.9969472220001,-57.886280556", "https://www.google.com/maps/?q=48.9969472220001,-57.886280556")</f>
        <v>https://www.google.com/maps/?q=48.9969472220001,-57.886280556</v>
      </c>
    </row>
    <row r="436" spans="1:8" ht="29" x14ac:dyDescent="0.35">
      <c r="A436" t="s">
        <v>9743</v>
      </c>
      <c r="B436" t="s">
        <v>9744</v>
      </c>
      <c r="C436" t="s">
        <v>9745</v>
      </c>
      <c r="D436" t="s">
        <v>9746</v>
      </c>
      <c r="E436" s="33" t="s">
        <v>28</v>
      </c>
      <c r="F436" s="34" t="s">
        <v>9747</v>
      </c>
      <c r="H436" s="36" t="str">
        <f>HYPERLINK("https://www.google.com/maps/?q=47.5695138890001,-52.724294444", "https://www.google.com/maps/?q=47.5695138890001,-52.724294444")</f>
        <v>https://www.google.com/maps/?q=47.5695138890001,-52.724294444</v>
      </c>
    </row>
    <row r="437" spans="1:8" ht="29" x14ac:dyDescent="0.35">
      <c r="A437" t="s">
        <v>9748</v>
      </c>
      <c r="B437" t="s">
        <v>9749</v>
      </c>
      <c r="C437" t="s">
        <v>9750</v>
      </c>
      <c r="D437" t="s">
        <v>9751</v>
      </c>
      <c r="E437" s="33" t="s">
        <v>28</v>
      </c>
      <c r="F437" s="34" t="s">
        <v>8033</v>
      </c>
      <c r="H437" s="36" t="str">
        <f>HYPERLINK("https://www.google.com/maps/?q=47.6158861110001,-52.7158138889999", "https://www.google.com/maps/?q=47.6158861110001,-52.7158138889999")</f>
        <v>https://www.google.com/maps/?q=47.6158861110001,-52.7158138889999</v>
      </c>
    </row>
    <row r="438" spans="1:8" ht="29" x14ac:dyDescent="0.35">
      <c r="A438" t="s">
        <v>9752</v>
      </c>
      <c r="B438" t="s">
        <v>9753</v>
      </c>
      <c r="C438" t="s">
        <v>9754</v>
      </c>
      <c r="D438" t="s">
        <v>9755</v>
      </c>
      <c r="E438" s="33" t="s">
        <v>28</v>
      </c>
      <c r="F438" s="34" t="s">
        <v>9756</v>
      </c>
      <c r="H438" s="36" t="str">
        <f>HYPERLINK("https://www.google.com/maps/?q=47.5357750000001,-52.861033333", "https://www.google.com/maps/?q=47.5357750000001,-52.861033333")</f>
        <v>https://www.google.com/maps/?q=47.5357750000001,-52.861033333</v>
      </c>
    </row>
    <row r="439" spans="1:8" ht="29" x14ac:dyDescent="0.35">
      <c r="A439" t="s">
        <v>9757</v>
      </c>
      <c r="B439" t="s">
        <v>9758</v>
      </c>
      <c r="C439" t="s">
        <v>9759</v>
      </c>
      <c r="D439" t="s">
        <v>9760</v>
      </c>
      <c r="E439" s="33" t="s">
        <v>28</v>
      </c>
      <c r="F439" s="34" t="s">
        <v>9761</v>
      </c>
      <c r="H439" s="36" t="str">
        <f>HYPERLINK("https://www.google.com/maps/?q=48.9632388890001,-54.622094444", "https://www.google.com/maps/?q=48.9632388890001,-54.622094444")</f>
        <v>https://www.google.com/maps/?q=48.9632388890001,-54.622094444</v>
      </c>
    </row>
    <row r="440" spans="1:8" ht="29" x14ac:dyDescent="0.35">
      <c r="A440" t="s">
        <v>9762</v>
      </c>
      <c r="B440" t="s">
        <v>9763</v>
      </c>
      <c r="C440" t="s">
        <v>9764</v>
      </c>
      <c r="D440" t="s">
        <v>9765</v>
      </c>
      <c r="E440" s="33" t="s">
        <v>28</v>
      </c>
      <c r="F440" s="34" t="s">
        <v>9766</v>
      </c>
      <c r="H440" s="36" t="str">
        <f>HYPERLINK("https://www.google.com/maps/?q=47.7121861110001,-52.823366667", "https://www.google.com/maps/?q=47.7121861110001,-52.823366667")</f>
        <v>https://www.google.com/maps/?q=47.7121861110001,-52.823366667</v>
      </c>
    </row>
    <row r="441" spans="1:8" ht="29" x14ac:dyDescent="0.35">
      <c r="A441" t="s">
        <v>9767</v>
      </c>
      <c r="B441" t="s">
        <v>9768</v>
      </c>
      <c r="C441" t="s">
        <v>9769</v>
      </c>
      <c r="D441" t="s">
        <v>9770</v>
      </c>
      <c r="E441" s="33" t="s">
        <v>28</v>
      </c>
      <c r="F441" s="34" t="s">
        <v>9771</v>
      </c>
      <c r="H441" s="36" t="str">
        <f>HYPERLINK("https://www.google.com/maps/?q=47.5325722220001,-52.8361416669999", "https://www.google.com/maps/?q=47.5325722220001,-52.8361416669999")</f>
        <v>https://www.google.com/maps/?q=47.5325722220001,-52.8361416669999</v>
      </c>
    </row>
    <row r="442" spans="1:8" ht="29" x14ac:dyDescent="0.35">
      <c r="A442" t="s">
        <v>9772</v>
      </c>
      <c r="B442" t="s">
        <v>9773</v>
      </c>
      <c r="C442" t="s">
        <v>9774</v>
      </c>
      <c r="D442" t="s">
        <v>9775</v>
      </c>
      <c r="E442" s="33" t="s">
        <v>28</v>
      </c>
      <c r="F442" s="34" t="s">
        <v>7883</v>
      </c>
      <c r="H442" s="36" t="str">
        <f>HYPERLINK("https://www.google.com/maps/?q=47.5434777780001,-52.710258333", "https://www.google.com/maps/?q=47.5434777780001,-52.710258333")</f>
        <v>https://www.google.com/maps/?q=47.5434777780001,-52.710258333</v>
      </c>
    </row>
    <row r="443" spans="1:8" ht="29" x14ac:dyDescent="0.35">
      <c r="A443" t="s">
        <v>9776</v>
      </c>
      <c r="B443" t="s">
        <v>9777</v>
      </c>
      <c r="C443" t="s">
        <v>9778</v>
      </c>
      <c r="D443" t="s">
        <v>9779</v>
      </c>
      <c r="E443" s="33" t="s">
        <v>28</v>
      </c>
      <c r="F443" s="34" t="s">
        <v>9780</v>
      </c>
      <c r="H443" s="36" t="str">
        <f>HYPERLINK("https://www.google.com/maps/?q=47.5549777780001,-52.739963889", "https://www.google.com/maps/?q=47.5549777780001,-52.739963889")</f>
        <v>https://www.google.com/maps/?q=47.5549777780001,-52.739963889</v>
      </c>
    </row>
    <row r="444" spans="1:8" ht="29" x14ac:dyDescent="0.35">
      <c r="A444" t="s">
        <v>9781</v>
      </c>
      <c r="B444" t="s">
        <v>9782</v>
      </c>
      <c r="C444" t="s">
        <v>9783</v>
      </c>
      <c r="D444" t="s">
        <v>9784</v>
      </c>
      <c r="E444" s="33" t="s">
        <v>28</v>
      </c>
      <c r="F444" s="34" t="s">
        <v>9785</v>
      </c>
      <c r="H444" s="36" t="str">
        <f>HYPERLINK("https://www.google.com/maps/?q=47.587647222,-52.678869444", "https://www.google.com/maps/?q=47.587647222,-52.678869444")</f>
        <v>https://www.google.com/maps/?q=47.587647222,-52.678869444</v>
      </c>
    </row>
    <row r="445" spans="1:8" ht="29" x14ac:dyDescent="0.35">
      <c r="A445" t="s">
        <v>9786</v>
      </c>
      <c r="B445" t="s">
        <v>9787</v>
      </c>
      <c r="C445" t="s">
        <v>9788</v>
      </c>
      <c r="D445" t="s">
        <v>9789</v>
      </c>
      <c r="E445" s="33" t="s">
        <v>28</v>
      </c>
      <c r="F445" s="34" t="s">
        <v>9790</v>
      </c>
      <c r="H445" s="36" t="str">
        <f>HYPERLINK("https://www.google.com/maps/?q=47.593969444,-52.735294444", "https://www.google.com/maps/?q=47.593969444,-52.735294444")</f>
        <v>https://www.google.com/maps/?q=47.593969444,-52.735294444</v>
      </c>
    </row>
    <row r="446" spans="1:8" ht="29" x14ac:dyDescent="0.35">
      <c r="A446" t="s">
        <v>9791</v>
      </c>
      <c r="B446" t="s">
        <v>9792</v>
      </c>
      <c r="C446" t="s">
        <v>9793</v>
      </c>
      <c r="D446" t="s">
        <v>9794</v>
      </c>
      <c r="E446" s="33" t="s">
        <v>28</v>
      </c>
      <c r="F446" s="34" t="s">
        <v>9795</v>
      </c>
      <c r="H446" s="36" t="str">
        <f>HYPERLINK("https://www.google.com/maps/?q=47.6131694440001,-52.743352778", "https://www.google.com/maps/?q=47.6131694440001,-52.743352778")</f>
        <v>https://www.google.com/maps/?q=47.6131694440001,-52.743352778</v>
      </c>
    </row>
    <row r="447" spans="1:8" ht="29" x14ac:dyDescent="0.35">
      <c r="A447" t="s">
        <v>9796</v>
      </c>
      <c r="B447" t="s">
        <v>9797</v>
      </c>
      <c r="C447" t="s">
        <v>9798</v>
      </c>
      <c r="D447" t="s">
        <v>9799</v>
      </c>
      <c r="E447" s="33" t="s">
        <v>28</v>
      </c>
      <c r="F447" s="34" t="s">
        <v>8787</v>
      </c>
      <c r="H447" s="36" t="str">
        <f>HYPERLINK("https://www.google.com/maps/?q=47.4520388890001,-52.771677778", "https://www.google.com/maps/?q=47.4520388890001,-52.771677778")</f>
        <v>https://www.google.com/maps/?q=47.4520388890001,-52.771677778</v>
      </c>
    </row>
    <row r="448" spans="1:8" x14ac:dyDescent="0.35">
      <c r="A448" t="s">
        <v>9800</v>
      </c>
      <c r="B448" t="s">
        <v>9801</v>
      </c>
      <c r="C448" t="s">
        <v>9802</v>
      </c>
      <c r="D448" t="s">
        <v>9803</v>
      </c>
      <c r="E448" s="33" t="s">
        <v>28</v>
      </c>
      <c r="F448" s="34" t="s">
        <v>7366</v>
      </c>
      <c r="H448" s="36" t="str">
        <f>HYPERLINK("https://www.google.com/maps/?q=48.5574972220001,-53.973055556", "https://www.google.com/maps/?q=48.5574972220001,-53.973055556")</f>
        <v>https://www.google.com/maps/?q=48.5574972220001,-53.973055556</v>
      </c>
    </row>
    <row r="449" spans="1:10" ht="29" x14ac:dyDescent="0.35">
      <c r="A449" t="s">
        <v>9804</v>
      </c>
      <c r="B449" t="s">
        <v>9805</v>
      </c>
      <c r="C449" t="s">
        <v>9806</v>
      </c>
      <c r="D449" t="s">
        <v>9807</v>
      </c>
      <c r="E449" s="33" t="s">
        <v>28</v>
      </c>
      <c r="F449" s="34" t="s">
        <v>9808</v>
      </c>
      <c r="H449" s="36" t="str">
        <f>HYPERLINK("https://www.google.com/maps/?q=47.5710777780001,-52.709338889", "https://www.google.com/maps/?q=47.5710777780001,-52.709338889")</f>
        <v>https://www.google.com/maps/?q=47.5710777780001,-52.709338889</v>
      </c>
    </row>
    <row r="450" spans="1:10" ht="29" x14ac:dyDescent="0.35">
      <c r="A450" t="s">
        <v>9809</v>
      </c>
      <c r="B450" t="s">
        <v>9810</v>
      </c>
      <c r="C450" t="s">
        <v>9811</v>
      </c>
      <c r="D450" t="s">
        <v>9812</v>
      </c>
      <c r="E450" s="33" t="s">
        <v>66</v>
      </c>
      <c r="F450" s="34" t="s">
        <v>7315</v>
      </c>
      <c r="H450" s="36" t="str">
        <f>HYPERLINK("https://www.google.com/maps/?q=47.506938889,-52.828330556", "https://www.google.com/maps/?q=47.506938889,-52.828330556")</f>
        <v>https://www.google.com/maps/?q=47.506938889,-52.828330556</v>
      </c>
    </row>
    <row r="451" spans="1:10" x14ac:dyDescent="0.35">
      <c r="A451" t="s">
        <v>9813</v>
      </c>
      <c r="B451" t="s">
        <v>9814</v>
      </c>
      <c r="C451" t="s">
        <v>9815</v>
      </c>
      <c r="D451" t="s">
        <v>9816</v>
      </c>
      <c r="E451" s="33" t="s">
        <v>50</v>
      </c>
      <c r="F451" s="34" t="s">
        <v>8976</v>
      </c>
      <c r="H451" s="36" t="str">
        <f>HYPERLINK("https://www.google.com/maps/?q=47.3280583330001,-53.127505556", "https://www.google.com/maps/?q=47.3280583330001,-53.127505556")</f>
        <v>https://www.google.com/maps/?q=47.3280583330001,-53.127505556</v>
      </c>
      <c r="I451" s="85"/>
      <c r="J451" s="85"/>
    </row>
    <row r="452" spans="1:10" ht="29" x14ac:dyDescent="0.35">
      <c r="A452" t="s">
        <v>9817</v>
      </c>
      <c r="B452" t="s">
        <v>9818</v>
      </c>
      <c r="C452" t="s">
        <v>9819</v>
      </c>
      <c r="D452" t="s">
        <v>9820</v>
      </c>
      <c r="E452" s="33" t="s">
        <v>28</v>
      </c>
      <c r="F452" s="34" t="s">
        <v>9821</v>
      </c>
      <c r="H452" s="36" t="str">
        <f>HYPERLINK("https://www.google.com/maps/?q=47.589911111,-59.1602194439999", "https://www.google.com/maps/?q=47.589911111,-59.1602194439999")</f>
        <v>https://www.google.com/maps/?q=47.589911111,-59.1602194439999</v>
      </c>
      <c r="I452" s="85"/>
      <c r="J452" s="85"/>
    </row>
    <row r="453" spans="1:10" ht="29" x14ac:dyDescent="0.35">
      <c r="A453" t="s">
        <v>9822</v>
      </c>
      <c r="B453" t="s">
        <v>9823</v>
      </c>
      <c r="C453" t="s">
        <v>9824</v>
      </c>
      <c r="D453" t="s">
        <v>9825</v>
      </c>
      <c r="E453" s="33" t="s">
        <v>28</v>
      </c>
      <c r="F453" s="34" t="s">
        <v>9826</v>
      </c>
      <c r="H453" s="36" t="str">
        <f>HYPERLINK("https://www.google.com/maps/?q=48.956680556,-57.934463889", "https://www.google.com/maps/?q=48.956680556,-57.934463889")</f>
        <v>https://www.google.com/maps/?q=48.956680556,-57.934463889</v>
      </c>
      <c r="I453" s="85"/>
      <c r="J453" s="85"/>
    </row>
    <row r="454" spans="1:10" x14ac:dyDescent="0.35">
      <c r="A454" t="s">
        <v>9827</v>
      </c>
      <c r="B454" t="s">
        <v>9828</v>
      </c>
      <c r="C454" t="s">
        <v>9829</v>
      </c>
      <c r="D454" t="s">
        <v>9830</v>
      </c>
      <c r="E454" s="33" t="s">
        <v>28</v>
      </c>
      <c r="F454" s="34" t="s">
        <v>9831</v>
      </c>
      <c r="H454" s="36" t="str">
        <f>HYPERLINK("https://www.google.com/maps/?q=47.7283305560001,-54.5674999999999", "https://www.google.com/maps/?q=47.7283305560001,-54.5674999999999")</f>
        <v>https://www.google.com/maps/?q=47.7283305560001,-54.5674999999999</v>
      </c>
      <c r="I454" s="85"/>
      <c r="J454" s="85"/>
    </row>
    <row r="455" spans="1:10" ht="29" x14ac:dyDescent="0.35">
      <c r="A455" t="s">
        <v>9832</v>
      </c>
      <c r="B455" t="s">
        <v>9833</v>
      </c>
      <c r="C455" t="s">
        <v>9834</v>
      </c>
      <c r="D455" t="s">
        <v>9835</v>
      </c>
      <c r="E455" s="33" t="s">
        <v>28</v>
      </c>
      <c r="F455" s="34" t="s">
        <v>9836</v>
      </c>
      <c r="H455" s="36" t="str">
        <f>HYPERLINK("https://www.google.com/maps/?q=47.5325388890001,-52.742863889", "https://www.google.com/maps/?q=47.5325388890001,-52.742863889")</f>
        <v>https://www.google.com/maps/?q=47.5325388890001,-52.742863889</v>
      </c>
      <c r="I455" s="85"/>
      <c r="J455" s="85"/>
    </row>
    <row r="456" spans="1:10" ht="29" x14ac:dyDescent="0.35">
      <c r="A456" t="s">
        <v>9837</v>
      </c>
      <c r="B456" t="s">
        <v>9838</v>
      </c>
      <c r="C456" t="s">
        <v>9839</v>
      </c>
      <c r="D456" t="s">
        <v>9840</v>
      </c>
      <c r="E456" s="33" t="s">
        <v>28</v>
      </c>
      <c r="F456" s="34" t="s">
        <v>9841</v>
      </c>
      <c r="H456" s="36" t="str">
        <f>HYPERLINK("https://www.google.com/maps/?q=46.9489083330001,-55.540016667", "https://www.google.com/maps/?q=46.9489083330001,-55.540016667")</f>
        <v>https://www.google.com/maps/?q=46.9489083330001,-55.540016667</v>
      </c>
    </row>
    <row r="457" spans="1:10" ht="43.5" x14ac:dyDescent="0.35">
      <c r="A457" t="s">
        <v>9842</v>
      </c>
      <c r="B457" t="s">
        <v>9843</v>
      </c>
      <c r="C457" t="s">
        <v>9844</v>
      </c>
      <c r="D457" t="s">
        <v>9845</v>
      </c>
      <c r="E457" s="33" t="s">
        <v>28</v>
      </c>
      <c r="F457" s="34" t="s">
        <v>7480</v>
      </c>
      <c r="H457" s="36" t="str">
        <f>HYPERLINK("https://www.google.com/maps/?q=47.5720027780001,-52.731969444", "https://www.google.com/maps/?q=47.5720027780001,-52.731969444")</f>
        <v>https://www.google.com/maps/?q=47.5720027780001,-52.731969444</v>
      </c>
    </row>
    <row r="458" spans="1:10" ht="29" x14ac:dyDescent="0.35">
      <c r="A458" t="s">
        <v>9846</v>
      </c>
      <c r="B458" t="s">
        <v>9847</v>
      </c>
      <c r="C458" t="s">
        <v>9848</v>
      </c>
      <c r="D458" t="s">
        <v>9849</v>
      </c>
      <c r="E458" s="33" t="s">
        <v>28</v>
      </c>
      <c r="F458" s="34" t="s">
        <v>9578</v>
      </c>
      <c r="H458" s="36" t="str">
        <f>HYPERLINK("https://www.google.com/maps/?q=47.538308333,-52.932161111", "https://www.google.com/maps/?q=47.538308333,-52.932161111")</f>
        <v>https://www.google.com/maps/?q=47.538308333,-52.932161111</v>
      </c>
    </row>
    <row r="459" spans="1:10" ht="29" x14ac:dyDescent="0.35">
      <c r="A459" t="s">
        <v>9850</v>
      </c>
      <c r="B459" t="s">
        <v>9851</v>
      </c>
      <c r="C459" t="s">
        <v>9852</v>
      </c>
      <c r="D459" t="s">
        <v>9853</v>
      </c>
      <c r="E459" s="33" t="s">
        <v>44</v>
      </c>
      <c r="F459" s="34" t="s">
        <v>7579</v>
      </c>
      <c r="H459" s="36" t="str">
        <f>HYPERLINK("https://www.google.com/maps/?q=47.2426694440001,-53.3108722219999", "https://www.google.com/maps/?q=47.2426694440001,-53.3108722219999")</f>
        <v>https://www.google.com/maps/?q=47.2426694440001,-53.3108722219999</v>
      </c>
    </row>
    <row r="460" spans="1:10" ht="29" x14ac:dyDescent="0.35">
      <c r="A460" t="s">
        <v>9854</v>
      </c>
      <c r="B460" t="s">
        <v>9855</v>
      </c>
      <c r="C460" t="s">
        <v>9856</v>
      </c>
      <c r="D460" t="s">
        <v>9857</v>
      </c>
      <c r="E460" s="33" t="s">
        <v>28</v>
      </c>
      <c r="F460" s="34" t="s">
        <v>9858</v>
      </c>
      <c r="H460" s="36" t="str">
        <f>HYPERLINK("https://www.google.com/maps/?q=47.571463889,-52.7002111109999", "https://www.google.com/maps/?q=47.571463889,-52.7002111109999")</f>
        <v>https://www.google.com/maps/?q=47.571463889,-52.7002111109999</v>
      </c>
    </row>
    <row r="461" spans="1:10" ht="29" x14ac:dyDescent="0.35">
      <c r="A461" t="s">
        <v>9859</v>
      </c>
      <c r="B461" t="s">
        <v>9860</v>
      </c>
      <c r="C461" t="s">
        <v>9861</v>
      </c>
      <c r="D461" t="s">
        <v>9862</v>
      </c>
      <c r="E461" s="33" t="s">
        <v>28</v>
      </c>
      <c r="F461" s="34" t="s">
        <v>9863</v>
      </c>
      <c r="H461" s="36" t="str">
        <f>HYPERLINK("https://www.google.com/maps/?q=47.5067000000001,-52.81695", "https://www.google.com/maps/?q=47.5067000000001,-52.81695")</f>
        <v>https://www.google.com/maps/?q=47.5067000000001,-52.81695</v>
      </c>
    </row>
    <row r="462" spans="1:10" ht="29" x14ac:dyDescent="0.35">
      <c r="A462" t="s">
        <v>9864</v>
      </c>
      <c r="B462" t="s">
        <v>9865</v>
      </c>
      <c r="C462" t="s">
        <v>9866</v>
      </c>
      <c r="D462" t="s">
        <v>9867</v>
      </c>
      <c r="E462" s="33" t="s">
        <v>28</v>
      </c>
      <c r="F462" s="34" t="s">
        <v>9868</v>
      </c>
      <c r="H462" s="36" t="str">
        <f>HYPERLINK("https://www.google.com/maps/?q=47.487808333,-52.816313889", "https://www.google.com/maps/?q=47.487808333,-52.816313889")</f>
        <v>https://www.google.com/maps/?q=47.487808333,-52.816313889</v>
      </c>
    </row>
    <row r="463" spans="1:10" ht="29" x14ac:dyDescent="0.35">
      <c r="A463" t="s">
        <v>9869</v>
      </c>
      <c r="B463" t="s">
        <v>9870</v>
      </c>
      <c r="C463" t="s">
        <v>9871</v>
      </c>
      <c r="D463" t="s">
        <v>9872</v>
      </c>
      <c r="E463" s="33" t="s">
        <v>28</v>
      </c>
      <c r="F463" s="34" t="s">
        <v>9873</v>
      </c>
      <c r="H463" s="36" t="str">
        <f>HYPERLINK("https://www.google.com/maps/?q=47.4633000000001,-52.7021999999999", "https://www.google.com/maps/?q=47.4633000000001,-52.7021999999999")</f>
        <v>https://www.google.com/maps/?q=47.4633000000001,-52.7021999999999</v>
      </c>
    </row>
    <row r="464" spans="1:10" ht="29" x14ac:dyDescent="0.35">
      <c r="A464" t="s">
        <v>9874</v>
      </c>
      <c r="B464" t="s">
        <v>9875</v>
      </c>
      <c r="C464" t="s">
        <v>9876</v>
      </c>
      <c r="D464" t="s">
        <v>9877</v>
      </c>
      <c r="E464" s="33" t="s">
        <v>28</v>
      </c>
      <c r="F464" s="34" t="s">
        <v>9878</v>
      </c>
      <c r="H464" s="36" t="str">
        <f>HYPERLINK("https://www.google.com/maps/?q=47.5275722220001,-52.851269444", "https://www.google.com/maps/?q=47.5275722220001,-52.851269444")</f>
        <v>https://www.google.com/maps/?q=47.5275722220001,-52.851269444</v>
      </c>
    </row>
    <row r="465" spans="1:8" ht="29" x14ac:dyDescent="0.35">
      <c r="A465" t="s">
        <v>9879</v>
      </c>
      <c r="B465" t="s">
        <v>9880</v>
      </c>
      <c r="C465" t="s">
        <v>9881</v>
      </c>
      <c r="D465" t="s">
        <v>9882</v>
      </c>
      <c r="E465" s="33" t="s">
        <v>28</v>
      </c>
      <c r="F465" s="34" t="s">
        <v>9883</v>
      </c>
      <c r="H465" s="36" t="str">
        <f>HYPERLINK("https://www.google.com/maps/?q=47.5342388890001,-52.841877778", "https://www.google.com/maps/?q=47.5342388890001,-52.841877778")</f>
        <v>https://www.google.com/maps/?q=47.5342388890001,-52.841877778</v>
      </c>
    </row>
    <row r="466" spans="1:8" ht="29" x14ac:dyDescent="0.35">
      <c r="A466" t="s">
        <v>9884</v>
      </c>
      <c r="B466" t="s">
        <v>9885</v>
      </c>
      <c r="C466" t="s">
        <v>9886</v>
      </c>
      <c r="D466" t="s">
        <v>9887</v>
      </c>
      <c r="E466" s="33" t="s">
        <v>28</v>
      </c>
      <c r="F466" s="34" t="s">
        <v>9888</v>
      </c>
      <c r="H466" s="36" t="str">
        <f>HYPERLINK("https://www.google.com/maps/?q=48.9990722220001,-58.1238722219999", "https://www.google.com/maps/?q=48.9990722220001,-58.1238722219999")</f>
        <v>https://www.google.com/maps/?q=48.9990722220001,-58.1238722219999</v>
      </c>
    </row>
    <row r="467" spans="1:8" ht="29" x14ac:dyDescent="0.35">
      <c r="A467" t="s">
        <v>9889</v>
      </c>
      <c r="B467" t="s">
        <v>9890</v>
      </c>
      <c r="C467" t="s">
        <v>9891</v>
      </c>
      <c r="D467" t="s">
        <v>9892</v>
      </c>
      <c r="E467" s="33" t="s">
        <v>28</v>
      </c>
      <c r="F467" s="34" t="s">
        <v>9893</v>
      </c>
      <c r="H467" s="36" t="str">
        <f>HYPERLINK("https://www.google.com/maps/?q=48.9994,-57.877877778", "https://www.google.com/maps/?q=48.9994,-57.877877778")</f>
        <v>https://www.google.com/maps/?q=48.9994,-57.877877778</v>
      </c>
    </row>
    <row r="468" spans="1:8" ht="29" x14ac:dyDescent="0.35">
      <c r="A468" t="s">
        <v>9894</v>
      </c>
      <c r="B468" t="s">
        <v>9895</v>
      </c>
      <c r="C468" t="s">
        <v>9896</v>
      </c>
      <c r="D468" t="s">
        <v>9897</v>
      </c>
      <c r="E468" s="33" t="s">
        <v>28</v>
      </c>
      <c r="F468" s="34" t="s">
        <v>9898</v>
      </c>
      <c r="H468" s="36" t="str">
        <f>HYPERLINK("https://www.google.com/maps/?q=47.488788889,-52.8208888889999", "https://www.google.com/maps/?q=47.488788889,-52.8208888889999")</f>
        <v>https://www.google.com/maps/?q=47.488788889,-52.8208888889999</v>
      </c>
    </row>
    <row r="469" spans="1:8" ht="29" x14ac:dyDescent="0.35">
      <c r="A469" t="s">
        <v>9899</v>
      </c>
      <c r="B469" t="s">
        <v>9900</v>
      </c>
      <c r="C469" t="s">
        <v>9901</v>
      </c>
      <c r="D469" t="s">
        <v>9902</v>
      </c>
      <c r="E469" s="33" t="s">
        <v>28</v>
      </c>
      <c r="F469" s="34" t="s">
        <v>9903</v>
      </c>
      <c r="H469" s="36" t="str">
        <f>HYPERLINK("https://www.google.com/maps/?q=47.538497222,-52.853547222", "https://www.google.com/maps/?q=47.538497222,-52.853547222")</f>
        <v>https://www.google.com/maps/?q=47.538497222,-52.853547222</v>
      </c>
    </row>
    <row r="470" spans="1:8" ht="29" x14ac:dyDescent="0.35">
      <c r="A470" t="s">
        <v>9904</v>
      </c>
      <c r="B470" t="s">
        <v>9905</v>
      </c>
      <c r="C470" t="s">
        <v>9906</v>
      </c>
      <c r="D470" t="s">
        <v>9907</v>
      </c>
      <c r="E470" s="33" t="s">
        <v>28</v>
      </c>
      <c r="F470" s="34" t="s">
        <v>9908</v>
      </c>
      <c r="H470" s="36" t="str">
        <f>HYPERLINK("https://www.google.com/maps/?q=47.594975,-52.726380556", "https://www.google.com/maps/?q=47.594975,-52.726380556")</f>
        <v>https://www.google.com/maps/?q=47.594975,-52.726380556</v>
      </c>
    </row>
    <row r="471" spans="1:8" ht="29" x14ac:dyDescent="0.35">
      <c r="A471" t="s">
        <v>9909</v>
      </c>
      <c r="B471" t="s">
        <v>9910</v>
      </c>
      <c r="C471" t="s">
        <v>9911</v>
      </c>
      <c r="D471" t="s">
        <v>9912</v>
      </c>
      <c r="E471" s="33" t="s">
        <v>28</v>
      </c>
      <c r="F471" s="34" t="s">
        <v>9913</v>
      </c>
      <c r="H471" s="36" t="str">
        <f>HYPERLINK("https://www.google.com/maps/?q=48.95725,-57.9247694439999", "https://www.google.com/maps/?q=48.95725,-57.9247694439999")</f>
        <v>https://www.google.com/maps/?q=48.95725,-57.9247694439999</v>
      </c>
    </row>
    <row r="472" spans="1:8" ht="29" x14ac:dyDescent="0.35">
      <c r="A472" t="s">
        <v>9914</v>
      </c>
      <c r="B472" t="s">
        <v>9915</v>
      </c>
      <c r="C472" t="s">
        <v>9916</v>
      </c>
      <c r="D472" t="s">
        <v>9917</v>
      </c>
      <c r="E472" s="33" t="s">
        <v>461</v>
      </c>
      <c r="F472" s="34" t="s">
        <v>9918</v>
      </c>
      <c r="H472" s="36" t="str">
        <f>HYPERLINK("https://www.google.com/maps/?q=47.6347638890001,-52.7285916669999", "https://www.google.com/maps/?q=47.6347638890001,-52.7285916669999")</f>
        <v>https://www.google.com/maps/?q=47.6347638890001,-52.7285916669999</v>
      </c>
    </row>
    <row r="473" spans="1:8" ht="29" x14ac:dyDescent="0.35">
      <c r="A473" t="s">
        <v>9919</v>
      </c>
      <c r="B473" t="s">
        <v>9920</v>
      </c>
      <c r="C473" t="s">
        <v>9921</v>
      </c>
      <c r="D473" t="s">
        <v>9922</v>
      </c>
      <c r="E473" s="33" t="s">
        <v>50</v>
      </c>
      <c r="F473" s="34" t="s">
        <v>9923</v>
      </c>
      <c r="H473" s="36" t="str">
        <f>HYPERLINK("https://www.google.com/maps/?q=47.569986111,-52.7221499999999", "https://www.google.com/maps/?q=47.569986111,-52.7221499999999")</f>
        <v>https://www.google.com/maps/?q=47.569986111,-52.7221499999999</v>
      </c>
    </row>
    <row r="474" spans="1:8" ht="29" x14ac:dyDescent="0.35">
      <c r="A474" t="s">
        <v>9924</v>
      </c>
      <c r="B474" t="s">
        <v>9925</v>
      </c>
      <c r="C474" t="s">
        <v>9926</v>
      </c>
      <c r="D474" t="s">
        <v>9927</v>
      </c>
      <c r="E474" s="33" t="s">
        <v>50</v>
      </c>
      <c r="F474" s="34" t="s">
        <v>9928</v>
      </c>
      <c r="H474" s="36" t="str">
        <f>HYPERLINK("https://www.google.com/maps/?q=47.562536111,-52.730636111", "https://www.google.com/maps/?q=47.562536111,-52.730636111")</f>
        <v>https://www.google.com/maps/?q=47.562536111,-52.730636111</v>
      </c>
    </row>
    <row r="475" spans="1:8" ht="29" x14ac:dyDescent="0.35">
      <c r="A475" t="s">
        <v>9929</v>
      </c>
      <c r="B475" t="s">
        <v>9930</v>
      </c>
      <c r="C475" t="s">
        <v>9931</v>
      </c>
      <c r="D475" t="s">
        <v>9932</v>
      </c>
      <c r="E475" s="33" t="s">
        <v>17</v>
      </c>
      <c r="F475" s="34" t="s">
        <v>7442</v>
      </c>
      <c r="H475" s="36" t="str">
        <f>HYPERLINK("https://www.google.com/maps/?q=47.0775,-52.9492", "https://www.google.com/maps/?q=47.0775,-52.9492")</f>
        <v>https://www.google.com/maps/?q=47.0775,-52.9492</v>
      </c>
    </row>
    <row r="476" spans="1:8" x14ac:dyDescent="0.35">
      <c r="A476" t="s">
        <v>9933</v>
      </c>
      <c r="B476" t="s">
        <v>9934</v>
      </c>
      <c r="C476" t="s">
        <v>9935</v>
      </c>
      <c r="D476" t="s">
        <v>9936</v>
      </c>
      <c r="E476" s="33" t="s">
        <v>1109</v>
      </c>
      <c r="F476" s="34" t="s">
        <v>9937</v>
      </c>
      <c r="H476" s="36" t="str">
        <f>HYPERLINK("https://www.google.com/maps/?q=52.5683333330001,-65.8791666669999", "https://www.google.com/maps/?q=52.5683333330001,-65.8791666669999")</f>
        <v>https://www.google.com/maps/?q=52.5683333330001,-65.8791666669999</v>
      </c>
    </row>
    <row r="477" spans="1:8" ht="29" x14ac:dyDescent="0.35">
      <c r="A477" t="s">
        <v>9938</v>
      </c>
      <c r="B477" t="s">
        <v>9939</v>
      </c>
      <c r="C477" t="s">
        <v>9940</v>
      </c>
      <c r="D477" t="s">
        <v>9941</v>
      </c>
      <c r="E477" s="33" t="s">
        <v>28</v>
      </c>
      <c r="F477" s="34" t="s">
        <v>9942</v>
      </c>
      <c r="H477" s="36" t="str">
        <f>HYPERLINK("https://www.google.com/maps/?q=47.5147527780001,-52.8109249999999", "https://www.google.com/maps/?q=47.5147527780001,-52.8109249999999")</f>
        <v>https://www.google.com/maps/?q=47.5147527780001,-52.8109249999999</v>
      </c>
    </row>
    <row r="478" spans="1:8" ht="29" x14ac:dyDescent="0.35">
      <c r="A478" t="s">
        <v>9943</v>
      </c>
      <c r="B478" t="s">
        <v>9944</v>
      </c>
      <c r="C478" t="s">
        <v>9945</v>
      </c>
      <c r="D478" t="s">
        <v>9946</v>
      </c>
      <c r="E478" s="33" t="s">
        <v>28</v>
      </c>
      <c r="F478" s="34" t="s">
        <v>7451</v>
      </c>
      <c r="H478" s="36" t="str">
        <f>HYPERLINK("https://www.google.com/maps/?q=47.5676611110001,-52.7135", "https://www.google.com/maps/?q=47.5676611110001,-52.7135")</f>
        <v>https://www.google.com/maps/?q=47.5676611110001,-52.7135</v>
      </c>
    </row>
    <row r="479" spans="1:8" x14ac:dyDescent="0.35">
      <c r="A479" t="s">
        <v>9947</v>
      </c>
      <c r="B479" t="s">
        <v>9948</v>
      </c>
      <c r="C479" t="s">
        <v>9949</v>
      </c>
      <c r="D479" t="s">
        <v>9950</v>
      </c>
      <c r="E479" s="33" t="s">
        <v>1109</v>
      </c>
      <c r="F479" s="34" t="s">
        <v>9951</v>
      </c>
      <c r="H479" s="36" t="str">
        <f>HYPERLINK("https://www.google.com/maps/?q=53.6175000000001,-66.338888889", "https://www.google.com/maps/?q=53.6175000000001,-66.338888889")</f>
        <v>https://www.google.com/maps/?q=53.6175000000001,-66.338888889</v>
      </c>
    </row>
    <row r="480" spans="1:8" ht="29" x14ac:dyDescent="0.35">
      <c r="A480" t="s">
        <v>9952</v>
      </c>
      <c r="B480" t="s">
        <v>9953</v>
      </c>
      <c r="C480" t="s">
        <v>9954</v>
      </c>
      <c r="D480" t="s">
        <v>9955</v>
      </c>
      <c r="E480" s="33" t="s">
        <v>28</v>
      </c>
      <c r="F480" s="34" t="s">
        <v>9956</v>
      </c>
      <c r="H480" s="36" t="str">
        <f>HYPERLINK("https://www.google.com/maps/?q=47.016308333,-52.8573777779999", "https://www.google.com/maps/?q=47.016308333,-52.8573777779999")</f>
        <v>https://www.google.com/maps/?q=47.016308333,-52.8573777779999</v>
      </c>
    </row>
    <row r="481" spans="1:8" ht="29" x14ac:dyDescent="0.35">
      <c r="A481" t="s">
        <v>9957</v>
      </c>
      <c r="B481" t="s">
        <v>9958</v>
      </c>
      <c r="C481" t="s">
        <v>9959</v>
      </c>
      <c r="D481" t="s">
        <v>9960</v>
      </c>
      <c r="E481" s="33" t="s">
        <v>28</v>
      </c>
      <c r="F481" s="34" t="s">
        <v>9961</v>
      </c>
      <c r="H481" s="36" t="str">
        <f>HYPERLINK("https://www.google.com/maps/?q=51.3037305560001,-56.725533333", "https://www.google.com/maps/?q=51.3037305560001,-56.725533333")</f>
        <v>https://www.google.com/maps/?q=51.3037305560001,-56.725533333</v>
      </c>
    </row>
    <row r="482" spans="1:8" ht="29" x14ac:dyDescent="0.35">
      <c r="A482" t="s">
        <v>9962</v>
      </c>
      <c r="B482" t="s">
        <v>9963</v>
      </c>
      <c r="C482" t="s">
        <v>9964</v>
      </c>
      <c r="D482" t="s">
        <v>9965</v>
      </c>
      <c r="E482" s="33" t="s">
        <v>28</v>
      </c>
      <c r="F482" s="34" t="s">
        <v>9966</v>
      </c>
      <c r="H482" s="36" t="str">
        <f>HYPERLINK("https://www.google.com/maps/?q=49.2524083330001,-55.067808333", "https://www.google.com/maps/?q=49.2524083330001,-55.067808333")</f>
        <v>https://www.google.com/maps/?q=49.2524083330001,-55.067808333</v>
      </c>
    </row>
    <row r="483" spans="1:8" ht="29" x14ac:dyDescent="0.35">
      <c r="A483" t="s">
        <v>9967</v>
      </c>
      <c r="B483" t="s">
        <v>9968</v>
      </c>
      <c r="C483" t="s">
        <v>9969</v>
      </c>
      <c r="D483" t="s">
        <v>9970</v>
      </c>
      <c r="E483" s="33" t="s">
        <v>28</v>
      </c>
      <c r="F483" s="34" t="s">
        <v>7553</v>
      </c>
      <c r="H483" s="36" t="str">
        <f>HYPERLINK("https://www.google.com/maps/?q=49.0668138890001,-58.3778833329999", "https://www.google.com/maps/?q=49.0668138890001,-58.3778833329999")</f>
        <v>https://www.google.com/maps/?q=49.0668138890001,-58.3778833329999</v>
      </c>
    </row>
    <row r="484" spans="1:8" x14ac:dyDescent="0.35">
      <c r="A484" t="s">
        <v>9971</v>
      </c>
      <c r="B484" t="s">
        <v>9972</v>
      </c>
      <c r="C484" t="s">
        <v>9973</v>
      </c>
      <c r="D484" t="s">
        <v>9974</v>
      </c>
      <c r="E484" s="33" t="s">
        <v>44</v>
      </c>
      <c r="F484" s="34" t="s">
        <v>8523</v>
      </c>
      <c r="H484" s="36" t="str">
        <f>HYPERLINK("https://www.google.com/maps/?q=47.0950500000001,-53.4826277779999", "https://www.google.com/maps/?q=47.0950500000001,-53.4826277779999")</f>
        <v>https://www.google.com/maps/?q=47.0950500000001,-53.4826277779999</v>
      </c>
    </row>
    <row r="485" spans="1:8" x14ac:dyDescent="0.35">
      <c r="A485" t="s">
        <v>9975</v>
      </c>
      <c r="B485" t="s">
        <v>9976</v>
      </c>
      <c r="C485" t="s">
        <v>9977</v>
      </c>
      <c r="D485" t="s">
        <v>9978</v>
      </c>
      <c r="E485" s="33" t="s">
        <v>28</v>
      </c>
      <c r="F485" s="34" t="s">
        <v>9979</v>
      </c>
      <c r="H485" s="36" t="str">
        <f>HYPERLINK("https://www.google.com/maps/?q=53.707738889,-57.0157444439999", "https://www.google.com/maps/?q=53.707738889,-57.0157444439999")</f>
        <v>https://www.google.com/maps/?q=53.707738889,-57.0157444439999</v>
      </c>
    </row>
    <row r="486" spans="1:8" ht="29" x14ac:dyDescent="0.35">
      <c r="A486" t="s">
        <v>9980</v>
      </c>
      <c r="B486" t="s">
        <v>9981</v>
      </c>
      <c r="C486" t="s">
        <v>9982</v>
      </c>
      <c r="D486" t="s">
        <v>9983</v>
      </c>
      <c r="E486" s="33" t="s">
        <v>28</v>
      </c>
      <c r="F486" s="34" t="s">
        <v>9984</v>
      </c>
      <c r="H486" s="36" t="str">
        <f>HYPERLINK("https://www.google.com/maps/?q=47.5725972220001,-52.7330138889999", "https://www.google.com/maps/?q=47.5725972220001,-52.7330138889999")</f>
        <v>https://www.google.com/maps/?q=47.5725972220001,-52.7330138889999</v>
      </c>
    </row>
    <row r="487" spans="1:8" ht="29" x14ac:dyDescent="0.35">
      <c r="A487" t="s">
        <v>9985</v>
      </c>
      <c r="B487" t="s">
        <v>9986</v>
      </c>
      <c r="C487" t="s">
        <v>9987</v>
      </c>
      <c r="D487" t="s">
        <v>9988</v>
      </c>
      <c r="E487" s="33" t="s">
        <v>28</v>
      </c>
      <c r="F487" s="34" t="s">
        <v>9989</v>
      </c>
      <c r="H487" s="36" t="str">
        <f>HYPERLINK("https://www.google.com/maps/?q=47.5459277780001,-52.7073972219999", "https://www.google.com/maps/?q=47.5459277780001,-52.7073972219999")</f>
        <v>https://www.google.com/maps/?q=47.5459277780001,-52.7073972219999</v>
      </c>
    </row>
    <row r="488" spans="1:8" ht="43.5" x14ac:dyDescent="0.35">
      <c r="A488" t="s">
        <v>9990</v>
      </c>
      <c r="B488" t="s">
        <v>9991</v>
      </c>
      <c r="C488" t="s">
        <v>9992</v>
      </c>
      <c r="D488" t="s">
        <v>9993</v>
      </c>
      <c r="E488" s="33" t="s">
        <v>28</v>
      </c>
      <c r="F488" s="34" t="s">
        <v>7480</v>
      </c>
      <c r="H488" s="36" t="str">
        <f>HYPERLINK("https://www.google.com/maps/?q=47.570008333,-52.734938889", "https://www.google.com/maps/?q=47.570008333,-52.734938889")</f>
        <v>https://www.google.com/maps/?q=47.570008333,-52.734938889</v>
      </c>
    </row>
    <row r="489" spans="1:8" ht="29" x14ac:dyDescent="0.35">
      <c r="A489" t="s">
        <v>9994</v>
      </c>
      <c r="B489" t="s">
        <v>9995</v>
      </c>
      <c r="C489" t="s">
        <v>9996</v>
      </c>
      <c r="D489" t="s">
        <v>9997</v>
      </c>
      <c r="E489" s="33" t="s">
        <v>44</v>
      </c>
      <c r="F489" s="34" t="s">
        <v>7558</v>
      </c>
      <c r="H489" s="36" t="str">
        <f>HYPERLINK("https://www.google.com/maps/?q=49.5019611110001,-55.821188889", "https://www.google.com/maps/?q=49.5019611110001,-55.821188889")</f>
        <v>https://www.google.com/maps/?q=49.5019611110001,-55.821188889</v>
      </c>
    </row>
    <row r="490" spans="1:8" ht="29" x14ac:dyDescent="0.35">
      <c r="A490" t="s">
        <v>9998</v>
      </c>
      <c r="B490" t="s">
        <v>9999</v>
      </c>
      <c r="C490" t="s">
        <v>10000</v>
      </c>
      <c r="D490" t="s">
        <v>10001</v>
      </c>
      <c r="E490" s="33" t="s">
        <v>28</v>
      </c>
      <c r="F490" s="34" t="s">
        <v>10002</v>
      </c>
      <c r="H490" s="36" t="str">
        <f>HYPERLINK("https://www.google.com/maps/?q=47.578558333,-52.700405556", "https://www.google.com/maps/?q=47.578558333,-52.700405556")</f>
        <v>https://www.google.com/maps/?q=47.578558333,-52.700405556</v>
      </c>
    </row>
    <row r="491" spans="1:8" ht="29" x14ac:dyDescent="0.35">
      <c r="A491" t="s">
        <v>10003</v>
      </c>
      <c r="B491" t="s">
        <v>10004</v>
      </c>
      <c r="C491" t="s">
        <v>10005</v>
      </c>
      <c r="D491" t="s">
        <v>10006</v>
      </c>
      <c r="E491" s="33" t="s">
        <v>28</v>
      </c>
      <c r="F491" s="34" t="s">
        <v>10007</v>
      </c>
      <c r="H491" s="36" t="str">
        <f>HYPERLINK("https://www.google.com/maps/?q=47.5497472220001,-52.752838889", "https://www.google.com/maps/?q=47.5497472220001,-52.752838889")</f>
        <v>https://www.google.com/maps/?q=47.5497472220001,-52.752838889</v>
      </c>
    </row>
    <row r="492" spans="1:8" ht="29" x14ac:dyDescent="0.35">
      <c r="A492" t="s">
        <v>10008</v>
      </c>
      <c r="B492" t="s">
        <v>10009</v>
      </c>
      <c r="C492" t="s">
        <v>10010</v>
      </c>
      <c r="D492" t="s">
        <v>10011</v>
      </c>
      <c r="E492" s="33" t="s">
        <v>28</v>
      </c>
      <c r="F492" s="34" t="s">
        <v>10012</v>
      </c>
      <c r="H492" s="36" t="str">
        <f>HYPERLINK("https://www.google.com/maps/?q=49.0060111110001,-58.121966667", "https://www.google.com/maps/?q=49.0060111110001,-58.121966667")</f>
        <v>https://www.google.com/maps/?q=49.0060111110001,-58.121966667</v>
      </c>
    </row>
    <row r="493" spans="1:8" ht="29" x14ac:dyDescent="0.35">
      <c r="A493" t="s">
        <v>10013</v>
      </c>
      <c r="B493" t="s">
        <v>10014</v>
      </c>
      <c r="C493" t="s">
        <v>10015</v>
      </c>
      <c r="D493" t="s">
        <v>10016</v>
      </c>
      <c r="E493" s="33" t="s">
        <v>28</v>
      </c>
      <c r="F493" s="34" t="s">
        <v>10017</v>
      </c>
      <c r="H493" s="36" t="str">
        <f>HYPERLINK("https://www.google.com/maps/?q=47.454827778,-52.765938889", "https://www.google.com/maps/?q=47.454827778,-52.765938889")</f>
        <v>https://www.google.com/maps/?q=47.454827778,-52.765938889</v>
      </c>
    </row>
    <row r="494" spans="1:8" x14ac:dyDescent="0.35">
      <c r="A494" t="s">
        <v>10018</v>
      </c>
      <c r="B494" t="s">
        <v>10019</v>
      </c>
      <c r="C494" t="s">
        <v>10020</v>
      </c>
      <c r="D494" t="s">
        <v>10021</v>
      </c>
      <c r="E494" s="33" t="s">
        <v>28</v>
      </c>
      <c r="F494" s="34" t="s">
        <v>8209</v>
      </c>
      <c r="H494" s="36" t="str">
        <f>HYPERLINK("https://www.google.com/maps/?q=52.5437111110001,-56.2970333329999", "https://www.google.com/maps/?q=52.5437111110001,-56.2970333329999")</f>
        <v>https://www.google.com/maps/?q=52.5437111110001,-56.2970333329999</v>
      </c>
    </row>
    <row r="495" spans="1:8" x14ac:dyDescent="0.35">
      <c r="A495" t="s">
        <v>10022</v>
      </c>
      <c r="B495" t="s">
        <v>10023</v>
      </c>
      <c r="C495" t="s">
        <v>10024</v>
      </c>
      <c r="D495" t="s">
        <v>10025</v>
      </c>
      <c r="E495" s="33" t="s">
        <v>28</v>
      </c>
      <c r="F495" s="34" t="s">
        <v>10026</v>
      </c>
      <c r="H495" s="36" t="str">
        <f>HYPERLINK("https://www.google.com/maps/?q=51.0966666670001,-55.7472194439999", "https://www.google.com/maps/?q=51.0966666670001,-55.7472194439999")</f>
        <v>https://www.google.com/maps/?q=51.0966666670001,-55.7472194439999</v>
      </c>
    </row>
    <row r="496" spans="1:8" ht="29" x14ac:dyDescent="0.35">
      <c r="A496" t="s">
        <v>10027</v>
      </c>
      <c r="B496" t="s">
        <v>10028</v>
      </c>
      <c r="C496" t="s">
        <v>10029</v>
      </c>
      <c r="D496" t="s">
        <v>10030</v>
      </c>
      <c r="E496" s="33" t="s">
        <v>66</v>
      </c>
      <c r="F496" s="34" t="s">
        <v>8176</v>
      </c>
      <c r="H496" s="36" t="str">
        <f>HYPERLINK("https://www.google.com/maps/?q=47.5843055560001,-52.7421944439999", "https://www.google.com/maps/?q=47.5843055560001,-52.7421944439999")</f>
        <v>https://www.google.com/maps/?q=47.5843055560001,-52.7421944439999</v>
      </c>
    </row>
    <row r="497" spans="1:8" ht="29" x14ac:dyDescent="0.35">
      <c r="A497" t="s">
        <v>10031</v>
      </c>
      <c r="B497" t="s">
        <v>10032</v>
      </c>
      <c r="C497" t="s">
        <v>10033</v>
      </c>
      <c r="D497" t="s">
        <v>10034</v>
      </c>
      <c r="E497" s="33" t="s">
        <v>66</v>
      </c>
      <c r="F497" s="34" t="s">
        <v>10035</v>
      </c>
      <c r="H497" s="36" t="str">
        <f>HYPERLINK("https://www.google.com/maps/?q=47.6107361110001,-52.824675", "https://www.google.com/maps/?q=47.6107361110001,-52.824675")</f>
        <v>https://www.google.com/maps/?q=47.6107361110001,-52.824675</v>
      </c>
    </row>
    <row r="498" spans="1:8" x14ac:dyDescent="0.35">
      <c r="A498" t="s">
        <v>10036</v>
      </c>
      <c r="B498" t="s">
        <v>10037</v>
      </c>
      <c r="C498" t="s">
        <v>10038</v>
      </c>
      <c r="D498" t="s">
        <v>10039</v>
      </c>
      <c r="E498" s="33" t="s">
        <v>1109</v>
      </c>
      <c r="F498" s="34" t="s">
        <v>8288</v>
      </c>
      <c r="H498" s="36" t="str">
        <f>HYPERLINK("https://www.google.com/maps/?q=52.9433333330001,-65.895277778", "https://www.google.com/maps/?q=52.9433333330001,-65.895277778")</f>
        <v>https://www.google.com/maps/?q=52.9433333330001,-65.895277778</v>
      </c>
    </row>
    <row r="499" spans="1:8" ht="29" x14ac:dyDescent="0.35">
      <c r="A499" t="s">
        <v>10040</v>
      </c>
      <c r="B499" t="s">
        <v>10041</v>
      </c>
      <c r="C499" t="s">
        <v>10042</v>
      </c>
      <c r="D499" t="s">
        <v>10043</v>
      </c>
      <c r="E499" s="33" t="s">
        <v>28</v>
      </c>
      <c r="F499" s="34" t="s">
        <v>10044</v>
      </c>
      <c r="H499" s="36" t="str">
        <f>HYPERLINK("https://www.google.com/maps/?q=49.0223,-55.4583083329999", "https://www.google.com/maps/?q=49.0223,-55.4583083329999")</f>
        <v>https://www.google.com/maps/?q=49.0223,-55.4583083329999</v>
      </c>
    </row>
    <row r="500" spans="1:8" ht="29" x14ac:dyDescent="0.35">
      <c r="A500" t="s">
        <v>10045</v>
      </c>
      <c r="B500" t="s">
        <v>10046</v>
      </c>
      <c r="C500" t="s">
        <v>10047</v>
      </c>
      <c r="D500" t="s">
        <v>10048</v>
      </c>
      <c r="E500" s="33" t="s">
        <v>44</v>
      </c>
      <c r="F500" s="34" t="s">
        <v>8419</v>
      </c>
      <c r="H500" s="36" t="str">
        <f>HYPERLINK("https://www.google.com/maps/?q=48.5937888890001,-58.661730556", "https://www.google.com/maps/?q=48.5937888890001,-58.661730556")</f>
        <v>https://www.google.com/maps/?q=48.5937888890001,-58.661730556</v>
      </c>
    </row>
    <row r="501" spans="1:8" x14ac:dyDescent="0.35">
      <c r="A501" t="s">
        <v>10049</v>
      </c>
      <c r="B501" t="s">
        <v>10050</v>
      </c>
      <c r="C501" t="s">
        <v>10051</v>
      </c>
      <c r="D501" t="s">
        <v>10052</v>
      </c>
      <c r="E501" s="33" t="s">
        <v>1109</v>
      </c>
      <c r="F501" s="34" t="s">
        <v>8288</v>
      </c>
      <c r="H501" s="36" t="str">
        <f>HYPERLINK("https://www.google.com/maps/?q=52.3663888890001,-65.713333333", "https://www.google.com/maps/?q=52.3663888890001,-65.713333333")</f>
        <v>https://www.google.com/maps/?q=52.3663888890001,-65.713333333</v>
      </c>
    </row>
    <row r="502" spans="1:8" x14ac:dyDescent="0.35">
      <c r="A502" t="s">
        <v>10053</v>
      </c>
      <c r="B502" t="s">
        <v>10054</v>
      </c>
      <c r="C502" t="s">
        <v>10055</v>
      </c>
      <c r="D502" t="s">
        <v>10056</v>
      </c>
      <c r="E502" s="33" t="s">
        <v>28</v>
      </c>
      <c r="F502" s="34" t="s">
        <v>10057</v>
      </c>
      <c r="H502" s="36" t="str">
        <f>HYPERLINK("https://www.google.com/maps/?q=47.9479805560001,-53.333783333", "https://www.google.com/maps/?q=47.9479805560001,-53.333783333")</f>
        <v>https://www.google.com/maps/?q=47.9479805560001,-53.333783333</v>
      </c>
    </row>
    <row r="503" spans="1:8" ht="29" x14ac:dyDescent="0.35">
      <c r="A503" t="s">
        <v>10058</v>
      </c>
      <c r="B503" t="s">
        <v>10059</v>
      </c>
      <c r="C503" t="s">
        <v>10060</v>
      </c>
      <c r="D503" t="s">
        <v>10061</v>
      </c>
      <c r="E503" s="33" t="s">
        <v>28</v>
      </c>
      <c r="F503" s="34" t="s">
        <v>9134</v>
      </c>
      <c r="H503" s="36" t="str">
        <f>HYPERLINK("https://www.google.com/maps/?q=47.311397222,-53.7782999999999", "https://www.google.com/maps/?q=47.311397222,-53.7782999999999")</f>
        <v>https://www.google.com/maps/?q=47.311397222,-53.7782999999999</v>
      </c>
    </row>
    <row r="504" spans="1:8" ht="29" x14ac:dyDescent="0.35">
      <c r="A504" t="s">
        <v>10062</v>
      </c>
      <c r="B504" t="s">
        <v>10063</v>
      </c>
      <c r="C504" t="s">
        <v>10064</v>
      </c>
      <c r="D504" t="s">
        <v>10065</v>
      </c>
      <c r="E504" s="33" t="s">
        <v>28</v>
      </c>
      <c r="F504" s="34" t="s">
        <v>10066</v>
      </c>
      <c r="H504" s="36" t="str">
        <f>HYPERLINK("https://www.google.com/maps/?q=47.5755611110001,-52.6945888889999", "https://www.google.com/maps/?q=47.5755611110001,-52.6945888889999")</f>
        <v>https://www.google.com/maps/?q=47.5755611110001,-52.6945888889999</v>
      </c>
    </row>
    <row r="505" spans="1:8" ht="29" x14ac:dyDescent="0.35">
      <c r="A505" t="s">
        <v>10067</v>
      </c>
      <c r="B505" t="s">
        <v>10068</v>
      </c>
      <c r="C505" t="s">
        <v>10069</v>
      </c>
      <c r="D505" t="s">
        <v>10070</v>
      </c>
      <c r="E505" s="33" t="s">
        <v>50</v>
      </c>
      <c r="F505" s="34" t="s">
        <v>10071</v>
      </c>
      <c r="H505" s="36" t="str">
        <f>HYPERLINK("https://www.google.com/maps/?q=47.567361111,-52.7197416669999", "https://www.google.com/maps/?q=47.567361111,-52.7197416669999")</f>
        <v>https://www.google.com/maps/?q=47.567361111,-52.7197416669999</v>
      </c>
    </row>
    <row r="506" spans="1:8" ht="29" x14ac:dyDescent="0.35">
      <c r="A506" t="s">
        <v>10072</v>
      </c>
      <c r="B506" t="s">
        <v>10073</v>
      </c>
      <c r="C506" t="s">
        <v>10074</v>
      </c>
      <c r="D506" t="s">
        <v>10075</v>
      </c>
      <c r="E506" s="33" t="s">
        <v>28</v>
      </c>
      <c r="F506" s="34" t="s">
        <v>10076</v>
      </c>
      <c r="H506" s="36" t="str">
        <f>HYPERLINK("https://www.google.com/maps/?q=47.5879444440001,-52.712025", "https://www.google.com/maps/?q=47.5879444440001,-52.712025")</f>
        <v>https://www.google.com/maps/?q=47.5879444440001,-52.712025</v>
      </c>
    </row>
    <row r="507" spans="1:8" x14ac:dyDescent="0.35">
      <c r="A507" t="s">
        <v>10077</v>
      </c>
      <c r="B507" t="s">
        <v>10078</v>
      </c>
      <c r="C507" t="s">
        <v>10079</v>
      </c>
      <c r="D507" t="s">
        <v>10080</v>
      </c>
      <c r="E507" s="33" t="s">
        <v>44</v>
      </c>
      <c r="F507" s="34" t="s">
        <v>7986</v>
      </c>
      <c r="H507" s="36" t="str">
        <f>HYPERLINK("https://www.google.com/maps/?q=49.5036944440001,-56.070191667", "https://www.google.com/maps/?q=49.5036944440001,-56.070191667")</f>
        <v>https://www.google.com/maps/?q=49.5036944440001,-56.070191667</v>
      </c>
    </row>
    <row r="508" spans="1:8" ht="29" x14ac:dyDescent="0.35">
      <c r="A508" t="s">
        <v>10081</v>
      </c>
      <c r="B508" t="s">
        <v>10082</v>
      </c>
      <c r="C508" t="s">
        <v>10083</v>
      </c>
      <c r="D508" t="s">
        <v>10084</v>
      </c>
      <c r="E508" s="33" t="s">
        <v>28</v>
      </c>
      <c r="F508" s="34" t="s">
        <v>8787</v>
      </c>
      <c r="H508" s="36" t="str">
        <f>HYPERLINK("https://www.google.com/maps/?q=47.4553138890001,-52.7717916669999", "https://www.google.com/maps/?q=47.4553138890001,-52.7717916669999")</f>
        <v>https://www.google.com/maps/?q=47.4553138890001,-52.7717916669999</v>
      </c>
    </row>
    <row r="509" spans="1:8" ht="29" x14ac:dyDescent="0.35">
      <c r="A509" t="s">
        <v>10085</v>
      </c>
      <c r="B509" t="s">
        <v>10086</v>
      </c>
      <c r="C509" t="s">
        <v>10087</v>
      </c>
      <c r="D509" t="s">
        <v>10088</v>
      </c>
      <c r="E509" s="33" t="s">
        <v>28</v>
      </c>
      <c r="F509" s="34" t="s">
        <v>10089</v>
      </c>
      <c r="H509" s="36" t="str">
        <f>HYPERLINK("https://www.google.com/maps/?q=47.508822222,-52.8210055559999", "https://www.google.com/maps/?q=47.508822222,-52.8210055559999")</f>
        <v>https://www.google.com/maps/?q=47.508822222,-52.8210055559999</v>
      </c>
    </row>
    <row r="510" spans="1:8" ht="29" x14ac:dyDescent="0.35">
      <c r="A510" t="s">
        <v>10090</v>
      </c>
      <c r="B510" t="s">
        <v>10091</v>
      </c>
      <c r="C510" t="s">
        <v>10092</v>
      </c>
      <c r="D510" t="s">
        <v>10093</v>
      </c>
      <c r="E510" s="33" t="s">
        <v>28</v>
      </c>
      <c r="F510" s="34" t="s">
        <v>10094</v>
      </c>
      <c r="H510" s="36" t="str">
        <f>HYPERLINK("https://www.google.com/maps/?q=47.584552778,-52.7014694439999", "https://www.google.com/maps/?q=47.584552778,-52.7014694439999")</f>
        <v>https://www.google.com/maps/?q=47.584552778,-52.7014694439999</v>
      </c>
    </row>
    <row r="511" spans="1:8" ht="29" x14ac:dyDescent="0.35">
      <c r="A511" t="s">
        <v>10095</v>
      </c>
      <c r="B511" t="s">
        <v>10096</v>
      </c>
      <c r="C511" t="s">
        <v>10097</v>
      </c>
      <c r="D511" t="s">
        <v>10098</v>
      </c>
      <c r="E511" s="33" t="s">
        <v>28</v>
      </c>
      <c r="F511" s="34" t="s">
        <v>10099</v>
      </c>
      <c r="H511" s="36" t="str">
        <f>HYPERLINK("https://www.google.com/maps/?q=47.5534166670001,-52.7433", "https://www.google.com/maps/?q=47.5534166670001,-52.7433")</f>
        <v>https://www.google.com/maps/?q=47.5534166670001,-52.7433</v>
      </c>
    </row>
    <row r="512" spans="1:8" ht="29" x14ac:dyDescent="0.35">
      <c r="A512" t="s">
        <v>10100</v>
      </c>
      <c r="B512" t="s">
        <v>10101</v>
      </c>
      <c r="C512" t="s">
        <v>10102</v>
      </c>
      <c r="D512" t="s">
        <v>10103</v>
      </c>
      <c r="E512" s="33" t="s">
        <v>28</v>
      </c>
      <c r="F512" s="34" t="s">
        <v>10104</v>
      </c>
      <c r="H512" s="36" t="str">
        <f>HYPERLINK("https://www.google.com/maps/?q=47.5291611110001,-52.824202778", "https://www.google.com/maps/?q=47.5291611110001,-52.824202778")</f>
        <v>https://www.google.com/maps/?q=47.5291611110001,-52.824202778</v>
      </c>
    </row>
    <row r="513" spans="1:8" x14ac:dyDescent="0.35">
      <c r="A513" t="s">
        <v>10105</v>
      </c>
      <c r="B513" t="s">
        <v>10106</v>
      </c>
      <c r="C513" t="s">
        <v>10107</v>
      </c>
      <c r="D513" t="s">
        <v>10108</v>
      </c>
      <c r="E513" s="33" t="s">
        <v>28</v>
      </c>
      <c r="F513" s="34" t="s">
        <v>10109</v>
      </c>
      <c r="H513" s="36" t="str">
        <f>HYPERLINK("https://www.google.com/maps/?q=52.7720166670001,-56.1172", "https://www.google.com/maps/?q=52.7720166670001,-56.1172")</f>
        <v>https://www.google.com/maps/?q=52.7720166670001,-56.1172</v>
      </c>
    </row>
    <row r="514" spans="1:8" ht="29" x14ac:dyDescent="0.35">
      <c r="A514" t="s">
        <v>10110</v>
      </c>
      <c r="B514" t="s">
        <v>10111</v>
      </c>
      <c r="C514" t="s">
        <v>10112</v>
      </c>
      <c r="D514" t="s">
        <v>10113</v>
      </c>
      <c r="E514" s="33" t="s">
        <v>28</v>
      </c>
      <c r="F514" s="34" t="s">
        <v>10114</v>
      </c>
      <c r="H514" s="36" t="str">
        <f>HYPERLINK("https://www.google.com/maps/?q=47.5493277780001,-52.7082", "https://www.google.com/maps/?q=47.5493277780001,-52.7082")</f>
        <v>https://www.google.com/maps/?q=47.5493277780001,-52.7082</v>
      </c>
    </row>
    <row r="515" spans="1:8" ht="29" x14ac:dyDescent="0.35">
      <c r="A515" t="s">
        <v>10115</v>
      </c>
      <c r="B515" t="s">
        <v>10116</v>
      </c>
      <c r="C515" t="s">
        <v>10117</v>
      </c>
      <c r="D515" t="s">
        <v>10118</v>
      </c>
      <c r="E515" s="33" t="s">
        <v>28</v>
      </c>
      <c r="F515" s="34" t="s">
        <v>10119</v>
      </c>
      <c r="H515" s="36" t="str">
        <f>HYPERLINK("https://www.google.com/maps/?q=46.8007277780001,-53.6383", "https://www.google.com/maps/?q=46.8007277780001,-53.6383")</f>
        <v>https://www.google.com/maps/?q=46.8007277780001,-53.6383</v>
      </c>
    </row>
    <row r="516" spans="1:8" ht="29" x14ac:dyDescent="0.35">
      <c r="A516" t="s">
        <v>10120</v>
      </c>
      <c r="B516" t="s">
        <v>10121</v>
      </c>
      <c r="C516" t="s">
        <v>10122</v>
      </c>
      <c r="D516" t="s">
        <v>10123</v>
      </c>
      <c r="E516" s="33" t="s">
        <v>28</v>
      </c>
      <c r="F516" s="34" t="s">
        <v>10124</v>
      </c>
      <c r="H516" s="36" t="str">
        <f>HYPERLINK("https://www.google.com/maps/?q=47.5955083330001,-52.7262111109999", "https://www.google.com/maps/?q=47.5955083330001,-52.7262111109999")</f>
        <v>https://www.google.com/maps/?q=47.5955083330001,-52.7262111109999</v>
      </c>
    </row>
    <row r="517" spans="1:8" x14ac:dyDescent="0.35">
      <c r="A517" t="s">
        <v>10125</v>
      </c>
      <c r="B517" t="s">
        <v>10126</v>
      </c>
      <c r="C517" t="s">
        <v>10127</v>
      </c>
      <c r="D517" t="s">
        <v>10128</v>
      </c>
      <c r="E517" s="33" t="s">
        <v>28</v>
      </c>
      <c r="F517" s="34" t="s">
        <v>7504</v>
      </c>
      <c r="H517" s="36" t="str">
        <f>HYPERLINK("https://www.google.com/maps/?q=48.718297222,-58.155", "https://www.google.com/maps/?q=48.718297222,-58.155")</f>
        <v>https://www.google.com/maps/?q=48.718297222,-58.155</v>
      </c>
    </row>
    <row r="518" spans="1:8" x14ac:dyDescent="0.35">
      <c r="A518" t="s">
        <v>10129</v>
      </c>
      <c r="B518" t="s">
        <v>9449</v>
      </c>
      <c r="C518" t="s">
        <v>10130</v>
      </c>
      <c r="D518" t="s">
        <v>9451</v>
      </c>
      <c r="E518" s="33" t="s">
        <v>28</v>
      </c>
      <c r="F518" s="34" t="s">
        <v>10131</v>
      </c>
      <c r="H518" s="36" t="str">
        <f>HYPERLINK("https://www.google.com/maps/?q=48.0873916670001,-52.896866667", "https://www.google.com/maps/?q=48.0873916670001,-52.896866667")</f>
        <v>https://www.google.com/maps/?q=48.0873916670001,-52.896866667</v>
      </c>
    </row>
    <row r="519" spans="1:8" ht="29" x14ac:dyDescent="0.35">
      <c r="A519" t="s">
        <v>10132</v>
      </c>
      <c r="B519" t="s">
        <v>10133</v>
      </c>
      <c r="C519" t="s">
        <v>10134</v>
      </c>
      <c r="D519" t="s">
        <v>10135</v>
      </c>
      <c r="E519" s="33" t="s">
        <v>50</v>
      </c>
      <c r="F519" s="34" t="s">
        <v>10136</v>
      </c>
      <c r="H519" s="36" t="str">
        <f>HYPERLINK("https://www.google.com/maps/?q=47.635497222,-52.730702778", "https://www.google.com/maps/?q=47.635497222,-52.730702778")</f>
        <v>https://www.google.com/maps/?q=47.635497222,-52.730702778</v>
      </c>
    </row>
    <row r="520" spans="1:8" ht="29" x14ac:dyDescent="0.35">
      <c r="A520" t="s">
        <v>10137</v>
      </c>
      <c r="B520" t="s">
        <v>10138</v>
      </c>
      <c r="C520" t="s">
        <v>10139</v>
      </c>
      <c r="D520" t="s">
        <v>10140</v>
      </c>
      <c r="E520" s="33" t="s">
        <v>50</v>
      </c>
      <c r="F520" s="34" t="s">
        <v>10141</v>
      </c>
      <c r="H520" s="36" t="str">
        <f>HYPERLINK("https://www.google.com/maps/?q=47.5966000000001,-52.7257", "https://www.google.com/maps/?q=47.5966000000001,-52.7257")</f>
        <v>https://www.google.com/maps/?q=47.5966000000001,-52.7257</v>
      </c>
    </row>
    <row r="521" spans="1:8" x14ac:dyDescent="0.35">
      <c r="A521" t="s">
        <v>10142</v>
      </c>
      <c r="B521" t="s">
        <v>10143</v>
      </c>
      <c r="C521" t="s">
        <v>10144</v>
      </c>
      <c r="D521" t="s">
        <v>10145</v>
      </c>
      <c r="E521" s="33" t="s">
        <v>28</v>
      </c>
      <c r="F521" s="34" t="s">
        <v>8288</v>
      </c>
      <c r="H521" s="36" t="str">
        <f>HYPERLINK("https://www.google.com/maps/?q=56.5469416670001,-61.7125", "https://www.google.com/maps/?q=56.5469416670001,-61.7125")</f>
        <v>https://www.google.com/maps/?q=56.5469416670001,-61.7125</v>
      </c>
    </row>
    <row r="522" spans="1:8" ht="29" x14ac:dyDescent="0.35">
      <c r="A522" t="s">
        <v>10146</v>
      </c>
      <c r="B522" t="s">
        <v>10147</v>
      </c>
      <c r="C522" t="s">
        <v>10148</v>
      </c>
      <c r="D522" t="s">
        <v>10149</v>
      </c>
      <c r="E522" s="33" t="s">
        <v>28</v>
      </c>
      <c r="F522" s="34" t="s">
        <v>10150</v>
      </c>
      <c r="H522" s="36" t="str">
        <f>HYPERLINK("https://www.google.com/maps/?q=49.3389083330001,-55.4035388889999", "https://www.google.com/maps/?q=49.3389083330001,-55.4035388889999")</f>
        <v>https://www.google.com/maps/?q=49.3389083330001,-55.4035388889999</v>
      </c>
    </row>
    <row r="523" spans="1:8" x14ac:dyDescent="0.35">
      <c r="A523" t="s">
        <v>10151</v>
      </c>
      <c r="B523" t="s">
        <v>10152</v>
      </c>
      <c r="C523" t="s">
        <v>10153</v>
      </c>
      <c r="D523" t="s">
        <v>10154</v>
      </c>
      <c r="E523" s="33" t="s">
        <v>1109</v>
      </c>
      <c r="F523" s="34" t="s">
        <v>8288</v>
      </c>
      <c r="H523" s="36" t="str">
        <f>HYPERLINK("https://www.google.com/maps/?q=52.1652222220001,-65.697361111", "https://www.google.com/maps/?q=52.1652222220001,-65.697361111")</f>
        <v>https://www.google.com/maps/?q=52.1652222220001,-65.697361111</v>
      </c>
    </row>
    <row r="524" spans="1:8" x14ac:dyDescent="0.35">
      <c r="A524" t="s">
        <v>10155</v>
      </c>
      <c r="B524" t="s">
        <v>10156</v>
      </c>
      <c r="C524" t="s">
        <v>10157</v>
      </c>
      <c r="D524" t="s">
        <v>10158</v>
      </c>
      <c r="E524" s="33" t="s">
        <v>1109</v>
      </c>
      <c r="F524" s="34" t="s">
        <v>10159</v>
      </c>
      <c r="H524" s="36" t="str">
        <f>HYPERLINK("https://www.google.com/maps/?q=54.1761111110001,-66.5066666669999", "https://www.google.com/maps/?q=54.1761111110001,-66.5066666669999")</f>
        <v>https://www.google.com/maps/?q=54.1761111110001,-66.5066666669999</v>
      </c>
    </row>
    <row r="525" spans="1:8" ht="29" x14ac:dyDescent="0.35">
      <c r="A525" t="s">
        <v>10160</v>
      </c>
      <c r="B525" t="s">
        <v>10161</v>
      </c>
      <c r="C525" t="s">
        <v>10162</v>
      </c>
      <c r="D525" t="s">
        <v>10163</v>
      </c>
      <c r="E525" s="33" t="s">
        <v>28</v>
      </c>
      <c r="F525" s="34" t="s">
        <v>10164</v>
      </c>
      <c r="H525" s="36" t="str">
        <f>HYPERLINK("https://www.google.com/maps/?q=47.5943361110001,-52.7304583329999", "https://www.google.com/maps/?q=47.5943361110001,-52.7304583329999")</f>
        <v>https://www.google.com/maps/?q=47.5943361110001,-52.7304583329999</v>
      </c>
    </row>
    <row r="526" spans="1:8" ht="29" x14ac:dyDescent="0.35">
      <c r="A526" t="s">
        <v>10165</v>
      </c>
      <c r="B526" t="s">
        <v>10166</v>
      </c>
      <c r="C526" t="s">
        <v>10167</v>
      </c>
      <c r="D526" t="s">
        <v>10168</v>
      </c>
      <c r="E526" s="33" t="s">
        <v>28</v>
      </c>
      <c r="F526" s="34" t="s">
        <v>10169</v>
      </c>
      <c r="H526" s="36" t="str">
        <f>HYPERLINK("https://www.google.com/maps/?q=47.5137361110001,-52.8043638889999", "https://www.google.com/maps/?q=47.5137361110001,-52.8043638889999")</f>
        <v>https://www.google.com/maps/?q=47.5137361110001,-52.8043638889999</v>
      </c>
    </row>
    <row r="527" spans="1:8" ht="29" x14ac:dyDescent="0.35">
      <c r="A527" t="s">
        <v>10170</v>
      </c>
      <c r="B527" t="s">
        <v>10171</v>
      </c>
      <c r="C527" t="s">
        <v>10172</v>
      </c>
      <c r="D527" t="s">
        <v>10173</v>
      </c>
      <c r="E527" s="33" t="s">
        <v>28</v>
      </c>
      <c r="F527" s="34" t="s">
        <v>10174</v>
      </c>
      <c r="H527" s="36" t="str">
        <f>HYPERLINK("https://www.google.com/maps/?q=47.546577778,-52.8015694439999", "https://www.google.com/maps/?q=47.546577778,-52.8015694439999")</f>
        <v>https://www.google.com/maps/?q=47.546577778,-52.8015694439999</v>
      </c>
    </row>
    <row r="528" spans="1:8" ht="29" x14ac:dyDescent="0.35">
      <c r="A528" t="s">
        <v>10175</v>
      </c>
      <c r="B528" t="s">
        <v>10176</v>
      </c>
      <c r="C528" t="s">
        <v>10177</v>
      </c>
      <c r="D528" t="s">
        <v>10178</v>
      </c>
      <c r="E528" s="33" t="s">
        <v>28</v>
      </c>
      <c r="F528" s="34" t="s">
        <v>10179</v>
      </c>
      <c r="H528" s="36" t="str">
        <f>HYPERLINK("https://www.google.com/maps/?q=47.6073638890001,-52.720491667", "https://www.google.com/maps/?q=47.6073638890001,-52.720491667")</f>
        <v>https://www.google.com/maps/?q=47.6073638890001,-52.720491667</v>
      </c>
    </row>
    <row r="529" spans="1:8" ht="29" x14ac:dyDescent="0.35">
      <c r="A529" t="s">
        <v>10180</v>
      </c>
      <c r="B529" t="s">
        <v>10181</v>
      </c>
      <c r="C529" t="s">
        <v>10182</v>
      </c>
      <c r="D529" t="s">
        <v>10183</v>
      </c>
      <c r="E529" s="33" t="s">
        <v>28</v>
      </c>
      <c r="F529" s="34" t="s">
        <v>10184</v>
      </c>
      <c r="H529" s="36" t="str">
        <f>HYPERLINK("https://www.google.com/maps/?q=47.5824138890001,-52.703330556", "https://www.google.com/maps/?q=47.5824138890001,-52.703330556")</f>
        <v>https://www.google.com/maps/?q=47.5824138890001,-52.703330556</v>
      </c>
    </row>
    <row r="530" spans="1:8" ht="29" x14ac:dyDescent="0.35">
      <c r="A530" t="s">
        <v>10185</v>
      </c>
      <c r="B530" t="s">
        <v>10186</v>
      </c>
      <c r="C530" t="s">
        <v>10187</v>
      </c>
      <c r="D530" t="s">
        <v>10188</v>
      </c>
      <c r="E530" s="33" t="s">
        <v>28</v>
      </c>
      <c r="F530" s="34" t="s">
        <v>10189</v>
      </c>
      <c r="H530" s="36" t="str">
        <f>HYPERLINK("https://www.google.com/maps/?q=47.587077778,-59.1655361109999", "https://www.google.com/maps/?q=47.587077778,-59.1655361109999")</f>
        <v>https://www.google.com/maps/?q=47.587077778,-59.1655361109999</v>
      </c>
    </row>
    <row r="531" spans="1:8" ht="29" x14ac:dyDescent="0.35">
      <c r="A531" t="s">
        <v>10190</v>
      </c>
      <c r="B531" t="s">
        <v>10191</v>
      </c>
      <c r="C531" t="s">
        <v>10192</v>
      </c>
      <c r="D531" t="s">
        <v>10193</v>
      </c>
      <c r="E531" s="33" t="s">
        <v>28</v>
      </c>
      <c r="F531" s="34" t="s">
        <v>10194</v>
      </c>
      <c r="H531" s="36" t="str">
        <f>HYPERLINK("https://www.google.com/maps/?q=47.5622472220001,-52.7097416669999", "https://www.google.com/maps/?q=47.5622472220001,-52.7097416669999")</f>
        <v>https://www.google.com/maps/?q=47.5622472220001,-52.7097416669999</v>
      </c>
    </row>
    <row r="532" spans="1:8" ht="29" x14ac:dyDescent="0.35">
      <c r="A532" t="s">
        <v>10195</v>
      </c>
      <c r="B532" t="s">
        <v>10196</v>
      </c>
      <c r="C532" t="s">
        <v>10197</v>
      </c>
      <c r="D532" t="s">
        <v>10198</v>
      </c>
      <c r="E532" s="33" t="s">
        <v>28</v>
      </c>
      <c r="F532" s="34" t="s">
        <v>10199</v>
      </c>
      <c r="H532" s="36" t="str">
        <f>HYPERLINK("https://www.google.com/maps/?q=47.585819444,-52.7365944439999", "https://www.google.com/maps/?q=47.585819444,-52.7365944439999")</f>
        <v>https://www.google.com/maps/?q=47.585819444,-52.7365944439999</v>
      </c>
    </row>
    <row r="533" spans="1:8" ht="29" x14ac:dyDescent="0.35">
      <c r="A533" t="s">
        <v>10200</v>
      </c>
      <c r="B533" t="s">
        <v>10201</v>
      </c>
      <c r="C533" t="s">
        <v>10202</v>
      </c>
      <c r="D533" t="s">
        <v>10203</v>
      </c>
      <c r="E533" s="33" t="s">
        <v>28</v>
      </c>
      <c r="F533" s="34" t="s">
        <v>10204</v>
      </c>
      <c r="H533" s="36" t="str">
        <f>HYPERLINK("https://www.google.com/maps/?q=47.572869444,-52.689861111", "https://www.google.com/maps/?q=47.572869444,-52.689861111")</f>
        <v>https://www.google.com/maps/?q=47.572869444,-52.689861111</v>
      </c>
    </row>
    <row r="534" spans="1:8" ht="29" x14ac:dyDescent="0.35">
      <c r="A534" t="s">
        <v>10205</v>
      </c>
      <c r="B534" t="s">
        <v>10206</v>
      </c>
      <c r="C534" t="s">
        <v>10207</v>
      </c>
      <c r="D534" t="s">
        <v>10208</v>
      </c>
      <c r="E534" s="33" t="s">
        <v>28</v>
      </c>
      <c r="F534" s="34" t="s">
        <v>10209</v>
      </c>
      <c r="H534" s="36" t="str">
        <f>HYPERLINK("https://www.google.com/maps/?q=47.5855000000001,-52.7268", "https://www.google.com/maps/?q=47.5855000000001,-52.7268")</f>
        <v>https://www.google.com/maps/?q=47.5855000000001,-52.7268</v>
      </c>
    </row>
    <row r="535" spans="1:8" ht="29" x14ac:dyDescent="0.35">
      <c r="A535" t="s">
        <v>10210</v>
      </c>
      <c r="B535" t="s">
        <v>10211</v>
      </c>
      <c r="C535" t="s">
        <v>10212</v>
      </c>
      <c r="D535" t="s">
        <v>10213</v>
      </c>
      <c r="E535" s="33" t="s">
        <v>28</v>
      </c>
      <c r="F535" s="34" t="s">
        <v>10214</v>
      </c>
      <c r="H535" s="36" t="str">
        <f>HYPERLINK("https://www.google.com/maps/?q=48.95655,-57.928333333", "https://www.google.com/maps/?q=48.95655,-57.928333333")</f>
        <v>https://www.google.com/maps/?q=48.95655,-57.928333333</v>
      </c>
    </row>
    <row r="536" spans="1:8" x14ac:dyDescent="0.35">
      <c r="A536" t="s">
        <v>10215</v>
      </c>
      <c r="B536" t="s">
        <v>10216</v>
      </c>
      <c r="C536" t="s">
        <v>10217</v>
      </c>
      <c r="D536" t="s">
        <v>10218</v>
      </c>
      <c r="E536" s="33" t="s">
        <v>28</v>
      </c>
      <c r="F536" s="34" t="s">
        <v>10219</v>
      </c>
      <c r="H536" s="36" t="str">
        <f>HYPERLINK("https://www.google.com/maps/?q=49.077669444,-58.3729638889999", "https://www.google.com/maps/?q=49.077669444,-58.3729638889999")</f>
        <v>https://www.google.com/maps/?q=49.077669444,-58.3729638889999</v>
      </c>
    </row>
    <row r="537" spans="1:8" x14ac:dyDescent="0.35">
      <c r="A537" t="s">
        <v>10220</v>
      </c>
      <c r="B537" t="s">
        <v>10221</v>
      </c>
      <c r="C537" t="s">
        <v>10222</v>
      </c>
      <c r="D537" t="s">
        <v>10223</v>
      </c>
      <c r="E537" s="33" t="s">
        <v>50</v>
      </c>
      <c r="F537" s="34" t="s">
        <v>7504</v>
      </c>
      <c r="H537" s="36" t="str">
        <f>HYPERLINK("https://www.google.com/maps/?q=47.6277777780001,-53.834458333", "https://www.google.com/maps/?q=47.6277777780001,-53.834458333")</f>
        <v>https://www.google.com/maps/?q=47.6277777780001,-53.834458333</v>
      </c>
    </row>
    <row r="538" spans="1:8" ht="29" x14ac:dyDescent="0.35">
      <c r="A538" t="s">
        <v>10224</v>
      </c>
      <c r="B538" t="s">
        <v>10225</v>
      </c>
      <c r="C538" t="s">
        <v>10226</v>
      </c>
      <c r="D538" t="s">
        <v>10227</v>
      </c>
      <c r="E538" s="33" t="s">
        <v>461</v>
      </c>
      <c r="F538" s="34" t="s">
        <v>7349</v>
      </c>
      <c r="H538" s="36" t="str">
        <f>HYPERLINK("https://www.google.com/maps/?q=47.631069444,-52.730905556", "https://www.google.com/maps/?q=47.631069444,-52.730905556")</f>
        <v>https://www.google.com/maps/?q=47.631069444,-52.730905556</v>
      </c>
    </row>
    <row r="539" spans="1:8" ht="29" x14ac:dyDescent="0.35">
      <c r="A539" t="s">
        <v>10228</v>
      </c>
      <c r="B539" t="s">
        <v>10229</v>
      </c>
      <c r="C539" t="s">
        <v>10230</v>
      </c>
      <c r="D539" t="s">
        <v>10231</v>
      </c>
      <c r="E539" s="33" t="s">
        <v>50</v>
      </c>
      <c r="F539" s="34" t="s">
        <v>10232</v>
      </c>
      <c r="H539" s="36" t="str">
        <f>HYPERLINK("https://www.google.com/maps/?q=47.594352778,-52.727630556", "https://www.google.com/maps/?q=47.594352778,-52.727630556")</f>
        <v>https://www.google.com/maps/?q=47.594352778,-52.727630556</v>
      </c>
    </row>
    <row r="540" spans="1:8" ht="29" x14ac:dyDescent="0.35">
      <c r="A540" t="s">
        <v>10233</v>
      </c>
      <c r="B540" t="s">
        <v>10234</v>
      </c>
      <c r="C540" t="s">
        <v>10235</v>
      </c>
      <c r="D540" t="s">
        <v>10236</v>
      </c>
      <c r="E540" s="33" t="s">
        <v>1109</v>
      </c>
      <c r="F540" s="34" t="s">
        <v>10237</v>
      </c>
      <c r="H540" s="36" t="str">
        <f>HYPERLINK("https://www.google.com/maps/?q=52.9444444440001,-66.898833333", "https://www.google.com/maps/?q=52.9444444440001,-66.898833333")</f>
        <v>https://www.google.com/maps/?q=52.9444444440001,-66.898833333</v>
      </c>
    </row>
    <row r="541" spans="1:8" ht="29" x14ac:dyDescent="0.35">
      <c r="A541" t="s">
        <v>10238</v>
      </c>
      <c r="B541" t="s">
        <v>10239</v>
      </c>
      <c r="C541" t="s">
        <v>10240</v>
      </c>
      <c r="D541" t="s">
        <v>10241</v>
      </c>
      <c r="E541" s="33" t="s">
        <v>44</v>
      </c>
      <c r="F541" s="34" t="s">
        <v>7817</v>
      </c>
      <c r="H541" s="36" t="str">
        <f>HYPERLINK("https://www.google.com/maps/?q=47.2619527780001,-53.981736111", "https://www.google.com/maps/?q=47.2619527780001,-53.981736111")</f>
        <v>https://www.google.com/maps/?q=47.2619527780001,-53.981736111</v>
      </c>
    </row>
    <row r="542" spans="1:8" x14ac:dyDescent="0.35">
      <c r="A542" t="s">
        <v>10242</v>
      </c>
      <c r="B542" t="s">
        <v>10243</v>
      </c>
      <c r="C542" t="s">
        <v>10244</v>
      </c>
      <c r="D542" t="s">
        <v>10245</v>
      </c>
      <c r="E542" s="33" t="s">
        <v>1109</v>
      </c>
      <c r="F542" s="34" t="s">
        <v>8288</v>
      </c>
      <c r="H542" s="36" t="str">
        <f>HYPERLINK("https://www.google.com/maps/?q=52.6761111110001,-66.038055556", "https://www.google.com/maps/?q=52.6761111110001,-66.038055556")</f>
        <v>https://www.google.com/maps/?q=52.6761111110001,-66.038055556</v>
      </c>
    </row>
    <row r="543" spans="1:8" ht="29" x14ac:dyDescent="0.35">
      <c r="A543" t="s">
        <v>10246</v>
      </c>
      <c r="B543" t="s">
        <v>10247</v>
      </c>
      <c r="C543" t="s">
        <v>10248</v>
      </c>
      <c r="D543" t="s">
        <v>10249</v>
      </c>
      <c r="E543" s="33" t="s">
        <v>28</v>
      </c>
      <c r="F543" s="34" t="s">
        <v>10250</v>
      </c>
      <c r="H543" s="36" t="str">
        <f>HYPERLINK("https://www.google.com/maps/?q=47.0869388890001,-55.773333333", "https://www.google.com/maps/?q=47.0869388890001,-55.773333333")</f>
        <v>https://www.google.com/maps/?q=47.0869388890001,-55.773333333</v>
      </c>
    </row>
    <row r="544" spans="1:8" ht="29" x14ac:dyDescent="0.35">
      <c r="A544" t="s">
        <v>10251</v>
      </c>
      <c r="B544" t="s">
        <v>10252</v>
      </c>
      <c r="C544" t="s">
        <v>10253</v>
      </c>
      <c r="D544" t="s">
        <v>10254</v>
      </c>
      <c r="E544" s="33" t="s">
        <v>28</v>
      </c>
      <c r="F544" s="34" t="s">
        <v>10255</v>
      </c>
      <c r="H544" s="36" t="str">
        <f>HYPERLINK("https://www.google.com/maps/?q=48.960161111,-57.923605556", "https://www.google.com/maps/?q=48.960161111,-57.923605556")</f>
        <v>https://www.google.com/maps/?q=48.960161111,-57.923605556</v>
      </c>
    </row>
    <row r="545" spans="1:8" ht="29" x14ac:dyDescent="0.35">
      <c r="A545" t="s">
        <v>10256</v>
      </c>
      <c r="B545" t="s">
        <v>10257</v>
      </c>
      <c r="C545" t="s">
        <v>10258</v>
      </c>
      <c r="D545" t="s">
        <v>10259</v>
      </c>
      <c r="E545" s="33" t="s">
        <v>28</v>
      </c>
      <c r="F545" s="34" t="s">
        <v>10260</v>
      </c>
      <c r="H545" s="36" t="str">
        <f>HYPERLINK("https://www.google.com/maps/?q=48.9532083330001,-58.017341667", "https://www.google.com/maps/?q=48.9532083330001,-58.017341667")</f>
        <v>https://www.google.com/maps/?q=48.9532083330001,-58.017341667</v>
      </c>
    </row>
    <row r="546" spans="1:8" ht="29" x14ac:dyDescent="0.35">
      <c r="A546" t="s">
        <v>10261</v>
      </c>
      <c r="B546" t="s">
        <v>10262</v>
      </c>
      <c r="C546" t="s">
        <v>10263</v>
      </c>
      <c r="D546" t="s">
        <v>10264</v>
      </c>
      <c r="E546" s="33" t="s">
        <v>28</v>
      </c>
      <c r="F546" s="34" t="s">
        <v>7553</v>
      </c>
      <c r="H546" s="36" t="str">
        <f>HYPERLINK("https://www.google.com/maps/?q=49.072022222,-58.3761499999999", "https://www.google.com/maps/?q=49.072022222,-58.3761499999999")</f>
        <v>https://www.google.com/maps/?q=49.072022222,-58.3761499999999</v>
      </c>
    </row>
    <row r="547" spans="1:8" x14ac:dyDescent="0.35">
      <c r="A547" t="s">
        <v>10265</v>
      </c>
      <c r="B547" t="s">
        <v>10266</v>
      </c>
      <c r="C547" t="s">
        <v>10267</v>
      </c>
      <c r="D547" t="s">
        <v>10268</v>
      </c>
      <c r="E547" s="33" t="s">
        <v>44</v>
      </c>
      <c r="F547" s="34" t="s">
        <v>10269</v>
      </c>
      <c r="H547" s="36" t="str">
        <f>HYPERLINK("https://www.google.com/maps/?q=49.1978194440001,-55.3683694439999", "https://www.google.com/maps/?q=49.1978194440001,-55.3683694439999")</f>
        <v>https://www.google.com/maps/?q=49.1978194440001,-55.3683694439999</v>
      </c>
    </row>
    <row r="548" spans="1:8" ht="29" x14ac:dyDescent="0.35">
      <c r="A548" t="s">
        <v>10270</v>
      </c>
      <c r="B548" t="s">
        <v>10271</v>
      </c>
      <c r="C548" t="s">
        <v>10272</v>
      </c>
      <c r="D548" t="s">
        <v>10273</v>
      </c>
      <c r="E548" s="33" t="s">
        <v>28</v>
      </c>
      <c r="F548" s="34" t="s">
        <v>10274</v>
      </c>
      <c r="H548" s="36" t="str">
        <f>HYPERLINK("https://www.google.com/maps/?q=47.5126194440001,-52.800927778", "https://www.google.com/maps/?q=47.5126194440001,-52.800927778")</f>
        <v>https://www.google.com/maps/?q=47.5126194440001,-52.800927778</v>
      </c>
    </row>
    <row r="549" spans="1:8" ht="29" x14ac:dyDescent="0.35">
      <c r="A549" t="s">
        <v>10275</v>
      </c>
      <c r="B549" t="s">
        <v>10276</v>
      </c>
      <c r="C549" t="s">
        <v>10277</v>
      </c>
      <c r="D549" t="s">
        <v>10278</v>
      </c>
      <c r="E549" s="33" t="s">
        <v>28</v>
      </c>
      <c r="F549" s="34" t="s">
        <v>10279</v>
      </c>
      <c r="H549" s="36" t="str">
        <f>HYPERLINK("https://www.google.com/maps/?q=47.5588527780001,-52.769286111", "https://www.google.com/maps/?q=47.5588527780001,-52.769286111")</f>
        <v>https://www.google.com/maps/?q=47.5588527780001,-52.769286111</v>
      </c>
    </row>
    <row r="550" spans="1:8" x14ac:dyDescent="0.35">
      <c r="A550" t="s">
        <v>10280</v>
      </c>
      <c r="B550" t="s">
        <v>10281</v>
      </c>
      <c r="C550" t="s">
        <v>10282</v>
      </c>
      <c r="D550" t="s">
        <v>10283</v>
      </c>
      <c r="E550" s="33" t="s">
        <v>28</v>
      </c>
      <c r="F550" s="34" t="s">
        <v>10284</v>
      </c>
      <c r="H550" s="36" t="str">
        <f>HYPERLINK("https://www.google.com/maps/?q=50.8952416670001,-55.8847777779999", "https://www.google.com/maps/?q=50.8952416670001,-55.8847777779999")</f>
        <v>https://www.google.com/maps/?q=50.8952416670001,-55.8847777779999</v>
      </c>
    </row>
    <row r="551" spans="1:8" ht="29" x14ac:dyDescent="0.35">
      <c r="A551" t="s">
        <v>10285</v>
      </c>
      <c r="B551" t="s">
        <v>10286</v>
      </c>
      <c r="C551" t="s">
        <v>10287</v>
      </c>
      <c r="D551" t="s">
        <v>10288</v>
      </c>
      <c r="E551" s="33" t="s">
        <v>28</v>
      </c>
      <c r="F551" s="34" t="s">
        <v>10289</v>
      </c>
      <c r="H551" s="36" t="str">
        <f>HYPERLINK("https://www.google.com/maps/?q=47.5463833330001,-52.7496305559999", "https://www.google.com/maps/?q=47.5463833330001,-52.7496305559999")</f>
        <v>https://www.google.com/maps/?q=47.5463833330001,-52.7496305559999</v>
      </c>
    </row>
    <row r="552" spans="1:8" ht="29" x14ac:dyDescent="0.35">
      <c r="A552" t="s">
        <v>10290</v>
      </c>
      <c r="B552" t="s">
        <v>10291</v>
      </c>
      <c r="C552" t="s">
        <v>10292</v>
      </c>
      <c r="D552" t="s">
        <v>10293</v>
      </c>
      <c r="E552" s="33" t="s">
        <v>28</v>
      </c>
      <c r="F552" s="34" t="s">
        <v>10294</v>
      </c>
      <c r="H552" s="36" t="str">
        <f>HYPERLINK("https://www.google.com/maps/?q=47.5569583330001,-52.735416667", "https://www.google.com/maps/?q=47.5569583330001,-52.735416667")</f>
        <v>https://www.google.com/maps/?q=47.5569583330001,-52.735416667</v>
      </c>
    </row>
    <row r="553" spans="1:8" ht="29" x14ac:dyDescent="0.35">
      <c r="A553" t="s">
        <v>10295</v>
      </c>
      <c r="B553" t="s">
        <v>10296</v>
      </c>
      <c r="C553" t="s">
        <v>10297</v>
      </c>
      <c r="D553" t="s">
        <v>10298</v>
      </c>
      <c r="E553" s="33" t="s">
        <v>28</v>
      </c>
      <c r="F553" s="34" t="s">
        <v>10299</v>
      </c>
      <c r="H553" s="36" t="str">
        <f>HYPERLINK("https://www.google.com/maps/?q=47.539341667,-52.8670194439999", "https://www.google.com/maps/?q=47.539341667,-52.8670194439999")</f>
        <v>https://www.google.com/maps/?q=47.539341667,-52.8670194439999</v>
      </c>
    </row>
    <row r="554" spans="1:8" ht="29" x14ac:dyDescent="0.35">
      <c r="A554" t="s">
        <v>10300</v>
      </c>
      <c r="B554" t="s">
        <v>10301</v>
      </c>
      <c r="C554" t="s">
        <v>10302</v>
      </c>
      <c r="D554" t="s">
        <v>10303</v>
      </c>
      <c r="E554" s="33" t="s">
        <v>28</v>
      </c>
      <c r="F554" s="34" t="s">
        <v>10304</v>
      </c>
      <c r="H554" s="36" t="str">
        <f>HYPERLINK("https://www.google.com/maps/?q=47.649566667,-52.698194444", "https://www.google.com/maps/?q=47.649566667,-52.698194444")</f>
        <v>https://www.google.com/maps/?q=47.649566667,-52.698194444</v>
      </c>
    </row>
    <row r="555" spans="1:8" ht="29" x14ac:dyDescent="0.35">
      <c r="A555" t="s">
        <v>10305</v>
      </c>
      <c r="B555" t="s">
        <v>10306</v>
      </c>
      <c r="C555" t="s">
        <v>10307</v>
      </c>
      <c r="D555" t="s">
        <v>10308</v>
      </c>
      <c r="E555" s="33" t="s">
        <v>66</v>
      </c>
      <c r="F555" s="34" t="s">
        <v>7272</v>
      </c>
      <c r="H555" s="36" t="str">
        <f>HYPERLINK("https://www.google.com/maps/?q=47.4824611110001,-53.0166027779999", "https://www.google.com/maps/?q=47.4824611110001,-53.0166027779999")</f>
        <v>https://www.google.com/maps/?q=47.4824611110001,-53.0166027779999</v>
      </c>
    </row>
    <row r="556" spans="1:8" ht="29" x14ac:dyDescent="0.35">
      <c r="A556" t="s">
        <v>10309</v>
      </c>
      <c r="B556" t="s">
        <v>10310</v>
      </c>
      <c r="C556" t="s">
        <v>10311</v>
      </c>
      <c r="D556" t="s">
        <v>10312</v>
      </c>
      <c r="E556" s="33" t="s">
        <v>50</v>
      </c>
      <c r="F556" s="34" t="s">
        <v>10313</v>
      </c>
      <c r="H556" s="36" t="str">
        <f>HYPERLINK("https://www.google.com/maps/?q=47.5978388890001,-52.7279583329999", "https://www.google.com/maps/?q=47.5978388890001,-52.7279583329999")</f>
        <v>https://www.google.com/maps/?q=47.5978388890001,-52.7279583329999</v>
      </c>
    </row>
    <row r="557" spans="1:8" x14ac:dyDescent="0.35">
      <c r="A557" t="s">
        <v>10314</v>
      </c>
      <c r="B557" t="s">
        <v>10315</v>
      </c>
      <c r="C557" t="s">
        <v>10316</v>
      </c>
      <c r="D557" t="s">
        <v>10317</v>
      </c>
      <c r="E557" s="33" t="s">
        <v>6451</v>
      </c>
      <c r="F557" s="34" t="s">
        <v>8288</v>
      </c>
      <c r="H557" s="36" t="str">
        <f>HYPERLINK("https://www.google.com/maps/?q=52.906825,-66.957222222", "https://www.google.com/maps/?q=52.906825,-66.957222222")</f>
        <v>https://www.google.com/maps/?q=52.906825,-66.957222222</v>
      </c>
    </row>
    <row r="558" spans="1:8" ht="29" x14ac:dyDescent="0.35">
      <c r="A558" t="s">
        <v>10318</v>
      </c>
      <c r="B558" t="s">
        <v>10319</v>
      </c>
      <c r="C558" t="s">
        <v>10320</v>
      </c>
      <c r="D558" t="s">
        <v>10321</v>
      </c>
      <c r="E558" s="33" t="s">
        <v>28</v>
      </c>
      <c r="F558" s="34" t="s">
        <v>10322</v>
      </c>
      <c r="H558" s="36" t="str">
        <f>HYPERLINK("https://www.google.com/maps/?q=48.9371194440001,-57.886930556", "https://www.google.com/maps/?q=48.9371194440001,-57.886930556")</f>
        <v>https://www.google.com/maps/?q=48.9371194440001,-57.886930556</v>
      </c>
    </row>
    <row r="559" spans="1:8" ht="29" x14ac:dyDescent="0.35">
      <c r="A559" t="s">
        <v>10323</v>
      </c>
      <c r="B559" t="s">
        <v>10324</v>
      </c>
      <c r="C559" t="s">
        <v>10325</v>
      </c>
      <c r="D559" t="s">
        <v>10326</v>
      </c>
      <c r="E559" s="33" t="s">
        <v>28</v>
      </c>
      <c r="F559" s="34" t="s">
        <v>10327</v>
      </c>
      <c r="H559" s="36" t="str">
        <f>HYPERLINK("https://www.google.com/maps/?q=47.5489805560001,-52.750127778", "https://www.google.com/maps/?q=47.5489805560001,-52.750127778")</f>
        <v>https://www.google.com/maps/?q=47.5489805560001,-52.750127778</v>
      </c>
    </row>
    <row r="560" spans="1:8" ht="29" x14ac:dyDescent="0.35">
      <c r="A560" t="s">
        <v>10328</v>
      </c>
      <c r="B560" t="s">
        <v>10329</v>
      </c>
      <c r="C560" t="s">
        <v>10330</v>
      </c>
      <c r="D560" t="s">
        <v>10331</v>
      </c>
      <c r="E560" s="33" t="s">
        <v>28</v>
      </c>
      <c r="F560" s="34" t="s">
        <v>10332</v>
      </c>
      <c r="H560" s="36" t="str">
        <f>HYPERLINK("https://www.google.com/maps/?q=47.592025,-52.731188889", "https://www.google.com/maps/?q=47.592025,-52.731188889")</f>
        <v>https://www.google.com/maps/?q=47.592025,-52.731188889</v>
      </c>
    </row>
    <row r="561" spans="1:8" ht="29" x14ac:dyDescent="0.35">
      <c r="A561" t="s">
        <v>10333</v>
      </c>
      <c r="B561" t="s">
        <v>10334</v>
      </c>
      <c r="C561" t="s">
        <v>10335</v>
      </c>
      <c r="D561" t="s">
        <v>10336</v>
      </c>
      <c r="E561" s="33" t="s">
        <v>44</v>
      </c>
      <c r="F561" s="34" t="s">
        <v>10337</v>
      </c>
      <c r="H561" s="36" t="str">
        <f>HYPERLINK("https://www.google.com/maps/?q=48.955755556,-55.792233333", "https://www.google.com/maps/?q=48.955755556,-55.792233333")</f>
        <v>https://www.google.com/maps/?q=48.955755556,-55.792233333</v>
      </c>
    </row>
    <row r="562" spans="1:8" x14ac:dyDescent="0.35">
      <c r="A562" t="s">
        <v>10338</v>
      </c>
      <c r="B562" t="s">
        <v>10339</v>
      </c>
      <c r="C562" t="s">
        <v>10340</v>
      </c>
      <c r="D562" t="s">
        <v>10341</v>
      </c>
      <c r="E562" s="33" t="s">
        <v>28</v>
      </c>
      <c r="F562" s="34" t="s">
        <v>7366</v>
      </c>
      <c r="H562" s="36" t="str">
        <f>HYPERLINK("https://www.google.com/maps/?q=48.614169444,-53.153330556", "https://www.google.com/maps/?q=48.614169444,-53.153330556")</f>
        <v>https://www.google.com/maps/?q=48.614169444,-53.153330556</v>
      </c>
    </row>
    <row r="563" spans="1:8" x14ac:dyDescent="0.35">
      <c r="A563" t="s">
        <v>10342</v>
      </c>
      <c r="B563" t="s">
        <v>10343</v>
      </c>
      <c r="C563" t="s">
        <v>10344</v>
      </c>
      <c r="D563" t="s">
        <v>10345</v>
      </c>
      <c r="E563" s="33" t="s">
        <v>28</v>
      </c>
      <c r="F563" s="34" t="s">
        <v>10346</v>
      </c>
      <c r="H563" s="36" t="str">
        <f>HYPERLINK("https://www.google.com/maps/?q=50.144719444,-57.6263861109999", "https://www.google.com/maps/?q=50.144719444,-57.6263861109999")</f>
        <v>https://www.google.com/maps/?q=50.144719444,-57.6263861109999</v>
      </c>
    </row>
    <row r="564" spans="1:8" ht="29" x14ac:dyDescent="0.35">
      <c r="A564" t="s">
        <v>10347</v>
      </c>
      <c r="B564" t="s">
        <v>10348</v>
      </c>
      <c r="C564" t="s">
        <v>10349</v>
      </c>
      <c r="D564" t="s">
        <v>10350</v>
      </c>
      <c r="E564" s="33" t="s">
        <v>50</v>
      </c>
      <c r="F564" s="34" t="s">
        <v>10351</v>
      </c>
      <c r="H564" s="36" t="str">
        <f>HYPERLINK("https://www.google.com/maps/?q=47.4630666670001,-52.771427778", "https://www.google.com/maps/?q=47.4630666670001,-52.771427778")</f>
        <v>https://www.google.com/maps/?q=47.4630666670001,-52.771427778</v>
      </c>
    </row>
    <row r="565" spans="1:8" ht="29" x14ac:dyDescent="0.35">
      <c r="A565" t="s">
        <v>10352</v>
      </c>
      <c r="B565" t="s">
        <v>10353</v>
      </c>
      <c r="C565" t="s">
        <v>10354</v>
      </c>
      <c r="D565" t="s">
        <v>10355</v>
      </c>
      <c r="E565" s="33" t="s">
        <v>28</v>
      </c>
      <c r="F565" s="34" t="s">
        <v>7456</v>
      </c>
      <c r="H565" s="36" t="str">
        <f>HYPERLINK("https://www.google.com/maps/?q=47.589630556,-59.1632361109999", "https://www.google.com/maps/?q=47.589630556,-59.1632361109999")</f>
        <v>https://www.google.com/maps/?q=47.589630556,-59.1632361109999</v>
      </c>
    </row>
    <row r="566" spans="1:8" ht="29" x14ac:dyDescent="0.35">
      <c r="A566" t="s">
        <v>10356</v>
      </c>
      <c r="B566" t="s">
        <v>10357</v>
      </c>
      <c r="C566" t="s">
        <v>10358</v>
      </c>
      <c r="D566" t="s">
        <v>10359</v>
      </c>
      <c r="E566" s="33" t="s">
        <v>28</v>
      </c>
      <c r="F566" s="34" t="s">
        <v>10360</v>
      </c>
      <c r="H566" s="36" t="str">
        <f>HYPERLINK("https://www.google.com/maps/?q=49.2101805560001,-57.3988388889999", "https://www.google.com/maps/?q=49.2101805560001,-57.3988388889999")</f>
        <v>https://www.google.com/maps/?q=49.2101805560001,-57.3988388889999</v>
      </c>
    </row>
    <row r="567" spans="1:8" ht="29" x14ac:dyDescent="0.35">
      <c r="A567" t="s">
        <v>10361</v>
      </c>
      <c r="B567" t="s">
        <v>10362</v>
      </c>
      <c r="C567" t="s">
        <v>10363</v>
      </c>
      <c r="D567" t="s">
        <v>10364</v>
      </c>
      <c r="E567" s="33" t="s">
        <v>28</v>
      </c>
      <c r="F567" s="34" t="s">
        <v>10365</v>
      </c>
      <c r="H567" s="36" t="str">
        <f>HYPERLINK("https://www.google.com/maps/?q=48.9576638890001,-57.9192666669999", "https://www.google.com/maps/?q=48.9576638890001,-57.9192666669999")</f>
        <v>https://www.google.com/maps/?q=48.9576638890001,-57.9192666669999</v>
      </c>
    </row>
    <row r="568" spans="1:8" ht="29" x14ac:dyDescent="0.35">
      <c r="A568" t="s">
        <v>10366</v>
      </c>
      <c r="B568" t="s">
        <v>10367</v>
      </c>
      <c r="C568" t="s">
        <v>10368</v>
      </c>
      <c r="D568" t="s">
        <v>10369</v>
      </c>
      <c r="E568" s="33" t="s">
        <v>28</v>
      </c>
      <c r="F568" s="34" t="s">
        <v>10370</v>
      </c>
      <c r="H568" s="36" t="str">
        <f>HYPERLINK("https://www.google.com/maps/?q=47.867783333,-53.363233333", "https://www.google.com/maps/?q=47.867783333,-53.363233333")</f>
        <v>https://www.google.com/maps/?q=47.867783333,-53.363233333</v>
      </c>
    </row>
    <row r="569" spans="1:8" ht="29" x14ac:dyDescent="0.35">
      <c r="A569" t="s">
        <v>10371</v>
      </c>
      <c r="B569" t="s">
        <v>10372</v>
      </c>
      <c r="C569" t="s">
        <v>10373</v>
      </c>
      <c r="D569" t="s">
        <v>10374</v>
      </c>
      <c r="E569" s="33" t="s">
        <v>28</v>
      </c>
      <c r="F569" s="34" t="s">
        <v>10375</v>
      </c>
      <c r="H569" s="36" t="str">
        <f>HYPERLINK("https://www.google.com/maps/?q=47.537480556,-52.858438889", "https://www.google.com/maps/?q=47.537480556,-52.858438889")</f>
        <v>https://www.google.com/maps/?q=47.537480556,-52.858438889</v>
      </c>
    </row>
    <row r="570" spans="1:8" ht="29" x14ac:dyDescent="0.35">
      <c r="A570" t="s">
        <v>10376</v>
      </c>
      <c r="B570" t="s">
        <v>10377</v>
      </c>
      <c r="C570" t="s">
        <v>10378</v>
      </c>
      <c r="D570" t="s">
        <v>10379</v>
      </c>
      <c r="E570" s="33" t="s">
        <v>28</v>
      </c>
      <c r="F570" s="34" t="s">
        <v>10380</v>
      </c>
      <c r="H570" s="36" t="str">
        <f>HYPERLINK("https://www.google.com/maps/?q=47.2849000000001,-52.8319999999999", "https://www.google.com/maps/?q=47.2849000000001,-52.8319999999999")</f>
        <v>https://www.google.com/maps/?q=47.2849000000001,-52.8319999999999</v>
      </c>
    </row>
    <row r="571" spans="1:8" ht="29" x14ac:dyDescent="0.35">
      <c r="A571" t="s">
        <v>10381</v>
      </c>
      <c r="B571" t="s">
        <v>10382</v>
      </c>
      <c r="C571" t="s">
        <v>10383</v>
      </c>
      <c r="D571" t="s">
        <v>10384</v>
      </c>
      <c r="E571" s="33" t="s">
        <v>28</v>
      </c>
      <c r="F571" s="34" t="s">
        <v>10385</v>
      </c>
      <c r="H571" s="36" t="str">
        <f>HYPERLINK("https://www.google.com/maps/?q=47.586005556,-52.694619444", "https://www.google.com/maps/?q=47.586005556,-52.694619444")</f>
        <v>https://www.google.com/maps/?q=47.586005556,-52.694619444</v>
      </c>
    </row>
    <row r="572" spans="1:8" ht="29" x14ac:dyDescent="0.35">
      <c r="A572" t="s">
        <v>10386</v>
      </c>
      <c r="B572" t="s">
        <v>10387</v>
      </c>
      <c r="C572" t="s">
        <v>10388</v>
      </c>
      <c r="D572" t="s">
        <v>10389</v>
      </c>
      <c r="E572" s="33" t="s">
        <v>28</v>
      </c>
      <c r="F572" s="34" t="s">
        <v>10390</v>
      </c>
      <c r="H572" s="36" t="str">
        <f>HYPERLINK("https://www.google.com/maps/?q=49.9127472220001,-57.795011111", "https://www.google.com/maps/?q=49.9127472220001,-57.795011111")</f>
        <v>https://www.google.com/maps/?q=49.9127472220001,-57.795011111</v>
      </c>
    </row>
    <row r="573" spans="1:8" ht="29" x14ac:dyDescent="0.35">
      <c r="A573" t="s">
        <v>10391</v>
      </c>
      <c r="B573" t="s">
        <v>10392</v>
      </c>
      <c r="C573" t="s">
        <v>10393</v>
      </c>
      <c r="D573" t="s">
        <v>10394</v>
      </c>
      <c r="E573" s="33" t="s">
        <v>28</v>
      </c>
      <c r="F573" s="34" t="s">
        <v>10395</v>
      </c>
      <c r="H573" s="36" t="str">
        <f>HYPERLINK("https://www.google.com/maps/?q=47.519163889,-57.389719444", "https://www.google.com/maps/?q=47.519163889,-57.389719444")</f>
        <v>https://www.google.com/maps/?q=47.519163889,-57.389719444</v>
      </c>
    </row>
    <row r="574" spans="1:8" ht="29" x14ac:dyDescent="0.35">
      <c r="A574" t="s">
        <v>10396</v>
      </c>
      <c r="B574" t="s">
        <v>10397</v>
      </c>
      <c r="C574" t="s">
        <v>10398</v>
      </c>
      <c r="D574" t="s">
        <v>10399</v>
      </c>
      <c r="E574" s="33" t="s">
        <v>28</v>
      </c>
      <c r="F574" s="34" t="s">
        <v>10400</v>
      </c>
      <c r="H574" s="36" t="str">
        <f>HYPERLINK("https://www.google.com/maps/?q=47.559913889,-52.776111111", "https://www.google.com/maps/?q=47.559913889,-52.776111111")</f>
        <v>https://www.google.com/maps/?q=47.559913889,-52.776111111</v>
      </c>
    </row>
    <row r="575" spans="1:8" ht="29" x14ac:dyDescent="0.35">
      <c r="A575" t="s">
        <v>10401</v>
      </c>
      <c r="B575" t="s">
        <v>10402</v>
      </c>
      <c r="C575" t="s">
        <v>10403</v>
      </c>
      <c r="D575" t="s">
        <v>10404</v>
      </c>
      <c r="E575" s="33" t="s">
        <v>28</v>
      </c>
      <c r="F575" s="34" t="s">
        <v>10405</v>
      </c>
      <c r="H575" s="36" t="str">
        <f>HYPERLINK("https://www.google.com/maps/?q=47.560244444,-52.758472222", "https://www.google.com/maps/?q=47.560244444,-52.758472222")</f>
        <v>https://www.google.com/maps/?q=47.560244444,-52.758472222</v>
      </c>
    </row>
    <row r="576" spans="1:8" ht="29" x14ac:dyDescent="0.35">
      <c r="A576" t="s">
        <v>10406</v>
      </c>
      <c r="B576" t="s">
        <v>10407</v>
      </c>
      <c r="C576" t="s">
        <v>10408</v>
      </c>
      <c r="D576" t="s">
        <v>10409</v>
      </c>
      <c r="E576" s="33" t="s">
        <v>28</v>
      </c>
      <c r="F576" s="34" t="s">
        <v>10410</v>
      </c>
      <c r="H576" s="36" t="str">
        <f>HYPERLINK("https://www.google.com/maps/?q=47.583027778,-59.1639222219999", "https://www.google.com/maps/?q=47.583027778,-59.1639222219999")</f>
        <v>https://www.google.com/maps/?q=47.583027778,-59.1639222219999</v>
      </c>
    </row>
    <row r="577" spans="1:8" ht="29" x14ac:dyDescent="0.35">
      <c r="A577" t="s">
        <v>10411</v>
      </c>
      <c r="B577" t="s">
        <v>10412</v>
      </c>
      <c r="C577" t="s">
        <v>10413</v>
      </c>
      <c r="D577" t="s">
        <v>10414</v>
      </c>
      <c r="E577" s="33" t="s">
        <v>461</v>
      </c>
      <c r="F577" s="34" t="s">
        <v>10415</v>
      </c>
      <c r="H577" s="36" t="str">
        <f>HYPERLINK("https://www.google.com/maps/?q=47.6358527780001,-52.735780556", "https://www.google.com/maps/?q=47.6358527780001,-52.735780556")</f>
        <v>https://www.google.com/maps/?q=47.6358527780001,-52.735780556</v>
      </c>
    </row>
    <row r="578" spans="1:8" ht="29" x14ac:dyDescent="0.35">
      <c r="A578" t="s">
        <v>10416</v>
      </c>
      <c r="B578" t="s">
        <v>10417</v>
      </c>
      <c r="C578" t="s">
        <v>10418</v>
      </c>
      <c r="D578" t="s">
        <v>10419</v>
      </c>
      <c r="E578" s="33" t="s">
        <v>66</v>
      </c>
      <c r="F578" s="34" t="s">
        <v>9633</v>
      </c>
      <c r="H578" s="36" t="str">
        <f>HYPERLINK("https://www.google.com/maps/?q=47.539927778,-52.922633333", "https://www.google.com/maps/?q=47.539927778,-52.922633333")</f>
        <v>https://www.google.com/maps/?q=47.539927778,-52.922633333</v>
      </c>
    </row>
    <row r="579" spans="1:8" x14ac:dyDescent="0.35">
      <c r="A579" t="s">
        <v>10022</v>
      </c>
      <c r="B579" t="s">
        <v>10420</v>
      </c>
      <c r="C579" t="s">
        <v>10024</v>
      </c>
      <c r="D579" t="s">
        <v>10421</v>
      </c>
      <c r="E579" s="33" t="s">
        <v>17</v>
      </c>
      <c r="F579" s="34" t="s">
        <v>10026</v>
      </c>
      <c r="H579" s="36" t="str">
        <f>HYPERLINK("https://www.google.com/maps/?q=51.0966666670001,-55.7472222219999", "https://www.google.com/maps/?q=51.0966666670001,-55.7472222219999")</f>
        <v>https://www.google.com/maps/?q=51.0966666670001,-55.7472222219999</v>
      </c>
    </row>
    <row r="580" spans="1:8" ht="29" x14ac:dyDescent="0.35">
      <c r="A580" t="s">
        <v>10422</v>
      </c>
      <c r="B580" t="s">
        <v>10423</v>
      </c>
      <c r="C580" t="s">
        <v>10424</v>
      </c>
      <c r="D580" t="s">
        <v>10425</v>
      </c>
      <c r="E580" s="33" t="s">
        <v>50</v>
      </c>
      <c r="F580" s="34" t="s">
        <v>10426</v>
      </c>
      <c r="H580" s="36" t="str">
        <f>HYPERLINK("https://www.google.com/maps/?q=47.5981694440001,-59.179036111", "https://www.google.com/maps/?q=47.5981694440001,-59.179036111")</f>
        <v>https://www.google.com/maps/?q=47.5981694440001,-59.179036111</v>
      </c>
    </row>
    <row r="581" spans="1:8" ht="29" x14ac:dyDescent="0.35">
      <c r="A581" t="s">
        <v>7396</v>
      </c>
      <c r="B581" t="s">
        <v>10427</v>
      </c>
      <c r="C581" t="s">
        <v>7398</v>
      </c>
      <c r="D581" t="s">
        <v>10428</v>
      </c>
      <c r="E581" s="33" t="s">
        <v>66</v>
      </c>
      <c r="F581" s="34" t="s">
        <v>10429</v>
      </c>
      <c r="H581" s="36" t="str">
        <f>HYPERLINK("https://www.google.com/maps/?q=47.6335,-52.794472222", "https://www.google.com/maps/?q=47.6335,-52.794472222")</f>
        <v>https://www.google.com/maps/?q=47.6335,-52.794472222</v>
      </c>
    </row>
    <row r="582" spans="1:8" x14ac:dyDescent="0.35">
      <c r="A582" t="s">
        <v>10430</v>
      </c>
      <c r="B582" t="s">
        <v>10431</v>
      </c>
      <c r="C582" t="s">
        <v>10432</v>
      </c>
      <c r="D582" t="s">
        <v>10433</v>
      </c>
      <c r="E582" s="33" t="s">
        <v>1109</v>
      </c>
      <c r="F582" s="34" t="s">
        <v>8288</v>
      </c>
      <c r="H582" s="36" t="str">
        <f>HYPERLINK("https://www.google.com/maps/?q=54.8002777780001,-66.851944444", "https://www.google.com/maps/?q=54.8002777780001,-66.851944444")</f>
        <v>https://www.google.com/maps/?q=54.8002777780001,-66.851944444</v>
      </c>
    </row>
    <row r="583" spans="1:8" x14ac:dyDescent="0.35">
      <c r="A583" t="s">
        <v>10434</v>
      </c>
      <c r="B583" t="s">
        <v>10435</v>
      </c>
      <c r="C583" t="s">
        <v>10436</v>
      </c>
      <c r="D583" t="s">
        <v>10437</v>
      </c>
      <c r="E583" s="33" t="s">
        <v>1109</v>
      </c>
      <c r="F583" s="34" t="s">
        <v>10438</v>
      </c>
      <c r="H583" s="36" t="str">
        <f>HYPERLINK("https://www.google.com/maps/?q=53.0647222220001,-66.4941666669999", "https://www.google.com/maps/?q=53.0647222220001,-66.4941666669999")</f>
        <v>https://www.google.com/maps/?q=53.0647222220001,-66.4941666669999</v>
      </c>
    </row>
    <row r="584" spans="1:8" ht="29" x14ac:dyDescent="0.35">
      <c r="A584" t="s">
        <v>10439</v>
      </c>
      <c r="B584" t="s">
        <v>10440</v>
      </c>
      <c r="C584" t="s">
        <v>10441</v>
      </c>
      <c r="D584" t="s">
        <v>10442</v>
      </c>
      <c r="E584" s="33" t="s">
        <v>28</v>
      </c>
      <c r="F584" s="34" t="s">
        <v>10443</v>
      </c>
      <c r="H584" s="36" t="str">
        <f>HYPERLINK("https://www.google.com/maps/?q=47.5156944440001,-52.8061611109999", "https://www.google.com/maps/?q=47.5156944440001,-52.8061611109999")</f>
        <v>https://www.google.com/maps/?q=47.5156944440001,-52.8061611109999</v>
      </c>
    </row>
    <row r="585" spans="1:8" ht="29" x14ac:dyDescent="0.35">
      <c r="A585" t="s">
        <v>10444</v>
      </c>
      <c r="B585" t="s">
        <v>10445</v>
      </c>
      <c r="C585" t="s">
        <v>10446</v>
      </c>
      <c r="D585" t="s">
        <v>10447</v>
      </c>
      <c r="E585" s="33" t="s">
        <v>28</v>
      </c>
      <c r="F585" s="34" t="s">
        <v>10448</v>
      </c>
      <c r="H585" s="36" t="str">
        <f>HYPERLINK("https://www.google.com/maps/?q=47.5321916670001,-52.855161111", "https://www.google.com/maps/?q=47.5321916670001,-52.855161111")</f>
        <v>https://www.google.com/maps/?q=47.5321916670001,-52.855161111</v>
      </c>
    </row>
    <row r="586" spans="1:8" x14ac:dyDescent="0.35">
      <c r="A586" t="s">
        <v>10449</v>
      </c>
      <c r="B586" t="s">
        <v>10450</v>
      </c>
      <c r="C586" t="s">
        <v>10451</v>
      </c>
      <c r="D586" t="s">
        <v>10452</v>
      </c>
      <c r="E586" s="33" t="s">
        <v>44</v>
      </c>
      <c r="F586" s="34" t="s">
        <v>7366</v>
      </c>
      <c r="H586" s="36" t="str">
        <f>HYPERLINK("https://www.google.com/maps/?q=47.8299388890001,-53.940958333", "https://www.google.com/maps/?q=47.8299388890001,-53.940958333")</f>
        <v>https://www.google.com/maps/?q=47.8299388890001,-53.940958333</v>
      </c>
    </row>
    <row r="587" spans="1:8" x14ac:dyDescent="0.35">
      <c r="A587" t="s">
        <v>10453</v>
      </c>
      <c r="B587" t="s">
        <v>10454</v>
      </c>
      <c r="C587" t="s">
        <v>10455</v>
      </c>
      <c r="D587" t="s">
        <v>10456</v>
      </c>
      <c r="E587" s="33" t="s">
        <v>28</v>
      </c>
      <c r="F587" s="34" t="s">
        <v>10457</v>
      </c>
      <c r="H587" s="36" t="str">
        <f>HYPERLINK("https://www.google.com/maps/?q=49.7149027780001,-54.276108333", "https://www.google.com/maps/?q=49.7149027780001,-54.276108333")</f>
        <v>https://www.google.com/maps/?q=49.7149027780001,-54.276108333</v>
      </c>
    </row>
    <row r="588" spans="1:8" ht="29" x14ac:dyDescent="0.35">
      <c r="A588" t="s">
        <v>10458</v>
      </c>
      <c r="B588" t="s">
        <v>10459</v>
      </c>
      <c r="C588" t="s">
        <v>10460</v>
      </c>
      <c r="D588" t="s">
        <v>10461</v>
      </c>
      <c r="E588" s="33" t="s">
        <v>28</v>
      </c>
      <c r="F588" s="34" t="s">
        <v>10462</v>
      </c>
      <c r="H588" s="36" t="str">
        <f>HYPERLINK("https://www.google.com/maps/?q=48.9442750000001,-57.949019444", "https://www.google.com/maps/?q=48.9442750000001,-57.949019444")</f>
        <v>https://www.google.com/maps/?q=48.9442750000001,-57.949019444</v>
      </c>
    </row>
    <row r="589" spans="1:8" ht="29" x14ac:dyDescent="0.35">
      <c r="A589" t="s">
        <v>10463</v>
      </c>
      <c r="B589" t="s">
        <v>10464</v>
      </c>
      <c r="C589" t="s">
        <v>10465</v>
      </c>
      <c r="D589" t="s">
        <v>10466</v>
      </c>
      <c r="E589" s="33" t="s">
        <v>28</v>
      </c>
      <c r="F589" s="34" t="s">
        <v>10467</v>
      </c>
      <c r="H589" s="36" t="str">
        <f>HYPERLINK("https://www.google.com/maps/?q=47.589497222,-52.7022638889999", "https://www.google.com/maps/?q=47.589497222,-52.7022638889999")</f>
        <v>https://www.google.com/maps/?q=47.589497222,-52.7022638889999</v>
      </c>
    </row>
    <row r="590" spans="1:8" ht="29" x14ac:dyDescent="0.35">
      <c r="A590" t="s">
        <v>10468</v>
      </c>
      <c r="B590" t="s">
        <v>10469</v>
      </c>
      <c r="C590" t="s">
        <v>10470</v>
      </c>
      <c r="D590" t="s">
        <v>10471</v>
      </c>
      <c r="E590" s="33" t="s">
        <v>28</v>
      </c>
      <c r="F590" s="34" t="s">
        <v>7883</v>
      </c>
      <c r="H590" s="36" t="str">
        <f>HYPERLINK("https://www.google.com/maps/?q=47.5434277780001,-52.716597222", "https://www.google.com/maps/?q=47.5434277780001,-52.716597222")</f>
        <v>https://www.google.com/maps/?q=47.5434277780001,-52.716597222</v>
      </c>
    </row>
    <row r="591" spans="1:8" ht="29" x14ac:dyDescent="0.35">
      <c r="A591" t="s">
        <v>10472</v>
      </c>
      <c r="B591" t="s">
        <v>10473</v>
      </c>
      <c r="C591" t="s">
        <v>10474</v>
      </c>
      <c r="D591" t="s">
        <v>10475</v>
      </c>
      <c r="E591" s="33" t="s">
        <v>28</v>
      </c>
      <c r="F591" s="34" t="s">
        <v>8130</v>
      </c>
      <c r="H591" s="36" t="str">
        <f>HYPERLINK("https://www.google.com/maps/?q=47.6947250000001,-53.2132583329999", "https://www.google.com/maps/?q=47.6947250000001,-53.2132583329999")</f>
        <v>https://www.google.com/maps/?q=47.6947250000001,-53.2132583329999</v>
      </c>
    </row>
    <row r="592" spans="1:8" ht="29" x14ac:dyDescent="0.35">
      <c r="A592" t="s">
        <v>10476</v>
      </c>
      <c r="B592" t="s">
        <v>10477</v>
      </c>
      <c r="C592" t="s">
        <v>10478</v>
      </c>
      <c r="D592" t="s">
        <v>10479</v>
      </c>
      <c r="E592" s="33" t="s">
        <v>28</v>
      </c>
      <c r="F592" s="34" t="s">
        <v>10480</v>
      </c>
      <c r="H592" s="36" t="str">
        <f>HYPERLINK("https://www.google.com/maps/?q=47.5703833330001,-52.7105194439999", "https://www.google.com/maps/?q=47.5703833330001,-52.7105194439999")</f>
        <v>https://www.google.com/maps/?q=47.5703833330001,-52.7105194439999</v>
      </c>
    </row>
    <row r="593" spans="1:8" x14ac:dyDescent="0.35">
      <c r="A593" t="s">
        <v>10481</v>
      </c>
      <c r="B593" t="s">
        <v>10482</v>
      </c>
      <c r="C593" t="s">
        <v>10483</v>
      </c>
      <c r="D593" t="s">
        <v>10484</v>
      </c>
      <c r="E593" s="33" t="s">
        <v>28</v>
      </c>
      <c r="F593" s="34" t="s">
        <v>10485</v>
      </c>
      <c r="H593" s="36" t="str">
        <f>HYPERLINK("https://www.google.com/maps/?q=49.070516667,-58.117969444", "https://www.google.com/maps/?q=49.070516667,-58.117969444")</f>
        <v>https://www.google.com/maps/?q=49.070516667,-58.117969444</v>
      </c>
    </row>
    <row r="594" spans="1:8" ht="29" x14ac:dyDescent="0.35">
      <c r="A594" t="s">
        <v>10486</v>
      </c>
      <c r="B594" t="s">
        <v>10487</v>
      </c>
      <c r="C594" t="s">
        <v>10488</v>
      </c>
      <c r="D594" t="s">
        <v>10489</v>
      </c>
      <c r="E594" s="33" t="s">
        <v>461</v>
      </c>
      <c r="F594" s="34" t="s">
        <v>10136</v>
      </c>
      <c r="H594" s="36" t="str">
        <f>HYPERLINK("https://www.google.com/maps/?q=47.634244444,-52.734025", "https://www.google.com/maps/?q=47.634244444,-52.734025")</f>
        <v>https://www.google.com/maps/?q=47.634244444,-52.734025</v>
      </c>
    </row>
    <row r="595" spans="1:8" ht="29" x14ac:dyDescent="0.35">
      <c r="A595" t="s">
        <v>10490</v>
      </c>
      <c r="B595" t="s">
        <v>10491</v>
      </c>
      <c r="C595" t="s">
        <v>10492</v>
      </c>
      <c r="D595" t="s">
        <v>10493</v>
      </c>
      <c r="E595" s="33" t="s">
        <v>17</v>
      </c>
      <c r="F595" s="34" t="s">
        <v>7817</v>
      </c>
      <c r="H595" s="36" t="str">
        <f>HYPERLINK("https://www.google.com/maps/?q=47.2620000000001,-53.9802", "https://www.google.com/maps/?q=47.2620000000001,-53.9802")</f>
        <v>https://www.google.com/maps/?q=47.2620000000001,-53.9802</v>
      </c>
    </row>
    <row r="596" spans="1:8" x14ac:dyDescent="0.35">
      <c r="A596" t="s">
        <v>10494</v>
      </c>
      <c r="B596" t="s">
        <v>10495</v>
      </c>
      <c r="C596" t="s">
        <v>10496</v>
      </c>
      <c r="D596" t="s">
        <v>10497</v>
      </c>
      <c r="E596" s="33" t="s">
        <v>50</v>
      </c>
      <c r="F596" s="34" t="s">
        <v>10498</v>
      </c>
      <c r="H596" s="36" t="str">
        <f>HYPERLINK("https://www.google.com/maps/?q=47.6327666670001,-52.723891667", "https://www.google.com/maps/?q=47.6327666670001,-52.723891667")</f>
        <v>https://www.google.com/maps/?q=47.6327666670001,-52.723891667</v>
      </c>
    </row>
    <row r="597" spans="1:8" x14ac:dyDescent="0.35">
      <c r="A597" t="s">
        <v>10499</v>
      </c>
      <c r="B597" t="s">
        <v>10500</v>
      </c>
      <c r="C597" t="s">
        <v>10501</v>
      </c>
      <c r="D597" t="s">
        <v>10502</v>
      </c>
      <c r="E597" s="33" t="s">
        <v>1109</v>
      </c>
      <c r="F597" s="34" t="s">
        <v>8288</v>
      </c>
      <c r="H597" s="36" t="str">
        <f>HYPERLINK("https://www.google.com/maps/?q=52.1652777780001,-65.6974999999999", "https://www.google.com/maps/?q=52.1652777780001,-65.6974999999999")</f>
        <v>https://www.google.com/maps/?q=52.1652777780001,-65.6974999999999</v>
      </c>
    </row>
    <row r="598" spans="1:8" ht="29" x14ac:dyDescent="0.35">
      <c r="A598" t="s">
        <v>10503</v>
      </c>
      <c r="B598" t="s">
        <v>10504</v>
      </c>
      <c r="C598" t="s">
        <v>10505</v>
      </c>
      <c r="D598" t="s">
        <v>10506</v>
      </c>
      <c r="E598" s="33" t="s">
        <v>28</v>
      </c>
      <c r="F598" s="34" t="s">
        <v>10507</v>
      </c>
      <c r="H598" s="36" t="str">
        <f>HYPERLINK("https://www.google.com/maps/?q=48.9587805560001,-57.930213889", "https://www.google.com/maps/?q=48.9587805560001,-57.930213889")</f>
        <v>https://www.google.com/maps/?q=48.9587805560001,-57.930213889</v>
      </c>
    </row>
    <row r="599" spans="1:8" ht="29" x14ac:dyDescent="0.35">
      <c r="A599" t="s">
        <v>10508</v>
      </c>
      <c r="B599" t="s">
        <v>10509</v>
      </c>
      <c r="C599" t="s">
        <v>10510</v>
      </c>
      <c r="D599" t="s">
        <v>10511</v>
      </c>
      <c r="E599" s="33" t="s">
        <v>28</v>
      </c>
      <c r="F599" s="34" t="s">
        <v>10512</v>
      </c>
      <c r="H599" s="36" t="str">
        <f>HYPERLINK("https://www.google.com/maps/?q=47.530994444,-52.9192027779999", "https://www.google.com/maps/?q=47.530994444,-52.9192027779999")</f>
        <v>https://www.google.com/maps/?q=47.530994444,-52.9192027779999</v>
      </c>
    </row>
    <row r="600" spans="1:8" ht="29" x14ac:dyDescent="0.35">
      <c r="A600" t="s">
        <v>10513</v>
      </c>
      <c r="B600" t="s">
        <v>10514</v>
      </c>
      <c r="C600" t="s">
        <v>10515</v>
      </c>
      <c r="D600" t="s">
        <v>10516</v>
      </c>
      <c r="E600" s="33" t="s">
        <v>28</v>
      </c>
      <c r="F600" s="34" t="s">
        <v>10517</v>
      </c>
      <c r="H600" s="36" t="str">
        <f>HYPERLINK("https://www.google.com/maps/?q=47.5531388890001,-52.750813889", "https://www.google.com/maps/?q=47.5531388890001,-52.750813889")</f>
        <v>https://www.google.com/maps/?q=47.5531388890001,-52.750813889</v>
      </c>
    </row>
    <row r="601" spans="1:8" ht="29" x14ac:dyDescent="0.35">
      <c r="A601" t="s">
        <v>10518</v>
      </c>
      <c r="B601" t="s">
        <v>10519</v>
      </c>
      <c r="C601" t="s">
        <v>10520</v>
      </c>
      <c r="D601" t="s">
        <v>10521</v>
      </c>
      <c r="E601" s="33" t="s">
        <v>28</v>
      </c>
      <c r="F601" s="34" t="s">
        <v>10522</v>
      </c>
      <c r="H601" s="36" t="str">
        <f>HYPERLINK("https://www.google.com/maps/?q=47.5547250000001,-52.7838277779999", "https://www.google.com/maps/?q=47.5547250000001,-52.7838277779999")</f>
        <v>https://www.google.com/maps/?q=47.5547250000001,-52.7838277779999</v>
      </c>
    </row>
    <row r="602" spans="1:8" x14ac:dyDescent="0.35">
      <c r="A602" t="s">
        <v>10523</v>
      </c>
      <c r="B602" t="s">
        <v>10524</v>
      </c>
      <c r="C602" t="s">
        <v>10525</v>
      </c>
      <c r="D602" t="s">
        <v>10526</v>
      </c>
      <c r="E602" s="33" t="s">
        <v>44</v>
      </c>
      <c r="F602" s="34" t="s">
        <v>8976</v>
      </c>
      <c r="H602" s="36" t="str">
        <f>HYPERLINK("https://www.google.com/maps/?q=47.328611111,-53.1238888889999", "https://www.google.com/maps/?q=47.328611111,-53.1238888889999")</f>
        <v>https://www.google.com/maps/?q=47.328611111,-53.1238888889999</v>
      </c>
    </row>
    <row r="603" spans="1:8" ht="29" x14ac:dyDescent="0.35">
      <c r="A603" t="s">
        <v>10527</v>
      </c>
      <c r="B603" t="s">
        <v>10528</v>
      </c>
      <c r="C603" t="s">
        <v>10529</v>
      </c>
      <c r="D603" t="s">
        <v>10530</v>
      </c>
      <c r="E603" s="33" t="s">
        <v>28</v>
      </c>
      <c r="F603" s="34" t="s">
        <v>10531</v>
      </c>
      <c r="H603" s="36" t="str">
        <f>HYPERLINK("https://www.google.com/maps/?q=49.5856694440001,-56.177822222", "https://www.google.com/maps/?q=49.5856694440001,-56.177822222")</f>
        <v>https://www.google.com/maps/?q=49.5856694440001,-56.177822222</v>
      </c>
    </row>
    <row r="604" spans="1:8" x14ac:dyDescent="0.35">
      <c r="A604" t="s">
        <v>10532</v>
      </c>
      <c r="B604" t="s">
        <v>10533</v>
      </c>
      <c r="C604" t="s">
        <v>10534</v>
      </c>
      <c r="D604" t="s">
        <v>10535</v>
      </c>
      <c r="E604" s="33" t="s">
        <v>28</v>
      </c>
      <c r="F604" s="34" t="s">
        <v>10536</v>
      </c>
      <c r="H604" s="36" t="str">
        <f>HYPERLINK("https://www.google.com/maps/?q=46.8811666670001,-55.6628916669999", "https://www.google.com/maps/?q=46.8811666670001,-55.6628916669999")</f>
        <v>https://www.google.com/maps/?q=46.8811666670001,-55.6628916669999</v>
      </c>
    </row>
    <row r="605" spans="1:8" ht="29" x14ac:dyDescent="0.35">
      <c r="A605" t="s">
        <v>10537</v>
      </c>
      <c r="B605" t="s">
        <v>10538</v>
      </c>
      <c r="C605" t="s">
        <v>10539</v>
      </c>
      <c r="D605" t="s">
        <v>10540</v>
      </c>
      <c r="E605" s="33" t="s">
        <v>28</v>
      </c>
      <c r="F605" s="34" t="s">
        <v>10541</v>
      </c>
      <c r="H605" s="36" t="str">
        <f>HYPERLINK("https://www.google.com/maps/?q=48.9418972220001,-55.6630916669999", "https://www.google.com/maps/?q=48.9418972220001,-55.6630916669999")</f>
        <v>https://www.google.com/maps/?q=48.9418972220001,-55.6630916669999</v>
      </c>
    </row>
    <row r="606" spans="1:8" ht="29" x14ac:dyDescent="0.35">
      <c r="A606" t="s">
        <v>10542</v>
      </c>
      <c r="B606" t="s">
        <v>10543</v>
      </c>
      <c r="C606" t="s">
        <v>10544</v>
      </c>
      <c r="D606" t="s">
        <v>10545</v>
      </c>
      <c r="E606" s="33" t="s">
        <v>28</v>
      </c>
      <c r="F606" s="34" t="s">
        <v>10546</v>
      </c>
      <c r="H606" s="36" t="str">
        <f>HYPERLINK("https://www.google.com/maps/?q=47.797369444,-53.9922999999999", "https://www.google.com/maps/?q=47.797369444,-53.9922999999999")</f>
        <v>https://www.google.com/maps/?q=47.797369444,-53.9922999999999</v>
      </c>
    </row>
    <row r="607" spans="1:8" ht="29" x14ac:dyDescent="0.35">
      <c r="A607" t="s">
        <v>10547</v>
      </c>
      <c r="B607" t="s">
        <v>10548</v>
      </c>
      <c r="C607" t="s">
        <v>10549</v>
      </c>
      <c r="D607" t="s">
        <v>10550</v>
      </c>
      <c r="E607" s="33" t="s">
        <v>28</v>
      </c>
      <c r="F607" s="34" t="s">
        <v>10551</v>
      </c>
      <c r="H607" s="36" t="str">
        <f>HYPERLINK("https://www.google.com/maps/?q=51.4773027780001,-56.957230556", "https://www.google.com/maps/?q=51.4773027780001,-56.957230556")</f>
        <v>https://www.google.com/maps/?q=51.4773027780001,-56.957230556</v>
      </c>
    </row>
    <row r="608" spans="1:8" x14ac:dyDescent="0.35">
      <c r="A608" t="s">
        <v>10552</v>
      </c>
      <c r="B608" t="s">
        <v>10553</v>
      </c>
      <c r="C608" t="s">
        <v>10554</v>
      </c>
      <c r="D608" t="s">
        <v>10555</v>
      </c>
      <c r="E608" s="33" t="s">
        <v>28</v>
      </c>
      <c r="F608" s="34" t="s">
        <v>10556</v>
      </c>
      <c r="H608" s="36" t="str">
        <f>HYPERLINK("https://www.google.com/maps/?q=52.305747222,-55.844047222", "https://www.google.com/maps/?q=52.305747222,-55.844047222")</f>
        <v>https://www.google.com/maps/?q=52.305747222,-55.844047222</v>
      </c>
    </row>
    <row r="609" spans="1:8" ht="29" x14ac:dyDescent="0.35">
      <c r="A609" t="s">
        <v>10557</v>
      </c>
      <c r="B609" t="s">
        <v>10558</v>
      </c>
      <c r="C609" t="s">
        <v>10559</v>
      </c>
      <c r="D609" t="s">
        <v>10560</v>
      </c>
      <c r="E609" s="33" t="s">
        <v>28</v>
      </c>
      <c r="F609" s="34" t="s">
        <v>10561</v>
      </c>
      <c r="H609" s="36" t="str">
        <f>HYPERLINK("https://www.google.com/maps/?q=47.536725,-52.840955556", "https://www.google.com/maps/?q=47.536725,-52.840955556")</f>
        <v>https://www.google.com/maps/?q=47.536725,-52.840955556</v>
      </c>
    </row>
    <row r="610" spans="1:8" ht="29" x14ac:dyDescent="0.35">
      <c r="A610" t="s">
        <v>10562</v>
      </c>
      <c r="B610" t="s">
        <v>10563</v>
      </c>
      <c r="C610" t="s">
        <v>10564</v>
      </c>
      <c r="D610" t="s">
        <v>10565</v>
      </c>
      <c r="E610" s="33" t="s">
        <v>28</v>
      </c>
      <c r="F610" s="34" t="s">
        <v>10566</v>
      </c>
      <c r="H610" s="36" t="str">
        <f>HYPERLINK("https://www.google.com/maps/?q=47.540344444,-52.7531861109999", "https://www.google.com/maps/?q=47.540344444,-52.7531861109999")</f>
        <v>https://www.google.com/maps/?q=47.540344444,-52.7531861109999</v>
      </c>
    </row>
    <row r="611" spans="1:8" ht="29" x14ac:dyDescent="0.35">
      <c r="A611" t="s">
        <v>10567</v>
      </c>
      <c r="B611" t="s">
        <v>10568</v>
      </c>
      <c r="C611" t="s">
        <v>10569</v>
      </c>
      <c r="D611" t="s">
        <v>10570</v>
      </c>
      <c r="E611" s="33" t="s">
        <v>28</v>
      </c>
      <c r="F611" s="34" t="s">
        <v>10571</v>
      </c>
      <c r="H611" s="36" t="str">
        <f>HYPERLINK("https://www.google.com/maps/?q=47.6788666670001,-53.2484527779999", "https://www.google.com/maps/?q=47.6788666670001,-53.2484527779999")</f>
        <v>https://www.google.com/maps/?q=47.6788666670001,-53.2484527779999</v>
      </c>
    </row>
    <row r="612" spans="1:8" ht="29" x14ac:dyDescent="0.35">
      <c r="A612" t="s">
        <v>10572</v>
      </c>
      <c r="B612" t="s">
        <v>10573</v>
      </c>
      <c r="C612" t="s">
        <v>10574</v>
      </c>
      <c r="D612" t="s">
        <v>10575</v>
      </c>
      <c r="E612" s="33" t="s">
        <v>44</v>
      </c>
      <c r="F612" s="34" t="s">
        <v>10576</v>
      </c>
      <c r="H612" s="36" t="str">
        <f>HYPERLINK("https://www.google.com/maps/?q=47.823491667,-59.204933333", "https://www.google.com/maps/?q=47.823491667,-59.204933333")</f>
        <v>https://www.google.com/maps/?q=47.823491667,-59.204933333</v>
      </c>
    </row>
    <row r="613" spans="1:8" ht="29" x14ac:dyDescent="0.35">
      <c r="A613" t="s">
        <v>10577</v>
      </c>
      <c r="B613" t="s">
        <v>10578</v>
      </c>
      <c r="C613" t="s">
        <v>10579</v>
      </c>
      <c r="D613" t="s">
        <v>10580</v>
      </c>
      <c r="E613" s="33" t="s">
        <v>28</v>
      </c>
      <c r="F613" s="34" t="s">
        <v>10581</v>
      </c>
      <c r="H613" s="36" t="str">
        <f>HYPERLINK("https://www.google.com/maps/?q=47.5621833330001,-52.724183333", "https://www.google.com/maps/?q=47.5621833330001,-52.724183333")</f>
        <v>https://www.google.com/maps/?q=47.5621833330001,-52.724183333</v>
      </c>
    </row>
    <row r="614" spans="1:8" ht="29" x14ac:dyDescent="0.35">
      <c r="A614" t="s">
        <v>10582</v>
      </c>
      <c r="B614" t="s">
        <v>10583</v>
      </c>
      <c r="C614" t="s">
        <v>10584</v>
      </c>
      <c r="D614" t="s">
        <v>10585</v>
      </c>
      <c r="E614" s="33" t="s">
        <v>28</v>
      </c>
      <c r="F614" s="34" t="s">
        <v>8358</v>
      </c>
      <c r="H614" s="36" t="str">
        <f>HYPERLINK("https://www.google.com/maps/?q=47.5634805560001,-52.7223194439999", "https://www.google.com/maps/?q=47.5634805560001,-52.7223194439999")</f>
        <v>https://www.google.com/maps/?q=47.5634805560001,-52.7223194439999</v>
      </c>
    </row>
    <row r="615" spans="1:8" x14ac:dyDescent="0.35">
      <c r="A615" t="s">
        <v>10586</v>
      </c>
      <c r="B615" t="s">
        <v>10587</v>
      </c>
      <c r="C615" t="s">
        <v>10588</v>
      </c>
      <c r="D615" t="s">
        <v>10589</v>
      </c>
      <c r="E615" s="33" t="s">
        <v>44</v>
      </c>
      <c r="F615" s="34" t="s">
        <v>7366</v>
      </c>
      <c r="H615" s="36" t="str">
        <f>HYPERLINK("https://www.google.com/maps/?q=48.987611111,-57.7336888889999", "https://www.google.com/maps/?q=48.987611111,-57.7336888889999")</f>
        <v>https://www.google.com/maps/?q=48.987611111,-57.7336888889999</v>
      </c>
    </row>
    <row r="616" spans="1:8" ht="29" x14ac:dyDescent="0.35">
      <c r="A616" t="s">
        <v>10590</v>
      </c>
      <c r="B616" t="s">
        <v>10591</v>
      </c>
      <c r="C616" t="s">
        <v>10592</v>
      </c>
      <c r="D616" t="s">
        <v>10593</v>
      </c>
      <c r="E616" s="33" t="s">
        <v>28</v>
      </c>
      <c r="F616" s="34" t="s">
        <v>10594</v>
      </c>
      <c r="H616" s="36" t="str">
        <f>HYPERLINK("https://www.google.com/maps/?q=47.501897222,-52.809808333", "https://www.google.com/maps/?q=47.501897222,-52.809808333")</f>
        <v>https://www.google.com/maps/?q=47.501897222,-52.809808333</v>
      </c>
    </row>
    <row r="617" spans="1:8" ht="29" x14ac:dyDescent="0.35">
      <c r="A617" t="s">
        <v>10595</v>
      </c>
      <c r="B617" t="s">
        <v>10596</v>
      </c>
      <c r="C617" t="s">
        <v>10597</v>
      </c>
      <c r="D617" t="s">
        <v>10598</v>
      </c>
      <c r="E617" s="33" t="s">
        <v>28</v>
      </c>
      <c r="F617" s="34" t="s">
        <v>10599</v>
      </c>
      <c r="H617" s="36" t="str">
        <f>HYPERLINK("https://www.google.com/maps/?q=47.5944361110001,-52.7095944439999", "https://www.google.com/maps/?q=47.5944361110001,-52.7095944439999")</f>
        <v>https://www.google.com/maps/?q=47.5944361110001,-52.7095944439999</v>
      </c>
    </row>
    <row r="618" spans="1:8" ht="29" x14ac:dyDescent="0.35">
      <c r="A618" t="s">
        <v>10600</v>
      </c>
      <c r="B618" t="s">
        <v>10601</v>
      </c>
      <c r="C618" t="s">
        <v>10602</v>
      </c>
      <c r="D618" t="s">
        <v>10603</v>
      </c>
      <c r="E618" s="33" t="s">
        <v>28</v>
      </c>
      <c r="F618" s="34" t="s">
        <v>10604</v>
      </c>
      <c r="H618" s="36" t="str">
        <f>HYPERLINK("https://www.google.com/maps/?q=47.7021083330001,-53.2018138889999", "https://www.google.com/maps/?q=47.7021083330001,-53.2018138889999")</f>
        <v>https://www.google.com/maps/?q=47.7021083330001,-53.2018138889999</v>
      </c>
    </row>
    <row r="619" spans="1:8" ht="29" x14ac:dyDescent="0.35">
      <c r="A619" t="s">
        <v>10605</v>
      </c>
      <c r="B619" t="s">
        <v>10606</v>
      </c>
      <c r="C619" t="s">
        <v>10607</v>
      </c>
      <c r="D619" t="s">
        <v>10608</v>
      </c>
      <c r="E619" s="33" t="s">
        <v>28</v>
      </c>
      <c r="F619" s="34" t="s">
        <v>10609</v>
      </c>
      <c r="H619" s="36" t="str">
        <f>HYPERLINK("https://www.google.com/maps/?q=48.1644027780001,-53.980844444", "https://www.google.com/maps/?q=48.1644027780001,-53.980844444")</f>
        <v>https://www.google.com/maps/?q=48.1644027780001,-53.980844444</v>
      </c>
    </row>
    <row r="620" spans="1:8" ht="29" x14ac:dyDescent="0.35">
      <c r="A620" t="s">
        <v>10610</v>
      </c>
      <c r="B620" t="s">
        <v>10611</v>
      </c>
      <c r="C620" t="s">
        <v>10612</v>
      </c>
      <c r="D620" t="s">
        <v>10613</v>
      </c>
      <c r="E620" s="33" t="s">
        <v>66</v>
      </c>
      <c r="F620" s="34" t="s">
        <v>10614</v>
      </c>
      <c r="H620" s="36" t="str">
        <f>HYPERLINK("https://www.google.com/maps/?q=47.654894444,-52.757627778", "https://www.google.com/maps/?q=47.654894444,-52.757627778")</f>
        <v>https://www.google.com/maps/?q=47.654894444,-52.757627778</v>
      </c>
    </row>
    <row r="621" spans="1:8" ht="29" x14ac:dyDescent="0.35">
      <c r="A621" t="s">
        <v>10615</v>
      </c>
      <c r="B621" t="s">
        <v>10616</v>
      </c>
      <c r="C621" t="s">
        <v>10617</v>
      </c>
      <c r="D621" t="s">
        <v>10618</v>
      </c>
      <c r="E621" s="33" t="s">
        <v>50</v>
      </c>
      <c r="F621" s="34" t="s">
        <v>10136</v>
      </c>
      <c r="H621" s="36" t="str">
        <f>HYPERLINK("https://www.google.com/maps/?q=47.6359166670001,-52.725897222", "https://www.google.com/maps/?q=47.6359166670001,-52.725897222")</f>
        <v>https://www.google.com/maps/?q=47.6359166670001,-52.725897222</v>
      </c>
    </row>
    <row r="622" spans="1:8" x14ac:dyDescent="0.35">
      <c r="A622" t="s">
        <v>10619</v>
      </c>
      <c r="B622" t="s">
        <v>10620</v>
      </c>
      <c r="C622" t="s">
        <v>10621</v>
      </c>
      <c r="D622" t="s">
        <v>10622</v>
      </c>
      <c r="E622" s="33" t="s">
        <v>1109</v>
      </c>
      <c r="F622" s="34" t="s">
        <v>8288</v>
      </c>
      <c r="H622" s="36" t="str">
        <f>HYPERLINK("https://www.google.com/maps/?q=52.132777778,-65.697777778", "https://www.google.com/maps/?q=52.132777778,-65.697777778")</f>
        <v>https://www.google.com/maps/?q=52.132777778,-65.697777778</v>
      </c>
    </row>
    <row r="623" spans="1:8" ht="29" x14ac:dyDescent="0.35">
      <c r="A623" t="s">
        <v>10623</v>
      </c>
      <c r="B623" t="s">
        <v>10624</v>
      </c>
      <c r="C623" t="s">
        <v>10625</v>
      </c>
      <c r="D623" t="s">
        <v>10626</v>
      </c>
      <c r="E623" s="33" t="s">
        <v>1109</v>
      </c>
      <c r="F623" s="34" t="s">
        <v>10627</v>
      </c>
      <c r="H623" s="36" t="str">
        <f>HYPERLINK("https://www.google.com/maps/?q=52.9436111110001,-66.895277778", "https://www.google.com/maps/?q=52.9436111110001,-66.895277778")</f>
        <v>https://www.google.com/maps/?q=52.9436111110001,-66.895277778</v>
      </c>
    </row>
    <row r="624" spans="1:8" ht="29" x14ac:dyDescent="0.35">
      <c r="A624" t="s">
        <v>10628</v>
      </c>
      <c r="B624" t="s">
        <v>10629</v>
      </c>
      <c r="C624" t="s">
        <v>10630</v>
      </c>
      <c r="D624" t="s">
        <v>10631</v>
      </c>
      <c r="E624" s="33" t="s">
        <v>28</v>
      </c>
      <c r="F624" s="34" t="s">
        <v>10632</v>
      </c>
      <c r="H624" s="36" t="str">
        <f>HYPERLINK("https://www.google.com/maps/?q=47.5808916670001,-52.704152778", "https://www.google.com/maps/?q=47.5808916670001,-52.704152778")</f>
        <v>https://www.google.com/maps/?q=47.5808916670001,-52.704152778</v>
      </c>
    </row>
    <row r="625" spans="1:8" x14ac:dyDescent="0.35">
      <c r="A625" t="s">
        <v>10633</v>
      </c>
      <c r="B625" t="s">
        <v>10634</v>
      </c>
      <c r="C625" t="s">
        <v>10635</v>
      </c>
      <c r="D625" t="s">
        <v>10636</v>
      </c>
      <c r="E625" s="33" t="s">
        <v>1109</v>
      </c>
      <c r="F625" s="34" t="s">
        <v>10637</v>
      </c>
      <c r="H625" s="36" t="str">
        <f>HYPERLINK("https://www.google.com/maps/?q=52.7615277780001,-66.085972222", "https://www.google.com/maps/?q=52.7615277780001,-66.085972222")</f>
        <v>https://www.google.com/maps/?q=52.7615277780001,-66.085972222</v>
      </c>
    </row>
    <row r="626" spans="1:8" ht="29" x14ac:dyDescent="0.35">
      <c r="A626" t="s">
        <v>10638</v>
      </c>
      <c r="B626" t="s">
        <v>10639</v>
      </c>
      <c r="C626" t="s">
        <v>10640</v>
      </c>
      <c r="D626" t="s">
        <v>10641</v>
      </c>
      <c r="E626" s="33" t="s">
        <v>44</v>
      </c>
      <c r="F626" s="34" t="s">
        <v>7970</v>
      </c>
      <c r="H626" s="36" t="str">
        <f>HYPERLINK("https://www.google.com/maps/?q=46.909497222,-53.563011111", "https://www.google.com/maps/?q=46.909497222,-53.563011111")</f>
        <v>https://www.google.com/maps/?q=46.909497222,-53.563011111</v>
      </c>
    </row>
    <row r="627" spans="1:8" ht="29" x14ac:dyDescent="0.35">
      <c r="A627" t="s">
        <v>10642</v>
      </c>
      <c r="B627" t="s">
        <v>10643</v>
      </c>
      <c r="C627" t="s">
        <v>10644</v>
      </c>
      <c r="D627" t="s">
        <v>10645</v>
      </c>
      <c r="E627" s="33" t="s">
        <v>28</v>
      </c>
      <c r="F627" s="34" t="s">
        <v>10646</v>
      </c>
      <c r="H627" s="36" t="str">
        <f>HYPERLINK("https://www.google.com/maps/?q=47.4887305560001,-52.8097999999999", "https://www.google.com/maps/?q=47.4887305560001,-52.8097999999999")</f>
        <v>https://www.google.com/maps/?q=47.4887305560001,-52.8097999999999</v>
      </c>
    </row>
    <row r="628" spans="1:8" ht="29" x14ac:dyDescent="0.35">
      <c r="A628" t="s">
        <v>10647</v>
      </c>
      <c r="B628" t="s">
        <v>10648</v>
      </c>
      <c r="C628" t="s">
        <v>10649</v>
      </c>
      <c r="D628" t="s">
        <v>10650</v>
      </c>
      <c r="E628" s="33" t="s">
        <v>28</v>
      </c>
      <c r="F628" s="34" t="s">
        <v>10651</v>
      </c>
      <c r="H628" s="36" t="str">
        <f>HYPERLINK("https://www.google.com/maps/?q=48.9573972220001,-57.913311111", "https://www.google.com/maps/?q=48.9573972220001,-57.913311111")</f>
        <v>https://www.google.com/maps/?q=48.9573972220001,-57.913311111</v>
      </c>
    </row>
    <row r="629" spans="1:8" ht="29" x14ac:dyDescent="0.35">
      <c r="A629" t="s">
        <v>10652</v>
      </c>
      <c r="B629" t="s">
        <v>10653</v>
      </c>
      <c r="C629" t="s">
        <v>10654</v>
      </c>
      <c r="D629" t="s">
        <v>10655</v>
      </c>
      <c r="E629" s="33" t="s">
        <v>66</v>
      </c>
      <c r="F629" s="34" t="s">
        <v>7789</v>
      </c>
      <c r="H629" s="36" t="str">
        <f>HYPERLINK("https://www.google.com/maps/?q=47.5610722220001,-52.711186111", "https://www.google.com/maps/?q=47.5610722220001,-52.711186111")</f>
        <v>https://www.google.com/maps/?q=47.5610722220001,-52.711186111</v>
      </c>
    </row>
    <row r="630" spans="1:8" ht="29" x14ac:dyDescent="0.35">
      <c r="A630" t="s">
        <v>10656</v>
      </c>
      <c r="B630" t="s">
        <v>10657</v>
      </c>
      <c r="C630" t="s">
        <v>10658</v>
      </c>
      <c r="D630" t="s">
        <v>10659</v>
      </c>
      <c r="E630" s="33" t="s">
        <v>28</v>
      </c>
      <c r="F630" s="34" t="s">
        <v>10660</v>
      </c>
      <c r="H630" s="36" t="str">
        <f>HYPERLINK("https://www.google.com/maps/?q=47.6851444440001,-53.233311111", "https://www.google.com/maps/?q=47.6851444440001,-53.233311111")</f>
        <v>https://www.google.com/maps/?q=47.6851444440001,-53.233311111</v>
      </c>
    </row>
    <row r="631" spans="1:8" ht="29" x14ac:dyDescent="0.35">
      <c r="A631" t="s">
        <v>10661</v>
      </c>
      <c r="B631" t="s">
        <v>10662</v>
      </c>
      <c r="C631" t="s">
        <v>10663</v>
      </c>
      <c r="D631" t="s">
        <v>10664</v>
      </c>
      <c r="E631" s="33" t="s">
        <v>28</v>
      </c>
      <c r="F631" s="34" t="s">
        <v>10665</v>
      </c>
      <c r="H631" s="36" t="str">
        <f>HYPERLINK("https://www.google.com/maps/?q=48.9613027780001,-54.596519444", "https://www.google.com/maps/?q=48.9613027780001,-54.596519444")</f>
        <v>https://www.google.com/maps/?q=48.9613027780001,-54.596519444</v>
      </c>
    </row>
    <row r="632" spans="1:8" ht="29" x14ac:dyDescent="0.35">
      <c r="A632" t="s">
        <v>10666</v>
      </c>
      <c r="B632" t="s">
        <v>10667</v>
      </c>
      <c r="C632" t="s">
        <v>10668</v>
      </c>
      <c r="D632" t="s">
        <v>10669</v>
      </c>
      <c r="E632" s="33" t="s">
        <v>28</v>
      </c>
      <c r="F632" s="34" t="s">
        <v>10670</v>
      </c>
      <c r="H632" s="36" t="str">
        <f>HYPERLINK("https://www.google.com/maps/?q=48.947827778,-55.6498833329999", "https://www.google.com/maps/?q=48.947827778,-55.6498833329999")</f>
        <v>https://www.google.com/maps/?q=48.947827778,-55.6498833329999</v>
      </c>
    </row>
    <row r="633" spans="1:8" ht="29" x14ac:dyDescent="0.35">
      <c r="A633" t="s">
        <v>10671</v>
      </c>
      <c r="B633" t="s">
        <v>10672</v>
      </c>
      <c r="C633" t="s">
        <v>10673</v>
      </c>
      <c r="D633" t="s">
        <v>10674</v>
      </c>
      <c r="E633" s="33" t="s">
        <v>28</v>
      </c>
      <c r="F633" s="34" t="s">
        <v>10675</v>
      </c>
      <c r="H633" s="36" t="str">
        <f>HYPERLINK("https://www.google.com/maps/?q=47.506083333,-52.802558333", "https://www.google.com/maps/?q=47.506083333,-52.802558333")</f>
        <v>https://www.google.com/maps/?q=47.506083333,-52.802558333</v>
      </c>
    </row>
    <row r="634" spans="1:8" ht="29" x14ac:dyDescent="0.35">
      <c r="A634" t="s">
        <v>10676</v>
      </c>
      <c r="B634" t="s">
        <v>10677</v>
      </c>
      <c r="C634" t="s">
        <v>10678</v>
      </c>
      <c r="D634" t="s">
        <v>10679</v>
      </c>
      <c r="E634" s="33" t="s">
        <v>28</v>
      </c>
      <c r="F634" s="34" t="s">
        <v>10680</v>
      </c>
      <c r="H634" s="36" t="str">
        <f>HYPERLINK("https://www.google.com/maps/?q=47.223058333,-55.3636583329999", "https://www.google.com/maps/?q=47.223058333,-55.3636583329999")</f>
        <v>https://www.google.com/maps/?q=47.223058333,-55.3636583329999</v>
      </c>
    </row>
    <row r="635" spans="1:8" ht="29" x14ac:dyDescent="0.35">
      <c r="A635" t="s">
        <v>10681</v>
      </c>
      <c r="B635" t="s">
        <v>10682</v>
      </c>
      <c r="C635" t="s">
        <v>10683</v>
      </c>
      <c r="D635" t="s">
        <v>10684</v>
      </c>
      <c r="E635" s="33" t="s">
        <v>28</v>
      </c>
      <c r="F635" s="34" t="s">
        <v>10685</v>
      </c>
      <c r="H635" s="36" t="str">
        <f>HYPERLINK("https://www.google.com/maps/?q=47.5350444440001,-52.8558138889999", "https://www.google.com/maps/?q=47.5350444440001,-52.8558138889999")</f>
        <v>https://www.google.com/maps/?q=47.5350444440001,-52.8558138889999</v>
      </c>
    </row>
    <row r="636" spans="1:8" x14ac:dyDescent="0.35">
      <c r="A636" t="s">
        <v>10686</v>
      </c>
      <c r="B636" t="s">
        <v>10687</v>
      </c>
      <c r="C636" t="s">
        <v>10688</v>
      </c>
      <c r="D636" t="s">
        <v>10689</v>
      </c>
      <c r="E636" s="33" t="s">
        <v>28</v>
      </c>
      <c r="F636" s="34" t="s">
        <v>10690</v>
      </c>
      <c r="H636" s="36" t="str">
        <f>HYPERLINK("https://www.google.com/maps/?q=49.7007305560001,-56.104933333", "https://www.google.com/maps/?q=49.7007305560001,-56.104933333")</f>
        <v>https://www.google.com/maps/?q=49.7007305560001,-56.104933333</v>
      </c>
    </row>
    <row r="637" spans="1:8" ht="29" x14ac:dyDescent="0.35">
      <c r="A637" t="s">
        <v>10691</v>
      </c>
      <c r="B637" t="s">
        <v>10692</v>
      </c>
      <c r="C637" t="s">
        <v>10693</v>
      </c>
      <c r="D637" t="s">
        <v>10694</v>
      </c>
      <c r="E637" s="33" t="s">
        <v>195</v>
      </c>
      <c r="F637" s="34" t="s">
        <v>10695</v>
      </c>
      <c r="H637" s="36" t="str">
        <f>HYPERLINK("https://www.google.com/maps/?q=48.927930556,-55.6588416669999", "https://www.google.com/maps/?q=48.927930556,-55.6588416669999")</f>
        <v>https://www.google.com/maps/?q=48.927930556,-55.6588416669999</v>
      </c>
    </row>
    <row r="638" spans="1:8" ht="29" x14ac:dyDescent="0.35">
      <c r="A638" t="s">
        <v>10696</v>
      </c>
      <c r="B638" t="s">
        <v>10697</v>
      </c>
      <c r="C638" t="s">
        <v>10698</v>
      </c>
      <c r="D638" t="s">
        <v>10699</v>
      </c>
      <c r="E638" s="33" t="s">
        <v>44</v>
      </c>
      <c r="F638" s="34" t="s">
        <v>7736</v>
      </c>
      <c r="H638" s="36" t="str">
        <f>HYPERLINK("https://www.google.com/maps/?q=47.510713889,-53.722963889", "https://www.google.com/maps/?q=47.510713889,-53.722963889")</f>
        <v>https://www.google.com/maps/?q=47.510713889,-53.722963889</v>
      </c>
    </row>
    <row r="639" spans="1:8" ht="29" x14ac:dyDescent="0.35">
      <c r="A639" t="s">
        <v>10700</v>
      </c>
      <c r="B639" t="s">
        <v>10701</v>
      </c>
      <c r="C639" t="s">
        <v>10702</v>
      </c>
      <c r="D639" t="s">
        <v>10703</v>
      </c>
      <c r="E639" s="33" t="s">
        <v>28</v>
      </c>
      <c r="F639" s="34" t="s">
        <v>10704</v>
      </c>
      <c r="H639" s="36" t="str">
        <f>HYPERLINK("https://www.google.com/maps/?q=48.9609944440001,-54.634902778", "https://www.google.com/maps/?q=48.9609944440001,-54.634902778")</f>
        <v>https://www.google.com/maps/?q=48.9609944440001,-54.634902778</v>
      </c>
    </row>
    <row r="640" spans="1:8" ht="29" x14ac:dyDescent="0.35">
      <c r="A640" t="s">
        <v>10705</v>
      </c>
      <c r="B640" t="s">
        <v>10706</v>
      </c>
      <c r="C640" t="s">
        <v>10707</v>
      </c>
      <c r="D640" t="s">
        <v>10708</v>
      </c>
      <c r="E640" s="33" t="s">
        <v>28</v>
      </c>
      <c r="F640" s="34" t="s">
        <v>10709</v>
      </c>
      <c r="H640" s="36" t="str">
        <f>HYPERLINK("https://www.google.com/maps/?q=47.5536083330001,-52.793280556", "https://www.google.com/maps/?q=47.5536083330001,-52.793280556")</f>
        <v>https://www.google.com/maps/?q=47.5536083330001,-52.793280556</v>
      </c>
    </row>
    <row r="641" spans="1:8" ht="29" x14ac:dyDescent="0.35">
      <c r="A641" t="s">
        <v>10710</v>
      </c>
      <c r="B641" t="s">
        <v>10711</v>
      </c>
      <c r="C641" t="s">
        <v>10712</v>
      </c>
      <c r="D641" t="s">
        <v>10713</v>
      </c>
      <c r="E641" s="33" t="s">
        <v>28</v>
      </c>
      <c r="F641" s="34" t="s">
        <v>10714</v>
      </c>
      <c r="H641" s="36" t="str">
        <f>HYPERLINK("https://www.google.com/maps/?q=47.558380556,-52.753066667", "https://www.google.com/maps/?q=47.558380556,-52.753066667")</f>
        <v>https://www.google.com/maps/?q=47.558380556,-52.753066667</v>
      </c>
    </row>
    <row r="642" spans="1:8" ht="29" x14ac:dyDescent="0.35">
      <c r="A642" t="s">
        <v>10715</v>
      </c>
      <c r="B642" t="s">
        <v>10716</v>
      </c>
      <c r="C642" t="s">
        <v>10717</v>
      </c>
      <c r="D642" t="s">
        <v>10718</v>
      </c>
      <c r="E642" s="33" t="s">
        <v>28</v>
      </c>
      <c r="F642" s="34" t="s">
        <v>10719</v>
      </c>
      <c r="H642" s="36" t="str">
        <f>HYPERLINK("https://www.google.com/maps/?q=47.559333333,-52.7535694439999", "https://www.google.com/maps/?q=47.559333333,-52.7535694439999")</f>
        <v>https://www.google.com/maps/?q=47.559333333,-52.7535694439999</v>
      </c>
    </row>
    <row r="643" spans="1:8" ht="29" x14ac:dyDescent="0.35">
      <c r="A643" t="s">
        <v>10720</v>
      </c>
      <c r="B643" t="s">
        <v>10721</v>
      </c>
      <c r="C643" t="s">
        <v>10722</v>
      </c>
      <c r="D643" t="s">
        <v>10723</v>
      </c>
      <c r="E643" s="33" t="s">
        <v>44</v>
      </c>
      <c r="F643" s="34" t="s">
        <v>10724</v>
      </c>
      <c r="H643" s="36" t="str">
        <f>HYPERLINK("https://www.google.com/maps/?q=48.7714583330001,-54.2421166669999", "https://www.google.com/maps/?q=48.7714583330001,-54.2421166669999")</f>
        <v>https://www.google.com/maps/?q=48.7714583330001,-54.2421166669999</v>
      </c>
    </row>
    <row r="644" spans="1:8" ht="29" x14ac:dyDescent="0.35">
      <c r="A644" t="s">
        <v>10725</v>
      </c>
      <c r="B644" t="s">
        <v>10726</v>
      </c>
      <c r="C644" t="s">
        <v>10727</v>
      </c>
      <c r="D644" t="s">
        <v>10728</v>
      </c>
      <c r="E644" s="33" t="s">
        <v>28</v>
      </c>
      <c r="F644" s="34" t="s">
        <v>10729</v>
      </c>
      <c r="H644" s="36" t="str">
        <f>HYPERLINK("https://www.google.com/maps/?q=47.561619444,-52.710755556", "https://www.google.com/maps/?q=47.561619444,-52.710755556")</f>
        <v>https://www.google.com/maps/?q=47.561619444,-52.710755556</v>
      </c>
    </row>
    <row r="645" spans="1:8" ht="29" x14ac:dyDescent="0.35">
      <c r="A645" t="s">
        <v>10730</v>
      </c>
      <c r="B645" t="s">
        <v>10731</v>
      </c>
      <c r="C645" t="s">
        <v>10732</v>
      </c>
      <c r="D645" t="s">
        <v>10733</v>
      </c>
      <c r="E645" s="33" t="s">
        <v>461</v>
      </c>
      <c r="F645" s="34" t="s">
        <v>10734</v>
      </c>
      <c r="H645" s="36" t="str">
        <f>HYPERLINK("https://www.google.com/maps/?q=47.5953138890001,-52.727008333", "https://www.google.com/maps/?q=47.5953138890001,-52.727008333")</f>
        <v>https://www.google.com/maps/?q=47.5953138890001,-52.727008333</v>
      </c>
    </row>
    <row r="646" spans="1:8" ht="29" x14ac:dyDescent="0.35">
      <c r="A646" t="s">
        <v>10735</v>
      </c>
      <c r="B646" t="s">
        <v>10736</v>
      </c>
      <c r="C646" t="s">
        <v>10737</v>
      </c>
      <c r="D646" t="s">
        <v>10738</v>
      </c>
      <c r="E646" s="33" t="s">
        <v>17</v>
      </c>
      <c r="F646" s="34" t="s">
        <v>8318</v>
      </c>
      <c r="H646" s="36" t="str">
        <f>HYPERLINK("https://www.google.com/maps/?q=47.588888889,-58.971111111", "https://www.google.com/maps/?q=47.588888889,-58.971111111")</f>
        <v>https://www.google.com/maps/?q=47.588888889,-58.971111111</v>
      </c>
    </row>
    <row r="647" spans="1:8" x14ac:dyDescent="0.35">
      <c r="A647" t="s">
        <v>10739</v>
      </c>
      <c r="B647" t="s">
        <v>10740</v>
      </c>
      <c r="C647" t="s">
        <v>7271</v>
      </c>
      <c r="D647" t="s">
        <v>10741</v>
      </c>
      <c r="E647" s="33" t="s">
        <v>1109</v>
      </c>
      <c r="F647" s="34" t="s">
        <v>8961</v>
      </c>
      <c r="H647" s="36" t="str">
        <f>HYPERLINK("https://www.google.com/maps/?q=53.015277778,-66.1899999999999", "https://www.google.com/maps/?q=53.015277778,-66.1899999999999")</f>
        <v>https://www.google.com/maps/?q=53.015277778,-66.1899999999999</v>
      </c>
    </row>
    <row r="648" spans="1:8" ht="43.5" x14ac:dyDescent="0.35">
      <c r="A648" t="s">
        <v>10742</v>
      </c>
      <c r="B648" t="s">
        <v>10743</v>
      </c>
      <c r="C648" t="s">
        <v>10744</v>
      </c>
      <c r="D648" t="s">
        <v>10745</v>
      </c>
      <c r="E648" s="33" t="s">
        <v>28</v>
      </c>
      <c r="F648" s="34" t="s">
        <v>7480</v>
      </c>
      <c r="H648" s="36" t="str">
        <f>HYPERLINK("https://www.google.com/maps/?q=47.5716166670001,-52.7333055559999", "https://www.google.com/maps/?q=47.5716166670001,-52.7333055559999")</f>
        <v>https://www.google.com/maps/?q=47.5716166670001,-52.7333055559999</v>
      </c>
    </row>
    <row r="649" spans="1:8" ht="29" x14ac:dyDescent="0.35">
      <c r="A649" t="s">
        <v>9271</v>
      </c>
      <c r="B649" t="s">
        <v>10746</v>
      </c>
      <c r="C649" t="s">
        <v>9273</v>
      </c>
      <c r="D649" t="s">
        <v>10747</v>
      </c>
      <c r="E649" s="33" t="s">
        <v>28</v>
      </c>
      <c r="F649" s="34" t="s">
        <v>10748</v>
      </c>
      <c r="H649" s="36" t="str">
        <f>HYPERLINK("https://www.google.com/maps/?q=47.5586111110001,-55.9397194439999", "https://www.google.com/maps/?q=47.5586111110001,-55.9397194439999")</f>
        <v>https://www.google.com/maps/?q=47.5586111110001,-55.9397194439999</v>
      </c>
    </row>
    <row r="650" spans="1:8" ht="29" x14ac:dyDescent="0.35">
      <c r="A650" t="s">
        <v>10749</v>
      </c>
      <c r="B650" t="s">
        <v>10750</v>
      </c>
      <c r="C650" t="s">
        <v>10751</v>
      </c>
      <c r="D650" t="s">
        <v>10752</v>
      </c>
      <c r="E650" s="33" t="s">
        <v>28</v>
      </c>
      <c r="F650" s="34" t="s">
        <v>10753</v>
      </c>
      <c r="H650" s="36" t="str">
        <f>HYPERLINK("https://www.google.com/maps/?q=47.5938,-52.717852778", "https://www.google.com/maps/?q=47.5938,-52.717852778")</f>
        <v>https://www.google.com/maps/?q=47.5938,-52.717852778</v>
      </c>
    </row>
    <row r="651" spans="1:8" x14ac:dyDescent="0.35">
      <c r="A651" t="s">
        <v>10754</v>
      </c>
      <c r="B651" t="s">
        <v>10755</v>
      </c>
      <c r="C651" t="s">
        <v>10756</v>
      </c>
      <c r="D651" t="s">
        <v>10757</v>
      </c>
      <c r="E651" s="33" t="s">
        <v>28</v>
      </c>
      <c r="F651" s="34" t="s">
        <v>7366</v>
      </c>
      <c r="H651" s="36" t="str">
        <f>HYPERLINK("https://www.google.com/maps/?q=47.9959694440001,-55.769969444", "https://www.google.com/maps/?q=47.9959694440001,-55.769969444")</f>
        <v>https://www.google.com/maps/?q=47.9959694440001,-55.769969444</v>
      </c>
    </row>
    <row r="652" spans="1:8" ht="29" x14ac:dyDescent="0.35">
      <c r="A652" t="s">
        <v>10758</v>
      </c>
      <c r="B652" t="s">
        <v>10759</v>
      </c>
      <c r="C652" t="s">
        <v>10760</v>
      </c>
      <c r="D652" t="s">
        <v>10761</v>
      </c>
      <c r="E652" s="33" t="s">
        <v>50</v>
      </c>
      <c r="F652" s="34" t="s">
        <v>10762</v>
      </c>
      <c r="H652" s="36" t="str">
        <f>HYPERLINK("https://www.google.com/maps/?q=47.637102778,-52.724725", "https://www.google.com/maps/?q=47.637102778,-52.724725")</f>
        <v>https://www.google.com/maps/?q=47.637102778,-52.724725</v>
      </c>
    </row>
    <row r="653" spans="1:8" ht="29" x14ac:dyDescent="0.35">
      <c r="A653" t="s">
        <v>10763</v>
      </c>
      <c r="B653" t="s">
        <v>10764</v>
      </c>
      <c r="C653" t="s">
        <v>10765</v>
      </c>
      <c r="D653" t="s">
        <v>10766</v>
      </c>
      <c r="E653" s="33" t="s">
        <v>28</v>
      </c>
      <c r="F653" s="34" t="s">
        <v>10767</v>
      </c>
      <c r="H653" s="36" t="str">
        <f>HYPERLINK("https://www.google.com/maps/?q=47.534052778,-52.9248249999999", "https://www.google.com/maps/?q=47.534052778,-52.9248249999999")</f>
        <v>https://www.google.com/maps/?q=47.534052778,-52.9248249999999</v>
      </c>
    </row>
    <row r="654" spans="1:8" ht="29" x14ac:dyDescent="0.35">
      <c r="A654" t="s">
        <v>10768</v>
      </c>
      <c r="B654" t="s">
        <v>10769</v>
      </c>
      <c r="C654" t="s">
        <v>10770</v>
      </c>
      <c r="D654" t="s">
        <v>10771</v>
      </c>
      <c r="E654" s="33" t="s">
        <v>28</v>
      </c>
      <c r="F654" s="34" t="s">
        <v>10772</v>
      </c>
      <c r="H654" s="36" t="str">
        <f>HYPERLINK("https://www.google.com/maps/?q=47.526511111,-52.895725", "https://www.google.com/maps/?q=47.526511111,-52.895725")</f>
        <v>https://www.google.com/maps/?q=47.526511111,-52.895725</v>
      </c>
    </row>
    <row r="655" spans="1:8" ht="29" x14ac:dyDescent="0.35">
      <c r="A655" t="s">
        <v>10773</v>
      </c>
      <c r="B655" t="s">
        <v>10774</v>
      </c>
      <c r="C655" t="s">
        <v>10775</v>
      </c>
      <c r="D655" t="s">
        <v>10776</v>
      </c>
      <c r="E655" s="33" t="s">
        <v>28</v>
      </c>
      <c r="F655" s="34" t="s">
        <v>10777</v>
      </c>
      <c r="H655" s="36" t="str">
        <f>HYPERLINK("https://www.google.com/maps/?q=48.9558527780001,-54.6288", "https://www.google.com/maps/?q=48.9558527780001,-54.6288")</f>
        <v>https://www.google.com/maps/?q=48.9558527780001,-54.6288</v>
      </c>
    </row>
    <row r="656" spans="1:8" x14ac:dyDescent="0.35">
      <c r="A656" t="s">
        <v>10778</v>
      </c>
      <c r="B656" t="s">
        <v>10779</v>
      </c>
      <c r="C656" t="s">
        <v>10780</v>
      </c>
      <c r="D656" t="s">
        <v>10781</v>
      </c>
      <c r="E656" s="33" t="s">
        <v>1109</v>
      </c>
      <c r="F656" s="34" t="s">
        <v>8288</v>
      </c>
      <c r="H656" s="36" t="str">
        <f>HYPERLINK("https://www.google.com/maps/?q=52.9706944440001,-66.758444444", "https://www.google.com/maps/?q=52.9706944440001,-66.758444444")</f>
        <v>https://www.google.com/maps/?q=52.9706944440001,-66.758444444</v>
      </c>
    </row>
    <row r="657" spans="1:8" ht="29" x14ac:dyDescent="0.35">
      <c r="A657" t="s">
        <v>10782</v>
      </c>
      <c r="B657" t="s">
        <v>10783</v>
      </c>
      <c r="C657" t="s">
        <v>10784</v>
      </c>
      <c r="D657" t="s">
        <v>10785</v>
      </c>
      <c r="E657" s="33" t="s">
        <v>28</v>
      </c>
      <c r="F657" s="34" t="s">
        <v>10786</v>
      </c>
      <c r="H657" s="36" t="str">
        <f>HYPERLINK("https://www.google.com/maps/?q=47.510488889,-52.817252778", "https://www.google.com/maps/?q=47.510488889,-52.817252778")</f>
        <v>https://www.google.com/maps/?q=47.510488889,-52.817252778</v>
      </c>
    </row>
    <row r="658" spans="1:8" ht="29" x14ac:dyDescent="0.35">
      <c r="A658" t="s">
        <v>10787</v>
      </c>
      <c r="B658" t="s">
        <v>10788</v>
      </c>
      <c r="C658" t="s">
        <v>10789</v>
      </c>
      <c r="D658" t="s">
        <v>10790</v>
      </c>
      <c r="E658" s="33" t="s">
        <v>28</v>
      </c>
      <c r="F658" s="34" t="s">
        <v>10791</v>
      </c>
      <c r="H658" s="36" t="str">
        <f>HYPERLINK("https://www.google.com/maps/?q=47.5893861110001,-52.729772222", "https://www.google.com/maps/?q=47.5893861110001,-52.729772222")</f>
        <v>https://www.google.com/maps/?q=47.5893861110001,-52.729772222</v>
      </c>
    </row>
    <row r="659" spans="1:8" ht="29" x14ac:dyDescent="0.35">
      <c r="A659" t="s">
        <v>10792</v>
      </c>
      <c r="B659" t="s">
        <v>10793</v>
      </c>
      <c r="C659" t="s">
        <v>10794</v>
      </c>
      <c r="D659" t="s">
        <v>10795</v>
      </c>
      <c r="E659" s="33" t="s">
        <v>28</v>
      </c>
      <c r="F659" s="34" t="s">
        <v>7525</v>
      </c>
      <c r="H659" s="36" t="str">
        <f>HYPERLINK("https://www.google.com/maps/?q=48.9390777780001,-57.931075", "https://www.google.com/maps/?q=48.9390777780001,-57.931075")</f>
        <v>https://www.google.com/maps/?q=48.9390777780001,-57.931075</v>
      </c>
    </row>
    <row r="660" spans="1:8" ht="29" x14ac:dyDescent="0.35">
      <c r="A660" t="s">
        <v>10796</v>
      </c>
      <c r="B660" t="s">
        <v>10797</v>
      </c>
      <c r="C660" t="s">
        <v>10798</v>
      </c>
      <c r="D660" t="s">
        <v>10799</v>
      </c>
      <c r="E660" s="33" t="s">
        <v>28</v>
      </c>
      <c r="F660" s="34" t="s">
        <v>10800</v>
      </c>
      <c r="H660" s="36" t="str">
        <f>HYPERLINK("https://www.google.com/maps/?q=47.5698333330001,-52.707366667", "https://www.google.com/maps/?q=47.5698333330001,-52.707366667")</f>
        <v>https://www.google.com/maps/?q=47.5698333330001,-52.707366667</v>
      </c>
    </row>
    <row r="661" spans="1:8" ht="29" x14ac:dyDescent="0.35">
      <c r="A661" t="s">
        <v>10801</v>
      </c>
      <c r="B661" t="s">
        <v>10802</v>
      </c>
      <c r="C661" t="s">
        <v>10803</v>
      </c>
      <c r="D661" t="s">
        <v>10804</v>
      </c>
      <c r="E661" s="33" t="s">
        <v>461</v>
      </c>
      <c r="F661" s="34" t="s">
        <v>10805</v>
      </c>
      <c r="H661" s="36" t="str">
        <f>HYPERLINK("https://www.google.com/maps/?q=47.5942000000001,-52.7241999999999", "https://www.google.com/maps/?q=47.5942000000001,-52.7241999999999")</f>
        <v>https://www.google.com/maps/?q=47.5942000000001,-52.7241999999999</v>
      </c>
    </row>
    <row r="662" spans="1:8" ht="29" x14ac:dyDescent="0.35">
      <c r="A662" t="s">
        <v>10806</v>
      </c>
      <c r="B662" t="s">
        <v>10807</v>
      </c>
      <c r="C662" t="s">
        <v>10808</v>
      </c>
      <c r="D662" t="s">
        <v>10809</v>
      </c>
      <c r="E662" s="33" t="s">
        <v>66</v>
      </c>
      <c r="F662" s="34" t="s">
        <v>7264</v>
      </c>
      <c r="H662" s="36" t="str">
        <f>HYPERLINK("https://www.google.com/maps/?q=47.460544444,-52.7940416669999", "https://www.google.com/maps/?q=47.460544444,-52.7940416669999")</f>
        <v>https://www.google.com/maps/?q=47.460544444,-52.7940416669999</v>
      </c>
    </row>
    <row r="663" spans="1:8" ht="29" x14ac:dyDescent="0.35">
      <c r="A663" t="s">
        <v>10810</v>
      </c>
      <c r="B663" t="s">
        <v>10811</v>
      </c>
      <c r="C663" t="s">
        <v>10812</v>
      </c>
      <c r="D663" t="s">
        <v>10813</v>
      </c>
      <c r="E663" s="33" t="s">
        <v>50</v>
      </c>
      <c r="F663" s="34" t="s">
        <v>9508</v>
      </c>
      <c r="H663" s="36" t="str">
        <f>HYPERLINK("https://www.google.com/maps/?q=47.6361138890001,-52.7323361109999", "https://www.google.com/maps/?q=47.6361138890001,-52.7323361109999")</f>
        <v>https://www.google.com/maps/?q=47.6361138890001,-52.7323361109999</v>
      </c>
    </row>
    <row r="664" spans="1:8" ht="29" x14ac:dyDescent="0.35">
      <c r="A664" t="s">
        <v>10814</v>
      </c>
      <c r="B664" t="s">
        <v>10815</v>
      </c>
      <c r="C664" t="s">
        <v>10816</v>
      </c>
      <c r="D664" t="s">
        <v>10817</v>
      </c>
      <c r="E664" s="33" t="s">
        <v>50</v>
      </c>
      <c r="F664" s="34" t="s">
        <v>10818</v>
      </c>
      <c r="H664" s="36" t="str">
        <f>HYPERLINK("https://www.google.com/maps/?q=49.2408361110001,-55.059858333", "https://www.google.com/maps/?q=49.2408361110001,-55.059858333")</f>
        <v>https://www.google.com/maps/?q=49.2408361110001,-55.059858333</v>
      </c>
    </row>
    <row r="665" spans="1:8" x14ac:dyDescent="0.35">
      <c r="A665" t="s">
        <v>10819</v>
      </c>
      <c r="B665" t="s">
        <v>10820</v>
      </c>
      <c r="C665" t="s">
        <v>10821</v>
      </c>
      <c r="D665" t="s">
        <v>10822</v>
      </c>
      <c r="E665" s="33" t="s">
        <v>44</v>
      </c>
      <c r="F665" s="34" t="s">
        <v>10823</v>
      </c>
      <c r="H665" s="36" t="str">
        <f>HYPERLINK("https://www.google.com/maps/?q=49.2742000000001,-54.8749999999999", "https://www.google.com/maps/?q=49.2742000000001,-54.8749999999999")</f>
        <v>https://www.google.com/maps/?q=49.2742000000001,-54.8749999999999</v>
      </c>
    </row>
    <row r="666" spans="1:8" x14ac:dyDescent="0.35">
      <c r="A666" t="s">
        <v>10824</v>
      </c>
      <c r="B666" t="s">
        <v>10825</v>
      </c>
      <c r="C666" t="s">
        <v>10826</v>
      </c>
      <c r="D666" t="s">
        <v>10827</v>
      </c>
      <c r="E666" s="33" t="s">
        <v>28</v>
      </c>
      <c r="F666" s="34" t="s">
        <v>10828</v>
      </c>
      <c r="H666" s="36" t="str">
        <f>HYPERLINK("https://www.google.com/maps/?q=47.038166667,-55.1635805559999", "https://www.google.com/maps/?q=47.038166667,-55.1635805559999")</f>
        <v>https://www.google.com/maps/?q=47.038166667,-55.1635805559999</v>
      </c>
    </row>
    <row r="667" spans="1:8" ht="29" x14ac:dyDescent="0.35">
      <c r="A667" t="s">
        <v>10829</v>
      </c>
      <c r="B667" t="s">
        <v>10830</v>
      </c>
      <c r="C667" t="s">
        <v>10831</v>
      </c>
      <c r="D667" t="s">
        <v>10832</v>
      </c>
      <c r="E667" s="33" t="s">
        <v>28</v>
      </c>
      <c r="F667" s="34" t="s">
        <v>10833</v>
      </c>
      <c r="H667" s="36" t="str">
        <f>HYPERLINK("https://www.google.com/maps/?q=47.562272222,-52.7105611109999", "https://www.google.com/maps/?q=47.562272222,-52.7105611109999")</f>
        <v>https://www.google.com/maps/?q=47.562272222,-52.7105611109999</v>
      </c>
    </row>
    <row r="668" spans="1:8" x14ac:dyDescent="0.35">
      <c r="A668" t="s">
        <v>10834</v>
      </c>
      <c r="B668" t="s">
        <v>10835</v>
      </c>
      <c r="C668" t="s">
        <v>10836</v>
      </c>
      <c r="D668" t="s">
        <v>10837</v>
      </c>
      <c r="E668" s="33" t="s">
        <v>6451</v>
      </c>
      <c r="F668" s="34" t="s">
        <v>10838</v>
      </c>
      <c r="H668" s="36" t="str">
        <f>HYPERLINK("https://www.google.com/maps/?q=52.9101555560001,-66.911322222", "https://www.google.com/maps/?q=52.9101555560001,-66.911322222")</f>
        <v>https://www.google.com/maps/?q=52.9101555560001,-66.911322222</v>
      </c>
    </row>
    <row r="669" spans="1:8" ht="29" x14ac:dyDescent="0.35">
      <c r="A669" t="s">
        <v>10839</v>
      </c>
      <c r="B669" t="s">
        <v>10840</v>
      </c>
      <c r="C669" t="s">
        <v>10841</v>
      </c>
      <c r="D669" t="s">
        <v>10842</v>
      </c>
      <c r="E669" s="33" t="s">
        <v>50</v>
      </c>
      <c r="F669" s="34" t="s">
        <v>10843</v>
      </c>
      <c r="H669" s="36" t="str">
        <f>HYPERLINK("https://www.google.com/maps/?q=47.5693527780001,-52.708355556", "https://www.google.com/maps/?q=47.5693527780001,-52.708355556")</f>
        <v>https://www.google.com/maps/?q=47.5693527780001,-52.708355556</v>
      </c>
    </row>
    <row r="670" spans="1:8" x14ac:dyDescent="0.35">
      <c r="A670" t="s">
        <v>10844</v>
      </c>
      <c r="B670" t="s">
        <v>10845</v>
      </c>
      <c r="C670" t="s">
        <v>10846</v>
      </c>
      <c r="D670" t="s">
        <v>10847</v>
      </c>
      <c r="E670" s="33" t="s">
        <v>1109</v>
      </c>
      <c r="F670" s="34" t="s">
        <v>10637</v>
      </c>
      <c r="H670" s="36" t="str">
        <f>HYPERLINK("https://www.google.com/maps/?q=52.761111111,-66.086111111", "https://www.google.com/maps/?q=52.761111111,-66.086111111")</f>
        <v>https://www.google.com/maps/?q=52.761111111,-66.086111111</v>
      </c>
    </row>
    <row r="671" spans="1:8" x14ac:dyDescent="0.35">
      <c r="A671" t="s">
        <v>10848</v>
      </c>
      <c r="B671" t="s">
        <v>10849</v>
      </c>
      <c r="C671" t="s">
        <v>10850</v>
      </c>
      <c r="D671" t="s">
        <v>10851</v>
      </c>
      <c r="E671" s="33" t="s">
        <v>28</v>
      </c>
      <c r="F671" s="34" t="s">
        <v>7366</v>
      </c>
      <c r="H671" s="36" t="str">
        <f>HYPERLINK("https://www.google.com/maps/?q=48.8256000000001,-57.9772", "https://www.google.com/maps/?q=48.8256000000001,-57.9772")</f>
        <v>https://www.google.com/maps/?q=48.8256000000001,-57.9772</v>
      </c>
    </row>
    <row r="672" spans="1:8" ht="29" x14ac:dyDescent="0.35">
      <c r="A672" t="s">
        <v>10852</v>
      </c>
      <c r="B672" t="s">
        <v>10853</v>
      </c>
      <c r="C672" t="s">
        <v>10854</v>
      </c>
      <c r="D672" t="s">
        <v>10855</v>
      </c>
      <c r="E672" s="33" t="s">
        <v>44</v>
      </c>
      <c r="F672" s="34" t="s">
        <v>9638</v>
      </c>
      <c r="H672" s="36" t="str">
        <f>HYPERLINK("https://www.google.com/maps/?q=48.8294083330001,-54.364661111", "https://www.google.com/maps/?q=48.8294083330001,-54.364661111")</f>
        <v>https://www.google.com/maps/?q=48.8294083330001,-54.364661111</v>
      </c>
    </row>
    <row r="673" spans="1:8" ht="29" x14ac:dyDescent="0.35">
      <c r="A673" t="s">
        <v>10856</v>
      </c>
      <c r="B673" t="s">
        <v>10857</v>
      </c>
      <c r="C673" t="s">
        <v>10858</v>
      </c>
      <c r="D673" t="s">
        <v>10859</v>
      </c>
      <c r="E673" s="33" t="s">
        <v>461</v>
      </c>
      <c r="F673" s="34" t="s">
        <v>9918</v>
      </c>
      <c r="H673" s="36" t="str">
        <f>HYPERLINK("https://www.google.com/maps/?q=47.6321500000001,-52.7354194439999", "https://www.google.com/maps/?q=47.6321500000001,-52.7354194439999")</f>
        <v>https://www.google.com/maps/?q=47.6321500000001,-52.7354194439999</v>
      </c>
    </row>
    <row r="674" spans="1:8" x14ac:dyDescent="0.35">
      <c r="A674" t="s">
        <v>10860</v>
      </c>
      <c r="B674" t="s">
        <v>10861</v>
      </c>
      <c r="C674" t="s">
        <v>10862</v>
      </c>
      <c r="D674" t="s">
        <v>10863</v>
      </c>
      <c r="E674" s="33" t="s">
        <v>1109</v>
      </c>
      <c r="F674" s="34" t="s">
        <v>9937</v>
      </c>
      <c r="H674" s="36" t="str">
        <f>HYPERLINK("https://www.google.com/maps/?q=52.567944444,-65.8783333329999", "https://www.google.com/maps/?q=52.567944444,-65.8783333329999")</f>
        <v>https://www.google.com/maps/?q=52.567944444,-65.8783333329999</v>
      </c>
    </row>
    <row r="675" spans="1:8" ht="29" x14ac:dyDescent="0.35">
      <c r="A675" t="s">
        <v>10864</v>
      </c>
      <c r="B675" t="s">
        <v>10865</v>
      </c>
      <c r="C675" t="s">
        <v>10866</v>
      </c>
      <c r="D675" t="s">
        <v>10867</v>
      </c>
      <c r="E675" s="33" t="s">
        <v>44</v>
      </c>
      <c r="F675" s="34" t="s">
        <v>9234</v>
      </c>
      <c r="H675" s="36" t="str">
        <f>HYPERLINK("https://www.google.com/maps/?q=46.9636305560001,-52.949519444", "https://www.google.com/maps/?q=46.9636305560001,-52.949519444")</f>
        <v>https://www.google.com/maps/?q=46.9636305560001,-52.949519444</v>
      </c>
    </row>
    <row r="676" spans="1:8" x14ac:dyDescent="0.35">
      <c r="A676" t="s">
        <v>10868</v>
      </c>
      <c r="B676" t="s">
        <v>10869</v>
      </c>
      <c r="C676" t="s">
        <v>10870</v>
      </c>
      <c r="D676" t="s">
        <v>10871</v>
      </c>
      <c r="E676" s="33" t="s">
        <v>1109</v>
      </c>
      <c r="F676" s="34" t="s">
        <v>8288</v>
      </c>
      <c r="H676" s="36" t="str">
        <f>HYPERLINK("https://www.google.com/maps/?q=53.0597222220001,-66.9338888889999", "https://www.google.com/maps/?q=53.0597222220001,-66.9338888889999")</f>
        <v>https://www.google.com/maps/?q=53.0597222220001,-66.9338888889999</v>
      </c>
    </row>
    <row r="677" spans="1:8" ht="29" x14ac:dyDescent="0.35">
      <c r="A677" t="s">
        <v>10872</v>
      </c>
      <c r="B677" t="s">
        <v>10873</v>
      </c>
      <c r="C677" t="s">
        <v>10874</v>
      </c>
      <c r="D677" t="s">
        <v>10875</v>
      </c>
      <c r="E677" s="33" t="s">
        <v>28</v>
      </c>
      <c r="F677" s="34" t="s">
        <v>10876</v>
      </c>
      <c r="H677" s="36" t="str">
        <f>HYPERLINK("https://www.google.com/maps/?q=47.2800888890001,-52.8271194439999", "https://www.google.com/maps/?q=47.2800888890001,-52.8271194439999")</f>
        <v>https://www.google.com/maps/?q=47.2800888890001,-52.8271194439999</v>
      </c>
    </row>
    <row r="678" spans="1:8" ht="29" x14ac:dyDescent="0.35">
      <c r="A678" t="s">
        <v>10877</v>
      </c>
      <c r="B678" t="s">
        <v>10878</v>
      </c>
      <c r="C678" t="s">
        <v>10879</v>
      </c>
      <c r="D678" t="s">
        <v>10880</v>
      </c>
      <c r="E678" s="33" t="s">
        <v>28</v>
      </c>
      <c r="F678" s="34" t="s">
        <v>10881</v>
      </c>
      <c r="H678" s="36" t="str">
        <f>HYPERLINK("https://www.google.com/maps/?q=47.5318833330001,-52.7986472219999", "https://www.google.com/maps/?q=47.5318833330001,-52.7986472219999")</f>
        <v>https://www.google.com/maps/?q=47.5318833330001,-52.7986472219999</v>
      </c>
    </row>
    <row r="679" spans="1:8" ht="29" x14ac:dyDescent="0.35">
      <c r="A679" t="s">
        <v>10882</v>
      </c>
      <c r="B679" t="s">
        <v>10883</v>
      </c>
      <c r="C679" t="s">
        <v>10884</v>
      </c>
      <c r="D679" t="s">
        <v>10885</v>
      </c>
      <c r="E679" s="33" t="s">
        <v>44</v>
      </c>
      <c r="F679" s="34" t="s">
        <v>10886</v>
      </c>
      <c r="H679" s="36" t="str">
        <f>HYPERLINK("https://www.google.com/maps/?q=52.9474638890001,-66.916813889", "https://www.google.com/maps/?q=52.9474638890001,-66.916813889")</f>
        <v>https://www.google.com/maps/?q=52.9474638890001,-66.916813889</v>
      </c>
    </row>
    <row r="680" spans="1:8" ht="29" x14ac:dyDescent="0.35">
      <c r="A680" t="s">
        <v>10887</v>
      </c>
      <c r="B680" t="s">
        <v>10888</v>
      </c>
      <c r="C680" t="s">
        <v>10889</v>
      </c>
      <c r="D680" t="s">
        <v>10890</v>
      </c>
      <c r="E680" s="33" t="s">
        <v>28</v>
      </c>
      <c r="F680" s="34" t="s">
        <v>10891</v>
      </c>
      <c r="H680" s="36" t="str">
        <f>HYPERLINK("https://www.google.com/maps/?q=47.581094444,-52.677791667", "https://www.google.com/maps/?q=47.581094444,-52.677791667")</f>
        <v>https://www.google.com/maps/?q=47.581094444,-52.677791667</v>
      </c>
    </row>
    <row r="681" spans="1:8" x14ac:dyDescent="0.35">
      <c r="A681" t="s">
        <v>10892</v>
      </c>
      <c r="B681" t="s">
        <v>10893</v>
      </c>
      <c r="C681" t="s">
        <v>10894</v>
      </c>
      <c r="D681" t="s">
        <v>10895</v>
      </c>
      <c r="E681" s="33" t="s">
        <v>50</v>
      </c>
      <c r="F681" s="34" t="s">
        <v>10896</v>
      </c>
      <c r="H681" s="36" t="str">
        <f>HYPERLINK("https://www.google.com/maps/?q=49.1244583330001,-55.091983333", "https://www.google.com/maps/?q=49.1244583330001,-55.091983333")</f>
        <v>https://www.google.com/maps/?q=49.1244583330001,-55.091983333</v>
      </c>
    </row>
    <row r="682" spans="1:8" x14ac:dyDescent="0.35">
      <c r="A682" t="s">
        <v>10897</v>
      </c>
      <c r="B682" t="s">
        <v>10898</v>
      </c>
      <c r="C682" t="s">
        <v>10899</v>
      </c>
      <c r="D682" t="s">
        <v>10900</v>
      </c>
      <c r="E682" s="33" t="s">
        <v>1109</v>
      </c>
      <c r="F682" s="34" t="s">
        <v>8288</v>
      </c>
      <c r="H682" s="36" t="str">
        <f>HYPERLINK("https://www.google.com/maps/?q=52.831111111,-66.149722222", "https://www.google.com/maps/?q=52.831111111,-66.149722222")</f>
        <v>https://www.google.com/maps/?q=52.831111111,-66.149722222</v>
      </c>
    </row>
    <row r="683" spans="1:8" ht="29" x14ac:dyDescent="0.35">
      <c r="A683" t="s">
        <v>10901</v>
      </c>
      <c r="B683" t="s">
        <v>10726</v>
      </c>
      <c r="C683" t="s">
        <v>10902</v>
      </c>
      <c r="D683" t="s">
        <v>10728</v>
      </c>
      <c r="E683" s="33" t="s">
        <v>50</v>
      </c>
      <c r="F683" s="34" t="s">
        <v>10903</v>
      </c>
      <c r="H683" s="36" t="str">
        <f>HYPERLINK("https://www.google.com/maps/?q=47.568872222,-52.710755556", "https://www.google.com/maps/?q=47.568872222,-52.710755556")</f>
        <v>https://www.google.com/maps/?q=47.568872222,-52.710755556</v>
      </c>
    </row>
    <row r="684" spans="1:8" ht="29" x14ac:dyDescent="0.35">
      <c r="A684" t="s">
        <v>10904</v>
      </c>
      <c r="B684" t="s">
        <v>10905</v>
      </c>
      <c r="C684" t="s">
        <v>10906</v>
      </c>
      <c r="D684" t="s">
        <v>10907</v>
      </c>
      <c r="E684" s="33" t="s">
        <v>461</v>
      </c>
      <c r="F684" s="34" t="s">
        <v>9918</v>
      </c>
      <c r="H684" s="36" t="str">
        <f>HYPERLINK("https://www.google.com/maps/?q=47.633280556,-52.736991667", "https://www.google.com/maps/?q=47.633280556,-52.736991667")</f>
        <v>https://www.google.com/maps/?q=47.633280556,-52.736991667</v>
      </c>
    </row>
    <row r="685" spans="1:8" ht="29" x14ac:dyDescent="0.35">
      <c r="A685" t="s">
        <v>10908</v>
      </c>
      <c r="B685" t="s">
        <v>10909</v>
      </c>
      <c r="C685" t="s">
        <v>10910</v>
      </c>
      <c r="D685" t="s">
        <v>10911</v>
      </c>
      <c r="E685" s="33" t="s">
        <v>50</v>
      </c>
      <c r="F685" s="34" t="s">
        <v>10762</v>
      </c>
      <c r="H685" s="36" t="str">
        <f>HYPERLINK("https://www.google.com/maps/?q=47.629202778,-52.723905556", "https://www.google.com/maps/?q=47.629202778,-52.723905556")</f>
        <v>https://www.google.com/maps/?q=47.629202778,-52.723905556</v>
      </c>
    </row>
    <row r="686" spans="1:8" ht="29" x14ac:dyDescent="0.35">
      <c r="A686" t="s">
        <v>10912</v>
      </c>
      <c r="B686" t="s">
        <v>10913</v>
      </c>
      <c r="C686" t="s">
        <v>10914</v>
      </c>
      <c r="D686" t="s">
        <v>10915</v>
      </c>
      <c r="E686" s="33" t="s">
        <v>50</v>
      </c>
      <c r="F686" s="34" t="s">
        <v>10762</v>
      </c>
      <c r="H686" s="36" t="str">
        <f>HYPERLINK("https://www.google.com/maps/?q=47.6344527780001,-52.7244388889999", "https://www.google.com/maps/?q=47.6344527780001,-52.7244388889999")</f>
        <v>https://www.google.com/maps/?q=47.6344527780001,-52.7244388889999</v>
      </c>
    </row>
    <row r="687" spans="1:8" ht="29" x14ac:dyDescent="0.35">
      <c r="A687" t="s">
        <v>10916</v>
      </c>
      <c r="B687" t="s">
        <v>10917</v>
      </c>
      <c r="C687" t="s">
        <v>10918</v>
      </c>
      <c r="D687" t="s">
        <v>10919</v>
      </c>
      <c r="E687" s="33" t="s">
        <v>50</v>
      </c>
      <c r="F687" s="34" t="s">
        <v>10920</v>
      </c>
      <c r="H687" s="36" t="str">
        <f>HYPERLINK("https://www.google.com/maps/?q=47.633236111,-52.726444444", "https://www.google.com/maps/?q=47.633236111,-52.726444444")</f>
        <v>https://www.google.com/maps/?q=47.633236111,-52.726444444</v>
      </c>
    </row>
    <row r="688" spans="1:8" x14ac:dyDescent="0.35">
      <c r="A688" t="s">
        <v>10921</v>
      </c>
      <c r="B688" t="s">
        <v>10922</v>
      </c>
      <c r="C688" t="s">
        <v>10923</v>
      </c>
      <c r="D688" t="s">
        <v>10924</v>
      </c>
      <c r="E688" s="33" t="s">
        <v>1109</v>
      </c>
      <c r="F688" s="34" t="s">
        <v>10438</v>
      </c>
      <c r="H688" s="36" t="str">
        <f>HYPERLINK("https://www.google.com/maps/?q=53.010555556,-66.707777778", "https://www.google.com/maps/?q=53.010555556,-66.707777778")</f>
        <v>https://www.google.com/maps/?q=53.010555556,-66.707777778</v>
      </c>
    </row>
    <row r="689" spans="1:8" x14ac:dyDescent="0.35">
      <c r="A689" t="s">
        <v>10925</v>
      </c>
      <c r="B689" t="s">
        <v>10926</v>
      </c>
      <c r="C689" t="s">
        <v>10927</v>
      </c>
      <c r="D689" t="s">
        <v>10928</v>
      </c>
      <c r="E689" s="33" t="s">
        <v>66</v>
      </c>
      <c r="F689" s="34" t="s">
        <v>10929</v>
      </c>
      <c r="H689" s="36" t="str">
        <f>HYPERLINK("https://www.google.com/maps/?q=47.4490000000001,-52.9752999999999", "https://www.google.com/maps/?q=47.4490000000001,-52.9752999999999")</f>
        <v>https://www.google.com/maps/?q=47.4490000000001,-52.9752999999999</v>
      </c>
    </row>
    <row r="690" spans="1:8" ht="29" x14ac:dyDescent="0.35">
      <c r="A690" t="s">
        <v>10930</v>
      </c>
      <c r="B690" t="s">
        <v>10931</v>
      </c>
      <c r="C690" t="s">
        <v>10932</v>
      </c>
      <c r="D690" t="s">
        <v>10933</v>
      </c>
      <c r="E690" s="33" t="s">
        <v>1109</v>
      </c>
      <c r="F690" s="34" t="s">
        <v>10934</v>
      </c>
      <c r="H690" s="36" t="str">
        <f>HYPERLINK("https://www.google.com/maps/?q=52.958333333,-66.888888889", "https://www.google.com/maps/?q=52.958333333,-66.888888889")</f>
        <v>https://www.google.com/maps/?q=52.958333333,-66.888888889</v>
      </c>
    </row>
    <row r="691" spans="1:8" ht="29" x14ac:dyDescent="0.35">
      <c r="A691" t="s">
        <v>10935</v>
      </c>
      <c r="B691" t="s">
        <v>10936</v>
      </c>
      <c r="C691" t="s">
        <v>10937</v>
      </c>
      <c r="D691" t="s">
        <v>10938</v>
      </c>
      <c r="E691" s="33" t="s">
        <v>50</v>
      </c>
      <c r="F691" s="34" t="s">
        <v>7349</v>
      </c>
      <c r="H691" s="36" t="str">
        <f>HYPERLINK("https://www.google.com/maps/?q=47.6317916670001,-52.729288889", "https://www.google.com/maps/?q=47.6317916670001,-52.729288889")</f>
        <v>https://www.google.com/maps/?q=47.6317916670001,-52.729288889</v>
      </c>
    </row>
    <row r="692" spans="1:8" ht="29" x14ac:dyDescent="0.35">
      <c r="A692" t="s">
        <v>10939</v>
      </c>
      <c r="B692" t="s">
        <v>10940</v>
      </c>
      <c r="C692" t="s">
        <v>10941</v>
      </c>
      <c r="D692" t="s">
        <v>10942</v>
      </c>
      <c r="E692" s="33" t="s">
        <v>44</v>
      </c>
      <c r="F692" s="34" t="s">
        <v>7442</v>
      </c>
      <c r="H692" s="36" t="str">
        <f>HYPERLINK("https://www.google.com/maps/?q=47.0781000000001,-52.9503", "https://www.google.com/maps/?q=47.0781000000001,-52.9503")</f>
        <v>https://www.google.com/maps/?q=47.0781000000001,-52.9503</v>
      </c>
    </row>
    <row r="693" spans="1:8" x14ac:dyDescent="0.35">
      <c r="A693" t="s">
        <v>10943</v>
      </c>
      <c r="B693" t="s">
        <v>10944</v>
      </c>
      <c r="C693" t="s">
        <v>10945</v>
      </c>
      <c r="D693" t="s">
        <v>10946</v>
      </c>
      <c r="E693" s="33" t="s">
        <v>44</v>
      </c>
      <c r="F693" s="34" t="s">
        <v>8196</v>
      </c>
      <c r="H693" s="36" t="str">
        <f>HYPERLINK("https://www.google.com/maps/?q=48.9849222220001,-54.850888889", "https://www.google.com/maps/?q=48.9849222220001,-54.850888889")</f>
        <v>https://www.google.com/maps/?q=48.9849222220001,-54.850888889</v>
      </c>
    </row>
    <row r="694" spans="1:8" ht="29" x14ac:dyDescent="0.35">
      <c r="A694" t="s">
        <v>10947</v>
      </c>
      <c r="B694" t="s">
        <v>10948</v>
      </c>
      <c r="C694" t="s">
        <v>10949</v>
      </c>
      <c r="D694" t="s">
        <v>10950</v>
      </c>
      <c r="E694" s="33" t="s">
        <v>461</v>
      </c>
      <c r="F694" s="34" t="s">
        <v>10415</v>
      </c>
      <c r="H694" s="36" t="str">
        <f>HYPERLINK("https://www.google.com/maps/?q=47.638611111,-52.7309888889999", "https://www.google.com/maps/?q=47.638611111,-52.7309888889999")</f>
        <v>https://www.google.com/maps/?q=47.638611111,-52.7309888889999</v>
      </c>
    </row>
    <row r="695" spans="1:8" ht="29" x14ac:dyDescent="0.35">
      <c r="A695" t="s">
        <v>10951</v>
      </c>
      <c r="B695" t="s">
        <v>10952</v>
      </c>
      <c r="C695" t="s">
        <v>10953</v>
      </c>
      <c r="D695" t="s">
        <v>10954</v>
      </c>
      <c r="E695" s="33" t="s">
        <v>50</v>
      </c>
      <c r="F695" s="34" t="s">
        <v>10955</v>
      </c>
      <c r="H695" s="36" t="str">
        <f>HYPERLINK("https://www.google.com/maps/?q=47.5436361110001,-52.7936", "https://www.google.com/maps/?q=47.5436361110001,-52.7936")</f>
        <v>https://www.google.com/maps/?q=47.5436361110001,-52.7936</v>
      </c>
    </row>
    <row r="696" spans="1:8" ht="29" x14ac:dyDescent="0.35">
      <c r="A696" t="s">
        <v>10956</v>
      </c>
      <c r="B696" t="s">
        <v>10957</v>
      </c>
      <c r="C696" t="s">
        <v>10958</v>
      </c>
      <c r="D696" t="s">
        <v>10959</v>
      </c>
      <c r="E696" s="33" t="s">
        <v>50</v>
      </c>
      <c r="F696" s="34" t="s">
        <v>10960</v>
      </c>
      <c r="H696" s="36" t="str">
        <f>HYPERLINK("https://www.google.com/maps/?q=47.565813889,-52.717311111", "https://www.google.com/maps/?q=47.565813889,-52.717311111")</f>
        <v>https://www.google.com/maps/?q=47.565813889,-52.717311111</v>
      </c>
    </row>
    <row r="697" spans="1:8" x14ac:dyDescent="0.35">
      <c r="A697" t="s">
        <v>10961</v>
      </c>
      <c r="B697" t="s">
        <v>10962</v>
      </c>
      <c r="C697" t="s">
        <v>10963</v>
      </c>
      <c r="D697" t="s">
        <v>10964</v>
      </c>
      <c r="E697" s="33" t="s">
        <v>1109</v>
      </c>
      <c r="F697" s="34" t="s">
        <v>8288</v>
      </c>
      <c r="H697" s="36" t="str">
        <f>HYPERLINK("https://www.google.com/maps/?q=54.6094444440001,-66.653055556", "https://www.google.com/maps/?q=54.6094444440001,-66.653055556")</f>
        <v>https://www.google.com/maps/?q=54.6094444440001,-66.653055556</v>
      </c>
    </row>
    <row r="698" spans="1:8" ht="29" x14ac:dyDescent="0.35">
      <c r="A698" t="s">
        <v>10965</v>
      </c>
      <c r="B698" t="s">
        <v>10913</v>
      </c>
      <c r="C698" t="s">
        <v>10966</v>
      </c>
      <c r="D698" t="s">
        <v>10915</v>
      </c>
      <c r="E698" s="33" t="s">
        <v>50</v>
      </c>
      <c r="F698" s="34" t="s">
        <v>10762</v>
      </c>
      <c r="H698" s="36" t="str">
        <f>HYPERLINK("https://www.google.com/maps/?q=47.6311916670001,-52.7244388889999", "https://www.google.com/maps/?q=47.6311916670001,-52.7244388889999")</f>
        <v>https://www.google.com/maps/?q=47.6311916670001,-52.7244388889999</v>
      </c>
    </row>
    <row r="699" spans="1:8" ht="29" x14ac:dyDescent="0.35">
      <c r="A699" t="s">
        <v>10967</v>
      </c>
      <c r="B699" t="s">
        <v>10968</v>
      </c>
      <c r="C699" t="s">
        <v>10969</v>
      </c>
      <c r="D699" t="s">
        <v>10970</v>
      </c>
      <c r="E699" s="33" t="s">
        <v>28</v>
      </c>
      <c r="F699" s="34" t="s">
        <v>10971</v>
      </c>
      <c r="H699" s="36" t="str">
        <f>HYPERLINK("https://www.google.com/maps/?q=51.5044222220001,-55.463502778", "https://www.google.com/maps/?q=51.5044222220001,-55.463502778")</f>
        <v>https://www.google.com/maps/?q=51.5044222220001,-55.463502778</v>
      </c>
    </row>
    <row r="700" spans="1:8" ht="29" x14ac:dyDescent="0.35">
      <c r="A700" t="s">
        <v>10972</v>
      </c>
      <c r="B700" t="s">
        <v>10973</v>
      </c>
      <c r="C700" t="s">
        <v>10974</v>
      </c>
      <c r="D700" t="s">
        <v>10975</v>
      </c>
      <c r="E700" s="33" t="s">
        <v>461</v>
      </c>
      <c r="F700" s="34" t="s">
        <v>10976</v>
      </c>
      <c r="H700" s="36" t="str">
        <f>HYPERLINK("https://www.google.com/maps/?q=47.5927500000001,-52.72455", "https://www.google.com/maps/?q=47.5927500000001,-52.72455")</f>
        <v>https://www.google.com/maps/?q=47.5927500000001,-52.72455</v>
      </c>
    </row>
    <row r="701" spans="1:8" x14ac:dyDescent="0.35">
      <c r="A701" t="s">
        <v>10977</v>
      </c>
      <c r="B701" t="s">
        <v>10978</v>
      </c>
      <c r="C701" t="s">
        <v>10979</v>
      </c>
      <c r="D701" t="s">
        <v>10980</v>
      </c>
      <c r="E701" s="33" t="s">
        <v>50</v>
      </c>
      <c r="F701" s="34" t="s">
        <v>10498</v>
      </c>
      <c r="H701" s="36" t="str">
        <f>HYPERLINK("https://www.google.com/maps/?q=47.6333888890001,-52.7213833329999", "https://www.google.com/maps/?q=47.6333888890001,-52.7213833329999")</f>
        <v>https://www.google.com/maps/?q=47.6333888890001,-52.7213833329999</v>
      </c>
    </row>
    <row r="702" spans="1:8" ht="29" x14ac:dyDescent="0.35">
      <c r="A702" t="s">
        <v>10981</v>
      </c>
      <c r="B702" t="s">
        <v>10982</v>
      </c>
      <c r="C702" t="s">
        <v>10983</v>
      </c>
      <c r="D702" t="s">
        <v>10984</v>
      </c>
      <c r="E702" s="33" t="s">
        <v>44</v>
      </c>
      <c r="F702" s="34" t="s">
        <v>10985</v>
      </c>
      <c r="H702" s="36" t="str">
        <f>HYPERLINK("https://www.google.com/maps/?q=46.7834194440001,-53.6193", "https://www.google.com/maps/?q=46.7834194440001,-53.6193")</f>
        <v>https://www.google.com/maps/?q=46.7834194440001,-53.6193</v>
      </c>
    </row>
    <row r="703" spans="1:8" ht="29" x14ac:dyDescent="0.35">
      <c r="A703" t="s">
        <v>10986</v>
      </c>
      <c r="B703" t="s">
        <v>10987</v>
      </c>
      <c r="C703" t="s">
        <v>10988</v>
      </c>
      <c r="D703" t="s">
        <v>10989</v>
      </c>
      <c r="E703" s="33" t="s">
        <v>50</v>
      </c>
      <c r="F703" s="34" t="s">
        <v>10990</v>
      </c>
      <c r="H703" s="36" t="str">
        <f>HYPERLINK("https://www.google.com/maps/?q=47.5935638890001,-52.7260666669999", "https://www.google.com/maps/?q=47.5935638890001,-52.7260666669999")</f>
        <v>https://www.google.com/maps/?q=47.5935638890001,-52.7260666669999</v>
      </c>
    </row>
    <row r="704" spans="1:8" x14ac:dyDescent="0.35">
      <c r="A704" t="s">
        <v>10991</v>
      </c>
      <c r="B704" t="s">
        <v>10992</v>
      </c>
      <c r="C704" t="s">
        <v>10993</v>
      </c>
      <c r="D704" t="s">
        <v>10994</v>
      </c>
      <c r="E704" s="33" t="s">
        <v>1109</v>
      </c>
      <c r="F704" s="34" t="s">
        <v>8288</v>
      </c>
      <c r="H704" s="36" t="str">
        <f>HYPERLINK("https://www.google.com/maps/?q=54.4327777780001,-66.600555556", "https://www.google.com/maps/?q=54.4327777780001,-66.600555556")</f>
        <v>https://www.google.com/maps/?q=54.4327777780001,-66.600555556</v>
      </c>
    </row>
    <row r="705" spans="1:8" ht="29" x14ac:dyDescent="0.35">
      <c r="A705" t="s">
        <v>10995</v>
      </c>
      <c r="B705" t="s">
        <v>10996</v>
      </c>
      <c r="C705" t="s">
        <v>10997</v>
      </c>
      <c r="D705" t="s">
        <v>10998</v>
      </c>
      <c r="E705" s="33" t="s">
        <v>50</v>
      </c>
      <c r="F705" s="34" t="s">
        <v>9795</v>
      </c>
      <c r="H705" s="36" t="str">
        <f>HYPERLINK("https://www.google.com/maps/?q=47.613091667,-52.743327778", "https://www.google.com/maps/?q=47.613091667,-52.743327778")</f>
        <v>https://www.google.com/maps/?q=47.613091667,-52.743327778</v>
      </c>
    </row>
    <row r="706" spans="1:8" x14ac:dyDescent="0.35">
      <c r="A706" t="s">
        <v>10999</v>
      </c>
      <c r="B706" t="s">
        <v>11000</v>
      </c>
      <c r="C706" t="s">
        <v>11001</v>
      </c>
      <c r="D706" t="s">
        <v>11002</v>
      </c>
      <c r="E706" s="33" t="s">
        <v>1109</v>
      </c>
      <c r="F706" s="34" t="s">
        <v>11003</v>
      </c>
      <c r="H706" s="36" t="str">
        <f>HYPERLINK("https://www.google.com/maps/?q=53.0638888890001,-66.4575", "https://www.google.com/maps/?q=53.0638888890001,-66.4575")</f>
        <v>https://www.google.com/maps/?q=53.0638888890001,-66.4575</v>
      </c>
    </row>
    <row r="707" spans="1:8" ht="29" x14ac:dyDescent="0.35">
      <c r="A707" t="s">
        <v>11004</v>
      </c>
      <c r="B707" t="s">
        <v>11005</v>
      </c>
      <c r="C707" t="s">
        <v>11006</v>
      </c>
      <c r="D707" t="s">
        <v>11007</v>
      </c>
      <c r="E707" s="33" t="s">
        <v>44</v>
      </c>
      <c r="F707" s="34" t="s">
        <v>7373</v>
      </c>
      <c r="H707" s="36" t="str">
        <f>HYPERLINK("https://www.google.com/maps/?q=47.4607222220001,-53.605416667", "https://www.google.com/maps/?q=47.4607222220001,-53.605416667")</f>
        <v>https://www.google.com/maps/?q=47.4607222220001,-53.605416667</v>
      </c>
    </row>
    <row r="708" spans="1:8" ht="29" x14ac:dyDescent="0.35">
      <c r="A708" t="s">
        <v>11008</v>
      </c>
      <c r="B708" t="s">
        <v>11009</v>
      </c>
      <c r="C708" t="s">
        <v>11010</v>
      </c>
      <c r="D708" t="s">
        <v>11011</v>
      </c>
      <c r="E708" s="33" t="s">
        <v>50</v>
      </c>
      <c r="F708" s="34" t="s">
        <v>11012</v>
      </c>
      <c r="H708" s="36" t="str">
        <f>HYPERLINK("https://www.google.com/maps/?q=47.6012250000001,-52.7126222219999", "https://www.google.com/maps/?q=47.6012250000001,-52.7126222219999")</f>
        <v>https://www.google.com/maps/?q=47.6012250000001,-52.7126222219999</v>
      </c>
    </row>
    <row r="709" spans="1:8" ht="29" x14ac:dyDescent="0.35">
      <c r="A709" t="s">
        <v>11013</v>
      </c>
      <c r="B709" t="s">
        <v>11014</v>
      </c>
      <c r="C709" t="s">
        <v>11015</v>
      </c>
      <c r="D709" t="s">
        <v>11016</v>
      </c>
      <c r="E709" s="33" t="s">
        <v>50</v>
      </c>
      <c r="F709" s="34" t="s">
        <v>11017</v>
      </c>
      <c r="H709" s="36" t="str">
        <f>HYPERLINK("https://www.google.com/maps/?q=47.565725,-52.720544444", "https://www.google.com/maps/?q=47.565725,-52.720544444")</f>
        <v>https://www.google.com/maps/?q=47.565725,-52.720544444</v>
      </c>
    </row>
    <row r="710" spans="1:8" x14ac:dyDescent="0.35">
      <c r="A710" t="s">
        <v>11018</v>
      </c>
      <c r="B710" t="s">
        <v>11019</v>
      </c>
      <c r="C710" t="s">
        <v>11020</v>
      </c>
      <c r="D710" t="s">
        <v>11021</v>
      </c>
      <c r="E710" s="33" t="s">
        <v>1109</v>
      </c>
      <c r="F710" s="34" t="s">
        <v>9937</v>
      </c>
      <c r="H710" s="36" t="str">
        <f>HYPERLINK("https://www.google.com/maps/?q=52.568027778,-65.878194444", "https://www.google.com/maps/?q=52.568027778,-65.878194444")</f>
        <v>https://www.google.com/maps/?q=52.568027778,-65.878194444</v>
      </c>
    </row>
    <row r="711" spans="1:8" ht="29" x14ac:dyDescent="0.35">
      <c r="A711" t="s">
        <v>11022</v>
      </c>
      <c r="B711" t="s">
        <v>11023</v>
      </c>
      <c r="C711" t="s">
        <v>11024</v>
      </c>
      <c r="D711" t="s">
        <v>11025</v>
      </c>
      <c r="E711" s="33" t="s">
        <v>1109</v>
      </c>
      <c r="F711" s="34" t="s">
        <v>10934</v>
      </c>
      <c r="H711" s="36" t="str">
        <f>HYPERLINK("https://www.google.com/maps/?q=52.959722222,-66.891111111", "https://www.google.com/maps/?q=52.959722222,-66.891111111")</f>
        <v>https://www.google.com/maps/?q=52.959722222,-66.891111111</v>
      </c>
    </row>
    <row r="712" spans="1:8" x14ac:dyDescent="0.35">
      <c r="A712" t="s">
        <v>11026</v>
      </c>
      <c r="B712" t="s">
        <v>8680</v>
      </c>
      <c r="C712" t="s">
        <v>11027</v>
      </c>
      <c r="D712" t="s">
        <v>8682</v>
      </c>
      <c r="E712" s="33" t="s">
        <v>1109</v>
      </c>
      <c r="F712" s="34" t="s">
        <v>8683</v>
      </c>
      <c r="H712" s="36" t="str">
        <f>HYPERLINK("https://www.google.com/maps/?q=53.071388889,-66.203055556", "https://www.google.com/maps/?q=53.071388889,-66.203055556")</f>
        <v>https://www.google.com/maps/?q=53.071388889,-66.203055556</v>
      </c>
    </row>
    <row r="713" spans="1:8" x14ac:dyDescent="0.35">
      <c r="A713" t="s">
        <v>11028</v>
      </c>
      <c r="B713" t="s">
        <v>11029</v>
      </c>
      <c r="C713" t="s">
        <v>11030</v>
      </c>
      <c r="D713" t="s">
        <v>11031</v>
      </c>
      <c r="E713" s="33" t="s">
        <v>1109</v>
      </c>
      <c r="F713" s="34" t="s">
        <v>11032</v>
      </c>
      <c r="H713" s="36" t="str">
        <f>HYPERLINK("https://www.google.com/maps/?q=52.4447222220001,-65.806111111", "https://www.google.com/maps/?q=52.4447222220001,-65.806111111")</f>
        <v>https://www.google.com/maps/?q=52.4447222220001,-65.806111111</v>
      </c>
    </row>
    <row r="714" spans="1:8" ht="29" x14ac:dyDescent="0.35">
      <c r="A714" t="s">
        <v>11033</v>
      </c>
      <c r="B714" t="s">
        <v>11034</v>
      </c>
      <c r="C714" t="s">
        <v>11035</v>
      </c>
      <c r="D714" t="s">
        <v>11036</v>
      </c>
      <c r="E714" s="33" t="s">
        <v>50</v>
      </c>
      <c r="F714" s="34" t="s">
        <v>11037</v>
      </c>
      <c r="H714" s="36" t="str">
        <f>HYPERLINK("https://www.google.com/maps/?q=47.566319444,-52.722941667", "https://www.google.com/maps/?q=47.566319444,-52.722941667")</f>
        <v>https://www.google.com/maps/?q=47.566319444,-52.722941667</v>
      </c>
    </row>
    <row r="715" spans="1:8" ht="29" x14ac:dyDescent="0.35">
      <c r="A715" t="s">
        <v>11038</v>
      </c>
      <c r="B715" t="s">
        <v>11039</v>
      </c>
      <c r="C715" t="s">
        <v>11040</v>
      </c>
      <c r="D715" t="s">
        <v>11041</v>
      </c>
      <c r="E715" s="33" t="s">
        <v>50</v>
      </c>
      <c r="F715" s="34" t="s">
        <v>9918</v>
      </c>
      <c r="H715" s="36" t="str">
        <f>HYPERLINK("https://www.google.com/maps/?q=47.633358333,-52.731302778", "https://www.google.com/maps/?q=47.633358333,-52.731302778")</f>
        <v>https://www.google.com/maps/?q=47.633358333,-52.731302778</v>
      </c>
    </row>
    <row r="716" spans="1:8" x14ac:dyDescent="0.35">
      <c r="A716" t="s">
        <v>11042</v>
      </c>
      <c r="B716" t="s">
        <v>11043</v>
      </c>
      <c r="C716" t="s">
        <v>11044</v>
      </c>
      <c r="D716" t="s">
        <v>11045</v>
      </c>
      <c r="E716" s="33" t="s">
        <v>1109</v>
      </c>
      <c r="F716" s="34" t="s">
        <v>8288</v>
      </c>
      <c r="H716" s="36" t="str">
        <f>HYPERLINK("https://www.google.com/maps/?q=53.874083333,-66.428388889", "https://www.google.com/maps/?q=53.874083333,-66.428388889")</f>
        <v>https://www.google.com/maps/?q=53.874083333,-66.428388889</v>
      </c>
    </row>
    <row r="717" spans="1:8" x14ac:dyDescent="0.35">
      <c r="A717" t="s">
        <v>11046</v>
      </c>
      <c r="B717" t="s">
        <v>11047</v>
      </c>
      <c r="C717" t="s">
        <v>11048</v>
      </c>
      <c r="D717" t="s">
        <v>11049</v>
      </c>
      <c r="E717" s="33" t="s">
        <v>1109</v>
      </c>
      <c r="F717" s="34" t="s">
        <v>8288</v>
      </c>
      <c r="H717" s="36" t="str">
        <f>HYPERLINK("https://www.google.com/maps/?q=54.4830555560001,-66.633055556", "https://www.google.com/maps/?q=54.4830555560001,-66.633055556")</f>
        <v>https://www.google.com/maps/?q=54.4830555560001,-66.633055556</v>
      </c>
    </row>
    <row r="718" spans="1:8" ht="29" x14ac:dyDescent="0.35">
      <c r="A718" t="s">
        <v>11050</v>
      </c>
      <c r="B718" t="s">
        <v>11051</v>
      </c>
      <c r="C718" t="s">
        <v>11052</v>
      </c>
      <c r="D718" t="s">
        <v>11053</v>
      </c>
      <c r="E718" s="33" t="s">
        <v>50</v>
      </c>
      <c r="F718" s="34" t="s">
        <v>11054</v>
      </c>
      <c r="H718" s="36" t="str">
        <f>HYPERLINK("https://www.google.com/maps/?q=47.5594888890001,-52.7548805559999", "https://www.google.com/maps/?q=47.5594888890001,-52.7548805559999")</f>
        <v>https://www.google.com/maps/?q=47.5594888890001,-52.7548805559999</v>
      </c>
    </row>
    <row r="1032808" spans="9:11" ht="18.5" x14ac:dyDescent="0.35">
      <c r="I1032808" s="21"/>
      <c r="J1032808" s="88"/>
      <c r="K1032808" s="108"/>
    </row>
    <row r="1032809" spans="9:11" x14ac:dyDescent="0.35">
      <c r="K1032809" s="77"/>
    </row>
    <row r="1032810" spans="9:11" x14ac:dyDescent="0.35">
      <c r="K1032810" s="77"/>
    </row>
    <row r="1032811" spans="9:11" x14ac:dyDescent="0.35">
      <c r="I1032811" s="39"/>
      <c r="J1032811" s="39"/>
      <c r="K1032811" s="77"/>
    </row>
    <row r="1032812" spans="9:11" x14ac:dyDescent="0.35">
      <c r="K1032812" s="77"/>
    </row>
    <row r="1032815" spans="9:11" x14ac:dyDescent="0.35">
      <c r="K1032815" s="77"/>
    </row>
    <row r="1032817" spans="9:11" x14ac:dyDescent="0.35">
      <c r="J1032817" s="82"/>
    </row>
    <row r="1032818" spans="9:11" x14ac:dyDescent="0.35">
      <c r="K1032818" s="77"/>
    </row>
    <row r="1032819" spans="9:11" x14ac:dyDescent="0.35">
      <c r="K1032819" s="77"/>
    </row>
    <row r="1032820" spans="9:11" x14ac:dyDescent="0.35">
      <c r="K1032820" s="77"/>
    </row>
    <row r="1032822" spans="9:11" x14ac:dyDescent="0.35">
      <c r="I1032822" s="82"/>
    </row>
    <row r="1032823" spans="9:11" x14ac:dyDescent="0.35">
      <c r="I1032823" s="82"/>
    </row>
    <row r="1032824" spans="9:11" x14ac:dyDescent="0.35">
      <c r="K1032824" s="77"/>
    </row>
    <row r="1032825" spans="9:11" x14ac:dyDescent="0.35">
      <c r="K1032825" s="77"/>
    </row>
    <row r="1032826" spans="9:11" x14ac:dyDescent="0.35">
      <c r="K1032826" s="77"/>
    </row>
    <row r="1032827" spans="9:11" x14ac:dyDescent="0.35">
      <c r="K1032827" s="77"/>
    </row>
    <row r="1032829" spans="9:11" x14ac:dyDescent="0.35">
      <c r="K1032829" s="77"/>
    </row>
    <row r="1032830" spans="9:11" x14ac:dyDescent="0.35">
      <c r="K1032830" s="77"/>
    </row>
    <row r="1032831" spans="9:11" x14ac:dyDescent="0.35">
      <c r="K1032831" s="77"/>
    </row>
    <row r="1032832" spans="9:11" x14ac:dyDescent="0.35">
      <c r="K1032832" s="77"/>
    </row>
    <row r="1032833" spans="11:11" x14ac:dyDescent="0.35">
      <c r="K1032833" s="77"/>
    </row>
    <row r="1032834" spans="11:11" x14ac:dyDescent="0.35">
      <c r="K1032834" s="77"/>
    </row>
    <row r="1032835" spans="11:11" x14ac:dyDescent="0.35">
      <c r="K1032835" s="77"/>
    </row>
    <row r="1033258" spans="9:10" x14ac:dyDescent="0.35">
      <c r="I1033258" s="85"/>
      <c r="J1033258" s="85"/>
    </row>
    <row r="1033259" spans="9:10" x14ac:dyDescent="0.35">
      <c r="I1033259" s="85"/>
      <c r="J1033259" s="85"/>
    </row>
    <row r="1033260" spans="9:10" x14ac:dyDescent="0.35">
      <c r="I1033260" s="85"/>
      <c r="J1033260" s="85"/>
    </row>
    <row r="1033261" spans="9:10" x14ac:dyDescent="0.35">
      <c r="I1033261" s="85"/>
      <c r="J1033261" s="85"/>
    </row>
    <row r="1033262" spans="9:10" x14ac:dyDescent="0.35">
      <c r="I1033262" s="85"/>
      <c r="J1033262" s="85"/>
    </row>
  </sheetData>
  <autoFilter ref="A1:M1" xr:uid="{35765FDA-9654-4091-9B2D-18749868D610}"/>
  <conditionalFormatting sqref="E1:E1048576">
    <cfRule type="expression" dxfId="7" priority="9">
      <formula>MOD(ROW(),2)=0</formula>
    </cfRule>
    <cfRule type="colorScale" priority="10">
      <colorScale>
        <cfvo type="min"/>
        <cfvo type="max"/>
        <color theme="6"/>
        <color theme="0"/>
      </colorScale>
    </cfRule>
    <cfRule type="expression" priority="11">
      <formula>MOD(ROW(),2)=0</formula>
    </cfRule>
  </conditionalFormatting>
  <conditionalFormatting sqref="E1:F1048576">
    <cfRule type="expression" dxfId="6" priority="6">
      <formula>MOD(ROW(),2)=0</formula>
    </cfRule>
  </conditionalFormatting>
  <conditionalFormatting sqref="F1:F1048576">
    <cfRule type="expression" dxfId="5" priority="7">
      <formula>MOD(ROW(),2)=0</formula>
    </cfRule>
  </conditionalFormatting>
  <conditionalFormatting sqref="G1:G1048576">
    <cfRule type="expression" dxfId="4" priority="4">
      <formula>MOD(ROW(),2)=0</formula>
    </cfRule>
  </conditionalFormatting>
  <conditionalFormatting sqref="H1:H1048576">
    <cfRule type="expression" dxfId="3" priority="5">
      <formula>MOD(ROW(),2)=0</formula>
    </cfRule>
  </conditionalFormatting>
  <conditionalFormatting sqref="I1:I1033278">
    <cfRule type="expression" dxfId="2" priority="3">
      <formula>MOD(ROW(),2)=0</formula>
    </cfRule>
  </conditionalFormatting>
  <conditionalFormatting sqref="J1:J1033278">
    <cfRule type="expression" dxfId="1" priority="2">
      <formula>MOD(ROW(),2)=0</formula>
    </cfRule>
  </conditionalFormatting>
  <conditionalFormatting sqref="K1:K1033278">
    <cfRule type="expression" dxfId="0" priority="1">
      <formula>MOD(ROW(),2)=0</formula>
    </cfRule>
  </conditionalFormatting>
  <dataValidations count="1">
    <dataValidation type="list" allowBlank="1" showInputMessage="1" showErrorMessage="1" sqref="G1:G1048576" xr:uid="{3EA604BA-42D7-4ADD-A200-8750505FF132}">
      <formula1>"Apartment,Commercial Building,Warehouse,Office,Guyed,Lattice Tower,Monopole Tower,Tree,Other Structure"</formula1>
    </dataValidation>
  </dataValidations>
  <hyperlinks>
    <hyperlink ref="J5" r:id="rId1" xr:uid="{E3856624-2250-47F4-A855-4E90C9FB121E}"/>
    <hyperlink ref="H57" r:id="rId2" display="https://www.google.com/maps/place/CBC+Broadcast+Tower/@47.5284294,-52.7865416,3a,15y,330.54h,108.3t/data=!3m7!1e1!3m5!1sTllWGCZ-Fnp7YklgsrEkzQ!2e0!6shttps:%2F%2Fstreetviewpixels-pa.googleapis.com%2Fv1%2Fthumbnail%3Fcb_client%3Dmaps_sv.tactile%26w%3D900%26h%3D600%26pitch%3D-18.295292907959677%26panoid%3DTllWGCZ-Fnp7YklgsrEkzQ%26yaw%3D330.53704615249876!7i13312!8i6656!4m12!1m5!3m4!2zNDfCsDMxJzU5LjEiTiA1MsKwNDcnMjYuMSJX!8m2!3d47.5330778!4d-52.7905778!3m5!1s0x4b0cbd00496c1fd3:0x3e8803310c53bed6!8m2!3d47.5331555!4d-52.7905149!16s%2Fg%2F11ldv9ljvd?entry=ttu&amp;g_ep=EgoyMDI2MDExMy4wIKXMDSoASAFQAw%3D%3D" xr:uid="{E580BF7B-C37D-4708-895A-4766E383828F}"/>
    <hyperlink ref="H67" r:id="rId3" display="https://www.google.com/maps/place/47%C2%B038'58.1%22N+52%C2%B045'47.3%22W/@47.6491396,-52.7610732,3a,17.3y,297.18h,107.14t/data=!3m7!1e1!3m5!1s6OrVH7Lz9Xg5gjnLwrDnDw!2e0!6shttps:%2F%2Fstreetviewpixels-pa.googleapis.com%2Fv1%2Fthumbnail%3Fcb_client%3Dmaps_sv.tactile%26w%3D900%26h%3D600%26pitch%3D-17.1350568363313%26panoid%3D6OrVH7Lz9Xg5gjnLwrDnDw%26yaw%3D297.17558740730084!7i16384!8i8192!4m4!3m3!8m2!3d47.6494611!4d-52.7631278?entry=ttu&amp;g_ep=EgoyMDI2MDExMy4wIKXMDSoASAFQAw%3D%3D" xr:uid="{5622FE2D-3E92-4201-89BA-D650D7ED38EE}"/>
    <hyperlink ref="H69" r:id="rId4" display="https://www.google.com/maps/place/48%C2%B058'60.0%22N+57%C2%B055'56.0%22W/@48.9842355,-57.9323791,3a,54.8y,206.13h,99.55t/data=!3m7!1e1!3m5!1siJanavBEvEMU5iVvPUafyQ!2e0!6shttps:%2F%2Fstreetviewpixels-pa.googleapis.com%2Fv1%2Fthumbnail%3Fcb_client%3Dmaps_sv.tactile%26w%3D900%26h%3D600%26pitch%3D-9.550598257832561%26panoid%3DiJanavBEvEMU5iVvPUafyQ%26yaw%3D206.13263861280848!7i16384!8i8192!4m4!3m3!8m2!3d48.9833306!4d-57.9322194?entry=ttu&amp;g_ep=EgoyMDI2MDExMy4wIKXMDSoASAFQAw%3D%3D" xr:uid="{27FEBD33-AE78-4666-840F-BD1535603DC2}"/>
    <hyperlink ref="H78" r:id="rId5" display="https://www.google.com/maps/place/47%C2%B033'41.6%22N+52%C2%B043'52.4%22W/@47.5622919,-52.73097,3a,75y,34.9h,101.42t/data=!3m7!1e1!3m5!1sNmQ7e-V0BstmgkhawE7nqw!2e0!6shttps:%2F%2Fstreetviewpixels-pa.googleapis.com%2Fv1%2Fthumbnail%3Fcb_client%3Dmaps_sv.tactile%26w%3D900%26h%3D600%26pitch%3D-11.42287028498086%26panoid%3DNmQ7e-V0BstmgkhawE7nqw%26yaw%3D34.89858369735908!7i16384!8i8192!4m4!3m3!8m2!3d47.5615444!4d-52.7312139?entry=ttu&amp;g_ep=EgoyMDI2MDExMy4wIKXMDSoASAFQAw%3D%3D" xr:uid="{AB34C936-DDF7-40CA-8385-61C3219BBC6F}"/>
    <hyperlink ref="H87" r:id="rId6" display="https://www.google.com/maps/place/49%C2%B008'30.8%22N+55%C2%B005'03.1%22W/@49.145282,-55.0765935,3a,71y,353.71h,92.55t/data=!3m7!1e1!3m5!1smZijSEWYOuQ4wGasUpdPAQ!2e0!6shttps:%2F%2Fstreetviewpixels-pa.googleapis.com%2Fv1%2Fthumbnail%3Fcb_client%3Dmaps_sv.tactile%26w%3D900%26h%3D600%26pitch%3D-2.5498738488591783%26panoid%3DmZijSEWYOuQ4wGasUpdPAQ%26yaw%3D353.712913746956!7i16384!8i8192!4m4!3m3!8m2!3d49.1418972!4d-55.0842?entry=ttu&amp;g_ep=EgoyMDI2MDExMy4wIKXMDSoASAFQAw%3D%3D" xr:uid="{E14999C4-B2C1-44E3-AEE6-6276B6CC6783}"/>
    <hyperlink ref="H45" r:id="rId7" display="https://www.google.com/maps/place/47%C2%B033'26.4%22N+52%C2%B043'17.7%22W/@47.5584906,-52.7213351,3a,75y,149.75h,89.99t/data=!3m7!1e1!3m5!1squ_2MJ_Gsp77Y5XtqI-R7Q!2e0!6shttps:%2F%2Fstreetviewpixels-pa.googleapis.com%2Fv1%2Fthumbnail%3Fcb_client%3Dmaps_sv.tactile%26w%3D900%26h%3D600%26pitch%3D0.01000328998070188%26panoid%3Dqu_2MJ_Gsp77Y5XtqI-R7Q%26yaw%3D149.74537118077964!7i16384!8i8192!4m4!3m3!8m2!3d47.5573444!4d-52.7215722?entry=ttu&amp;g_ep=EgoyMDI2MDExMy4wIKXMDSoASAFQAw%3D%3D" xr:uid="{D06C6077-7334-401C-8658-4BDFD773C295}"/>
    <hyperlink ref="H115" r:id="rId8" display="https://www.google.com/maps/place/49%C2%B030'12.0%22N+56%C2%B004'12.0%22W/@49.5023591,-56.0677615,3a,41.4y,307.1h,106.49t/data=!3m7!1e1!3m5!1syQtHp55Cm9ulIvCx1hMrTg!2e0!6shttps:%2F%2Fstreetviewpixels-pa.googleapis.com%2Fv1%2Fthumbnail%3Fcb_client%3Dmaps_sv.tactile%26w%3D900%26h%3D600%26pitch%3D-16.48888376466431%26panoid%3DyQtHp55Cm9ulIvCx1hMrTg%26yaw%3D307.0958517855913!7i13312!8i6656!4m4!3m3!8m2!3d49.5033333!4d-56.0699972?entry=ttu&amp;g_ep=EgoyMDI2MDExMy4wIKXMDSoASAFQAw%3D%3D" xr:uid="{9DD67264-206F-4E6C-96AB-1F392D47A788}"/>
    <hyperlink ref="H121" r:id="rId9" display="https://www.google.com/maps/place/47%C2%B033'46.0%22N+52%C2%B048'32.0%22W/@47.5660563,-52.8077593,3a,36.9y,195.71h,95.28t/data=!3m8!1e1!3m6!1sCIHM0ogKEICAgIDaq7jM9AE!2e10!3e11!6shttps:%2F%2Flh3.googleusercontent.com%2Fgpms-cs-s%2FAPRy3c8KXGbKCFVhTAAHF5U7m0kUZ6woSCiHFBodc7lUGPBQDBw0QMseahY4awGkT-NBhcxY6cgsaBLs6lLYF3GJGZfbdNyz54unJFKAI52LVdTC7BoZKQjlWza9GYEiL0vCjYMObtmpXw%3Dw900-h600-k-no-pi-5.284160818188468-ya233.08868987788046-ro0-fo100!7i7680!8i3840!4m4!3m3!8m2!3d47.5627778!4d-52.8088889?entry=ttu&amp;g_ep=EgoyMDI2MDExMy4wIKXMDSoASAFQAw%3D%3D" xr:uid="{E5E5C54D-F076-4846-AE07-62D3EC726E14}"/>
    <hyperlink ref="H162" r:id="rId10" display="https://www.google.com/maps/place/47%C2%B041'35.9%22N+53%C2%B028'10.1%22W/@47.6915638,-53.478489,3a,15y,74.55h,102.19t/data=!3m7!1e1!3m5!1sFieR373PlIjmhOwhKXXjag!2e0!6shttps:%2F%2Fstreetviewpixels-pa.googleapis.com%2Fv1%2Fthumbnail%3Fcb_client%3Dmaps_sv.tactile%26w%3D900%26h%3D600%26pitch%3D-12.185354022588328%26panoid%3DFieR373PlIjmhOwhKXXjag%26yaw%3D74.54665429886009!7i13312!8i6656!4m4!3m3!8m2!3d47.6933028!4d-53.4694694?entry=ttu&amp;g_ep=EgoyMDI2MDExMy4wIKXMDSoASAFQAw%3D%3D" xr:uid="{022D07A2-A069-4D87-B326-8DF0AA4F1E28}"/>
    <hyperlink ref="H200" r:id="rId11" display="https://www.google.com/maps/place/48%C2%B035'58.7%22N+59%C2%B007'52.9%22W/@48.5988479,-59.1333813,3a,75y,122.01h,111.24t/data=!3m7!1e1!3m5!1sSYuXRb3-M0lLv5OYif1TmA!2e0!6shttps:%2F%2Fstreetviewpixels-pa.googleapis.com%2Fv1%2Fthumbnail%3Fcb_client%3Dmaps_sv.tactile%26w%3D900%26h%3D600%26pitch%3D-21.24216342777207%26panoid%3DSYuXRb3-M0lLv5OYif1TmA%26yaw%3D122.0062318580585!7i16384!8i8192!4m4!3m3!8m2!3d48.5996333!4d-59.1313694?entry=ttu&amp;g_ep=EgoyMDI2MDExMy4wIKXMDSoASAFQAw%3D%3D" xr:uid="{4D84EF7E-2901-4473-8560-E60147D40CFB}"/>
    <hyperlink ref="H205" r:id="rId12" display="https://www.google.com/maps/place/50%C2%B038'58.0%22N+57%C2%B017'43.0%22W/@50.6471075,-57.2908134,3a,60.8y,328.39h,114.62t/data=!3m7!1e1!3m5!1s0UVBto5m8NavgNmFmhRBGA!2e0!6shttps:%2F%2Fstreetviewpixels-pa.googleapis.com%2Fv1%2Fthumbnail%3Fcb_client%3Dmaps_sv.tactile%26w%3D900%26h%3D600%26pitch%3D-24.617481223659013%26panoid%3D0UVBto5m8NavgNmFmhRBGA%26yaw%3D328.39126037502393!7i16384!8i8192!4m4!3m3!8m2!3d50.6494417!4d-57.295275?entry=ttu&amp;g_ep=EgoyMDI2MDExMy4wIKXMDSoASAFQAw%3D%3D" xr:uid="{A64F236C-B9B2-469A-8879-0038DC90A342}"/>
    <hyperlink ref="H206" r:id="rId13" display="https://www.google.com/maps/place/47%C2%B010'02.3%22N+55%C2%B009'22.3%22W/@47.1663492,-55.1543658,3a,37.6y,296.77h,91.9t/data=!3m7!1e1!3m5!1sZ8oE7Zy1WgNsOOu-GUJ4Cw!2e0!6shttps:%2F%2Fstreetviewpixels-pa.googleapis.com%2Fv1%2Fthumbnail%3Fcb_client%3Dmaps_sv.tactile%26w%3D900%26h%3D600%26pitch%3D-1.8952059361895692%26panoid%3DZ8oE7Zy1WgNsOOu-GUJ4Cw%26yaw%3D296.7688236760023!7i13312!8i6656!4m4!3m3!8m2!3d47.1673056!4d-55.1562056?entry=ttu&amp;g_ep=EgoyMDI2MDExMy4wIKXMDSoASAFQAw%3D%3D" xr:uid="{EA7ED31E-3BC1-42BC-A8BC-2BD33A527AF9}"/>
    <hyperlink ref="H231" r:id="rId14" display="https://www.google.com/maps/place/47%C2%B034'27.9%22N+52%C2%B043'19.6%22W/@47.5738621,-52.724921,3a,47y,84.07h,106.07t/data=!3m7!1e1!3m5!1slGcLO_0evDMXMTC3QrGchQ!2e0!6shttps:%2F%2Fstreetviewpixels-pa.googleapis.com%2Fv1%2Fthumbnail%3Fcb_client%3Dmaps_sv.tactile%26w%3D900%26h%3D600%26pitch%3D-16.073275292922844%26panoid%3DlGcLO_0evDMXMTC3QrGchQ%26yaw%3D84.06549911405195!7i13312!8i6656!4m4!3m3!8m2!3d47.5744194!4d-52.7221?entry=ttu&amp;g_ep=EgoyMDI2MDExOS4wIKXMDSoASAFQAw%3D%3D" xr:uid="{B87B3784-82AA-4F9B-A182-6AE9D6D6E291}"/>
    <hyperlink ref="H255" r:id="rId15" display="https://www.google.com/maps/place/47%C2%B031'52.0%22N+52%C2%B049'49.6%22W/@47.5346178,-52.8257916,3a,49.6y,89.3h,97.11t/data=!3m7!1e1!3m5!1s7Vii88Dfs1WKr5LUSkf57w!2e0!6shttps:%2F%2Fstreetviewpixels-pa.googleapis.com%2Fv1%2Fthumbnail%3Fcb_client%3Dmaps_sv.tactile%26w%3D900%26h%3D600%26pitch%3D-7.106154796836137%26panoid%3D7Vii88Dfs1WKr5LUSkf57w%26yaw%3D89.29634515155938!7i16384!8i8192!4m4!3m3!8m2!3d47.5311167!4d-52.8304306?entry=ttu&amp;g_ep=EgoyMDI2MDExOS4wIKXMDSoASAFQAw%3D%3D" xr:uid="{7FF63E38-E68B-4276-8162-7F7FDB5B4B6A}"/>
    <hyperlink ref="H273" r:id="rId16" display="https://www.google.com/maps/place/47%C2%B033'35.9%22N+52%C2%B044'44.1%22W/@47.5607071,-52.7441635,3a,75y,93.39h,96.62t/data=!3m7!1e1!3m5!1sCIHM0ogKEICAgIDa59DKPg!2e10!6shttps:%2F%2Flh3.googleusercontent.com%2Fgpms-cs-s%2FAPRy3c_EV9Hq1o9qrQF2tLxPLif7nUoegxiYLEh39iVWRNuq4202TXlzMnQr4aDD8wd6QWRcvHz0UI2BEaubqfSRnXyC4bfXYSqUBx1nteJm89_wfJjZd7lAd2UG5ftv196SoabbNX1C%3Dw900-h600-k-no-pi-6.620516700606359-ya90.44450845637478-ro0-fo100!7i7680!8i3840!4m4!3m3!8m2!3d47.5599694!4d-52.7455778?entry=ttu&amp;g_ep=EgoyMDI2MDExOS4wIKXMDSoASAFQAw%3D%3D" xr:uid="{6E0ABADB-8FE1-467B-BC3A-E386F10880D0}"/>
    <hyperlink ref="H279" r:id="rId17" display="https://www.google.com/maps/place/47%C2%B033'56.4%22N+52%C2%B042'18.0%22W/@47.5660244,-52.7046549,3a,75.5y,279.12h,118.86t/data=!3m7!1e1!3m5!1sqIENDDTGJBsnDZb9pNnMdg!2e0!6shttps:%2F%2Fstreetviewpixels-pa.googleapis.com%2Fv1%2Fthumbnail%3Fcb_client%3Dmaps_sv.tactile%26w%3D900%26h%3D600%26pitch%3D-28.861987244627485%26panoid%3DqIENDDTGJBsnDZb9pNnMdg%26yaw%3D279.1166224165664!7i16384!8i8192!4m4!3m3!8m2!3d47.5656667!4d-52.7049861?entry=ttu&amp;g_ep=EgoyMDI2MDExOS4wIKXMDSoASAFQAw%3D%3D" xr:uid="{64F1934B-985F-47A6-8775-33B36CEA5475}"/>
    <hyperlink ref="H287" r:id="rId18" display="https://www.google.com/maps/place/49%C2%B036'55.6%22N+54%C2%B010'34.5%22W/@49.6160278,-54.1740939,3a,15y,206.86h,103.66t/data=!3m7!1e1!3m5!1sCIHM0ogKEICAgIChxPDI3AE!2e10!6shttps:%2F%2Flh3.googleusercontent.com%2Fgpms-cs-s%2FAPRy3c9RNM_JDKqEb6jrfWIplkwcuN16poOV7mY8ixKWs1W77DTC3SQgNkk3bYVeDiQxrkA6zF3lKIZrAVxgYob6PyEQQpPsTXF8O61ynWBtDHPbP1pPU5LH7RGXIEkqgcOYnID5wFVe%3Dw900-h600-k-no-pi-13.65631941203111-ya149.86692433307098-ro0-fo100!7i3840!8i1920!4m4!3m3!8m2!3d49.6154472!4d-54.1762583?entry=ttu&amp;g_ep=EgoyMDI2MDExOS4wIKXMDSoASAFQAw%3D%3D" xr:uid="{563D0272-995D-48A5-9FBC-68900654C85D}"/>
    <hyperlink ref="H291" r:id="rId19" display="https://www.google.com/maps/place/48%C2%B022'05.4%22N+53%C2%B043'22.5%22W/@48.3693772,-53.7205138,3a,90y,321.87h,103.14t/data=!3m7!1e1!3m5!1sQutIgATg0DmGq7w2Bj_qAg!2e0!6shttps:%2F%2Fstreetviewpixels-pa.googleapis.com%2Fv1%2Fthumbnail%3Fcb_client%3Dmaps_sv.tactile%26w%3D900%26h%3D600%26pitch%3D-13.137750290617348%26panoid%3DQutIgATg0DmGq7w2Bj_qAg%26yaw%3D321.86536661599143!7i13312!8i6656!4m4!3m3!8m2!3d48.3681528!4d-53.722925?entry=ttu&amp;g_ep=EgoyMDI2MDExOS4wIKXMDSoASAFQAw%3D%3D" xr:uid="{A412B8BC-D527-4BDE-9BE0-80D0A5BD876B}"/>
    <hyperlink ref="H2" r:id="rId20" display="https://www.google.com/maps/place/47%C2%B033'35.7%22N+52%C2%B044'47.0%22W/@47.5601745,-52.7458526,3a,41.2y,229.94h,105.34t/data=!3m8!1e1!3m6!1sCIHM0ogKEICAgICb6YTmNA!2e10!3e11!6shttps:%2F%2Flh3.googleusercontent.com%2Fgpms-cs-s%2FAPRy3c8rOIB1zwqK299firj6fJXTbLHBTeDPB-cAfGA2hwxN00FrBup_2pe7xZgItvkVY-sZYxvZqErcTP_v80TGP8iUxeVGz6GhsCegxsYQ0CQqUZq6ximpjaqEBrT8Q7wQG6zdYRo%3Dw900-h600-k-no-pi-15.34208656749972-ya319.98276148773516-ro0-fo100!7i7680!8i3840!4m4!3m3!8m2!3d47.5599278!4d-52.7463889?entry=ttu&amp;g_ep=EgoyMDI1MTIwOS4wIKXMDSoASAFQAw%3D%3D" xr:uid="{50B9176F-6020-4548-910C-3BC9CE51E638}"/>
    <hyperlink ref="H307" r:id="rId21" display="https://www.google.com/maps/place/Starbucks+Coffee+Company/@47.5075657,-52.8312624,3a,90y,69.31h,88.68t/data=!3m7!1e1!3m5!1sCIHM0ogKEICAgICTwJfzZA!2e10!6shttps:%2F%2Flh3.googleusercontent.com%2Fgpms-cs-s%2FAPRy3c89fh7AITjMVxPCw0s4homZ8HAors92mHRukblKeVt5XOAWfsYjESb4VMnM4TkFMWujWYGoDRj-1EKRv-GYLzIjXJ0DYDb4Ki0KphlBvwV-eAfdgcH8sjhiXaeS7o6r-LVED9No%3Dw900-h600-k-no-pi1.3184602554007654-ya265.9999136493321-ro0-fo100!7i7680!8i3840!4m12!1m5!3m4!2zNDfCsDMwJzI2LjUiTiA1MsKwNDknNDcuOSJX!8m2!3d47.50735!4d-52.8299806!3m5!1s0x4b0cbd8b38d23217:0x7d764b4b5d9f433c!8m2!3d47.50766!4d-52.83188!16s%2Fg%2F11fr3b6wx5?entry=ttu&amp;g_ep=EgoyMDI2MDEyMC4wIKXMDSoASAFQAw%3D%3D" xr:uid="{15D94565-825C-446A-B5FB-21310C0C967F}"/>
    <hyperlink ref="H318" r:id="rId22" display="https://www.google.com/maps/place/48%C2%B047'20.0%22N+54%C2%B012'24.8%22W/@48.789221,-54.2062857,3a,75.4y,242.61h,107.59t/data=!3m8!1e1!3m6!1sCIHM0ogKEICAgICe8dTuGw!2e10!3e11!6shttps:%2F%2Flh3.googleusercontent.com%2Fgpms-cs-s%2FAPRy3c8NKDLwhU778Huost6lpedWZf8aHAaThi0AGL2_PiCC2kUGHKrX8TwBTm8acn-_sDSuiRc1BGfAuLfe0IgJY6WfbmjFDA2k1rx6c1YCV4umzZ2uYdHLeYP6s2VzBgXtTt1ug-A%3Dw900-h600-k-no-pi-17.590933934684173-ya180.61338581687784-ro0-fo100!7i11264!8i5632!4m4!3m3!8m2!3d48.7889!4d-54.2069?entry=ttu&amp;g_ep=EgoyMDI2MDEyMC4wIKXMDSoASAFQAw%3D%3D" xr:uid="{73D895C8-E703-491F-B10A-2554334614A1}"/>
    <hyperlink ref="H326" r:id="rId23" display="https://www.google.com/maps/place/48%C2%B054'51.1%22N+57%C2%B055'05.2%22W/@48.9125556,-57.9001644,3a,30.1y,274.15h,95.31t/data=!3m7!1e1!3m5!1sYP75mmGgV73C8s-BwZozNg!2e0!6shttps:%2F%2Fstreetviewpixels-pa.googleapis.com%2Fv1%2Fthumbnail%3Fcb_client%3Dmaps_sv.tactile%26w%3D900%26h%3D600%26pitch%3D-5.312950355185166%26panoid%3DYP75mmGgV73C8s-BwZozNg%26yaw%3D274.1529672464442!7i16384!8i8192!4m4!3m3!8m2!3d48.9142!4d-57.9181?entry=ttu&amp;g_ep=EgoyMDI2MDEyMC4wIKXMDSoASAFQAw%3D%3D" xr:uid="{4D66685D-517A-4C7B-9D9A-EA10E0B2EB37}"/>
    <hyperlink ref="H25" r:id="rId24" display="https://www.google.com/maps/place/47%C2%B032'05.0%22N+52%C2%B045'01.0%22W/@47.5334916,-52.7498098,3a,30.5y,343.23h,99.12t/data=!3m7!1e1!3m5!1s-qFtvOxZsFqsJOYZxgAicQ!2e0!6shttps:%2F%2Fstreetviewpixels-pa.googleapis.com%2Fv1%2Fthumbnail%3Fcb_client%3Dmaps_sv.tactile%26w%3D900%26h%3D600%26pitch%3D-9.117271375927515%26panoid%3D-qFtvOxZsFqsJOYZxgAicQ%26yaw%3D343.2303119153915!7i13312!8i6656!4m4!3m3!8m2!3d47.5347194!4d-52.7502778?entry=ttu&amp;g_ep=EgoyMDI2MDEyMC4wIKXMDSoASAFQAw%3D%3D" xr:uid="{24AF6F13-40DF-4D93-AE52-F740872D518A}"/>
    <hyperlink ref="H329" r:id="rId25" display="https://www.google.com/maps/place/46%C2%B057'49.0%22N+52%C2%B056'54.0%22W/@46.967504,-52.9572675,3a,15.1y,126.85h,95.84t/data=!3m7!1e1!3m5!1sTY9NqQ4rX4YNXYKIwbe2DA!2e0!6shttps:%2F%2Fstreetviewpixels-pa.googleapis.com%2Fv1%2Fthumbnail%3Fcb_client%3Dmaps_sv.tactile%26w%3D900%26h%3D600%26pitch%3D-5.84315726708715%26panoid%3DTY9NqQ4rX4YNXYKIwbe2DA%26yaw%3D126.84930934359338!7i13312!8i6656!4m4!3m3!8m2!3d46.9636083!4d-52.9483333?entry=ttu&amp;g_ep=EgoyMDI2MDEyMC4wIKXMDSoASAFQAw%3D%3D" xr:uid="{9323B311-BAC0-40A2-A034-D5372145BB53}"/>
    <hyperlink ref="H330" r:id="rId26" display="https://www.google.com/maps/place/Goose+Bay+Airport/@53.3135192,-60.412472,3a,15y,235.52h,94.7t/data=!3m7!1e1!3m5!1seCNncqufkP4qYsjc5KaWxA!2e0!6shttps:%2F%2Fstreetviewpixels-pa.googleapis.com%2Fv1%2Fthumbnail%3Fcb_client%3Dmaps_sv.tactile%26w%3D900%26h%3D600%26pitch%3D-4.697957950453414%26panoid%3DeCNncqufkP4qYsjc5KaWxA%26yaw%3D235.51509343809792!7i16384!8i8192!4m12!1m5!3m4!2zNTPCsDE4JzQ5LjciTiA2MMKwMjQnNDYuMCJX!8m2!3d53.3138!4d-60.4127778!3m5!1s0x4c7b7a517b64285d:0xe2ca4844211e6af6!8m2!3d53.313722!4d-60.4125075!16zL20vMDNyOG1m?entry=ttu&amp;g_ep=EgoyMDI2MDEyMC4wIKXMDSoASAFQAw%3D%3D" xr:uid="{3B92B1F0-9AFA-4E13-A8E9-E1C7B5F5DC94}"/>
  </hyperlinks>
  <pageMargins left="0.75" right="0.75" top="1" bottom="1" header="0.5" footer="0.5"/>
  <pageSetup orientation="portrait" r:id="rId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PrinceEdward_238_Towers</vt:lpstr>
      <vt:lpstr>New Brunswick_1283_Towers</vt:lpstr>
      <vt:lpstr>NewFoundland_718_Towers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Arleen Cruz</dc:creator>
  <cp:keywords/>
  <dc:description/>
  <cp:lastModifiedBy>Brett Heuchert</cp:lastModifiedBy>
  <cp:revision/>
  <dcterms:created xsi:type="dcterms:W3CDTF">2026-01-11T13:59:07Z</dcterms:created>
  <dcterms:modified xsi:type="dcterms:W3CDTF">2026-01-28T00:00:48Z</dcterms:modified>
  <cp:category/>
  <cp:contentStatus/>
</cp:coreProperties>
</file>