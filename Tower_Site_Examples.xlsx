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rets\Desktop\"/>
    </mc:Choice>
  </mc:AlternateContent>
  <xr:revisionPtr revIDLastSave="0" documentId="13_ncr:1_{CCCB31AB-DEBA-4814-941D-B38921306695}" xr6:coauthVersionLast="47" xr6:coauthVersionMax="47" xr10:uidLastSave="{00000000-0000-0000-0000-000000000000}"/>
  <bookViews>
    <workbookView xWindow="28680" yWindow="-120" windowWidth="29040" windowHeight="15840" xr2:uid="{AEC2BD91-502A-4371-96F9-73CC071AD92A}"/>
  </bookViews>
  <sheets>
    <sheet name="Sheet1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5" l="1"/>
  <c r="H8" i="5"/>
  <c r="H6" i="5"/>
  <c r="H5" i="5"/>
  <c r="H4" i="5"/>
</calcChain>
</file>

<file path=xl/sharedStrings.xml><?xml version="1.0" encoding="utf-8"?>
<sst xmlns="http://schemas.openxmlformats.org/spreadsheetml/2006/main" count="77" uniqueCount="68">
  <si>
    <t>latitude</t>
  </si>
  <si>
    <t>longitude</t>
  </si>
  <si>
    <t>latitude_dms</t>
  </si>
  <si>
    <t>longitude_dms</t>
  </si>
  <si>
    <t>LICENSEE</t>
  </si>
  <si>
    <t>civic_address</t>
  </si>
  <si>
    <t>Struture Type</t>
  </si>
  <si>
    <t>google_map</t>
  </si>
  <si>
    <t>Business Name/ Establishment Name</t>
  </si>
  <si>
    <t>Remarks</t>
  </si>
  <si>
    <t>Email / Phone</t>
  </si>
  <si>
    <t>Towers Expiration</t>
  </si>
  <si>
    <t>Bragg Communications Inc.</t>
  </si>
  <si>
    <t>Title Holder/ PID</t>
  </si>
  <si>
    <t>46.097222222</t>
  </si>
  <si>
    <t>46 - 5 - 50.0</t>
  </si>
  <si>
    <t>46.1029638890001</t>
  </si>
  <si>
    <t>-64.784166667</t>
  </si>
  <si>
    <t>46 - 6 - 10.67</t>
  </si>
  <si>
    <t>64 - 47 - 3.0</t>
  </si>
  <si>
    <t>Université de Moncton, Rue Pascal-Poirier, Moncton Parish, Moncton, Westmorland County, New Brunswick, E1A 9V7, Canada</t>
  </si>
  <si>
    <t>Apartment</t>
  </si>
  <si>
    <t xml:space="preserve">Résidence Lafrance
</t>
  </si>
  <si>
    <t>Email sent 1/19/2026 to Isabelle Blanchard</t>
  </si>
  <si>
    <t>15063843475
isabelle.mcintrie.blanchard@umonton.ca</t>
  </si>
  <si>
    <t>-64.8375</t>
  </si>
  <si>
    <t>64 - 50 - 15.0</t>
  </si>
  <si>
    <t>Boulevard Wheeler, Hildegarde, Moncton Parish, Moncton, Westmorland County, New Brunswick, E1E 0E6, Canada</t>
  </si>
  <si>
    <t>Other Structure</t>
  </si>
  <si>
    <t>City of Moncton Public Works - Lattice tower in large yard, appears to be City property</t>
  </si>
  <si>
    <r>
      <rPr>
        <sz val="11"/>
        <color rgb="FF000000"/>
        <rFont val="Calibri"/>
        <scheme val="minor"/>
      </rPr>
      <t xml:space="preserve">Aaron Martin - 1-506-(cant give # out)
aaron.martin@moncton.ca </t>
    </r>
    <r>
      <rPr>
        <b/>
        <sz val="11"/>
        <color rgb="FFFF0000"/>
        <rFont val="Calibri"/>
        <scheme val="minor"/>
      </rPr>
      <t xml:space="preserve">Email sent 1/19/2026
See LINE #1284, related to Town of Roverview &amp; Luke Gould
</t>
    </r>
  </si>
  <si>
    <t>Followup week of Jan 26-30</t>
  </si>
  <si>
    <t>46.088111111</t>
  </si>
  <si>
    <t>-64.776719444</t>
  </si>
  <si>
    <t>46 - 5 - 17.2</t>
  </si>
  <si>
    <t>64 - 46 - 36.19</t>
  </si>
  <si>
    <t>Main Street, Moncton Parish, Moncton, Westmorland County, New Brunswick, E1C 1E9, Canada</t>
  </si>
  <si>
    <t>Commercial Building</t>
  </si>
  <si>
    <t xml:space="preserve">Delta Hotels Beausejour- Rob says hotel ownership is based in Ontario. They recently renewed the lease on this hotel. He is passing my email &amp; phone # onto the head office in Ontario
</t>
  </si>
  <si>
    <r>
      <rPr>
        <sz val="11"/>
        <color rgb="FF000000"/>
        <rFont val="Calibri"/>
        <scheme val="minor"/>
      </rPr>
      <t xml:space="preserve">Delta Hotel rooftop; </t>
    </r>
    <r>
      <rPr>
        <b/>
        <sz val="11"/>
        <color rgb="FFFF0000"/>
        <rFont val="Calibri"/>
        <scheme val="minor"/>
      </rPr>
      <t>Rob leblanc is key guy as per phone clerk guy</t>
    </r>
  </si>
  <si>
    <r>
      <rPr>
        <sz val="12"/>
        <color rgb="FF000000"/>
        <rFont val="Calibri"/>
        <scheme val="minor"/>
      </rPr>
      <t xml:space="preserve">1-506-854-4344
</t>
    </r>
    <r>
      <rPr>
        <b/>
        <sz val="12"/>
        <color rgb="FFFF0000"/>
        <rFont val="Calibri"/>
        <scheme val="minor"/>
      </rPr>
      <t xml:space="preserve">506-875-1479 </t>
    </r>
  </si>
  <si>
    <t>Followup in 2027</t>
  </si>
  <si>
    <t>45.2385694440001</t>
  </si>
  <si>
    <t>-66.1220888889999</t>
  </si>
  <si>
    <t>45 - 14 - 18.85</t>
  </si>
  <si>
    <t>66 - 7 - 19.52</t>
  </si>
  <si>
    <t>45, Ocean Court, Quinton Heights, City of Saint John, Saint John County, New Brunswick, E2M 3Y4, Canada</t>
  </si>
  <si>
    <t>https://www.google.com/maps/place/45%C2%B014'18.9%22N+66%C2%B007'19.5%22W/@45.2392849,-66.1219603,3a,60y,188.19h,90.96t/data=!3m7!1e1!3m5!1sPXhV8R34DaEHXoA3646PtQ!2e0!6shttps:%2F%2Fstreetviewpixels-pa.googleapis.com%2Fv1%2Fthumbnail%3Fcb_client%3Dmaps_sv.tactile%26w%3D900%26h%3D600%26pitch%3D-0.9585136564251542%26panoid%3DPXhV8R34DaEHXoA3646PtQ%26yaw%3D188.18837597109712!7i16384!8i8192!4m4!3m3!8m2!3d45.2385694!4d-66.1220889?entry=ttu&amp;g_ep=EgoyMDI2MDExMy4wIKXMDSoASAFQAw%3D%3D</t>
  </si>
  <si>
    <r>
      <rPr>
        <sz val="11"/>
        <color rgb="FF000000"/>
        <rFont val="Calibri"/>
        <scheme val="minor"/>
      </rPr>
      <t xml:space="preserve">St.John - Spoke to the main call center, she passed my number &amp; name, and someone will contact me; she wasnt sure which dept; if we dont hear anything back, </t>
    </r>
    <r>
      <rPr>
        <sz val="11"/>
        <color rgb="FFFF0000"/>
        <rFont val="Calibri"/>
        <scheme val="minor"/>
      </rPr>
      <t>followup Jan 26-30 week</t>
    </r>
  </si>
  <si>
    <t xml:space="preserve">Panels mounted on water tower
</t>
  </si>
  <si>
    <t>506-658-4455</t>
  </si>
  <si>
    <t>45.9187111110001</t>
  </si>
  <si>
    <t>-66.6313388889999</t>
  </si>
  <si>
    <t>45 - 55 - 7.36</t>
  </si>
  <si>
    <t>66 - 37 - 52.82</t>
  </si>
  <si>
    <t>Boulevard Alison, Doak Settlement, City of Fredericton, York County, New Brunswick, E3B 4X2, Canada</t>
  </si>
  <si>
    <t>Monopole Tower</t>
  </si>
  <si>
    <t>GHD Engineering consultant</t>
  </si>
  <si>
    <r>
      <rPr>
        <sz val="11"/>
        <color rgb="FF000000"/>
        <rFont val="Calibri"/>
        <scheme val="minor"/>
      </rPr>
      <t xml:space="preserve">As per secretary, </t>
    </r>
    <r>
      <rPr>
        <b/>
        <sz val="11"/>
        <color rgb="FFFF0000"/>
        <rFont val="Calibri"/>
        <scheme val="minor"/>
      </rPr>
      <t>Rob Turner</t>
    </r>
    <r>
      <rPr>
        <sz val="11"/>
        <color rgb="FF000000"/>
        <rFont val="Calibri"/>
        <scheme val="minor"/>
      </rPr>
      <t xml:space="preserve"> may be able to discuss - she passed our info along </t>
    </r>
    <r>
      <rPr>
        <b/>
        <sz val="11"/>
        <color rgb="FFFF0000"/>
        <rFont val="Calibri"/>
        <scheme val="minor"/>
      </rPr>
      <t>1/19/2026</t>
    </r>
    <r>
      <rPr>
        <sz val="11"/>
        <color rgb="FF000000"/>
        <rFont val="Calibri"/>
        <scheme val="minor"/>
      </rPr>
      <t xml:space="preserve">. "His voicemail isnt working". Gave our company name. Followup if nothing in 1 week </t>
    </r>
  </si>
  <si>
    <t>45.9849888890001</t>
  </si>
  <si>
    <t>-66.6316805559999</t>
  </si>
  <si>
    <t>45 - 59 - 5.96</t>
  </si>
  <si>
    <t>66 - 37 - 54.05</t>
  </si>
  <si>
    <t>Rue Sainte Marie, City of Fredericton Maintenance Depot and Fredericton Transit, St. Mary's First Nation / Sitansisk Wolastoqiyik, City of Fredericton, York County, New Brunswick, E3A 2S4, Canada</t>
  </si>
  <si>
    <t xml:space="preserve">Fredericton Transit
</t>
  </si>
  <si>
    <t>Some Karen said she passed my number to the correct department. WIll be hard to do any deals with the City of Fredericton</t>
  </si>
  <si>
    <r>
      <rPr>
        <sz val="12"/>
        <color rgb="FF000000"/>
        <rFont val="Calibri"/>
        <scheme val="minor"/>
      </rPr>
      <t xml:space="preserve">1-506-460-2200
</t>
    </r>
    <r>
      <rPr>
        <sz val="12"/>
        <color rgb="FFFF0000"/>
        <rFont val="Calibri"/>
        <scheme val="minor"/>
      </rPr>
      <t>506-460-2020 (havent tried this one yet)</t>
    </r>
  </si>
  <si>
    <t>Revisit at later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</si>
</sst>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2"/>
      <name val="Calibri"/>
    </font>
    <font>
      <b/>
      <sz val="14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scheme val="minor"/>
    </font>
    <font>
      <sz val="11"/>
      <color rgb="FF000000"/>
      <name val="Calibri"/>
      <scheme val="minor"/>
    </font>
    <font>
      <b/>
      <sz val="11"/>
      <color rgb="FFFF0000"/>
      <name val="Calibri"/>
      <scheme val="minor"/>
    </font>
    <font>
      <b/>
      <sz val="10"/>
      <name val="Calibri"/>
      <family val="2"/>
    </font>
    <font>
      <b/>
      <sz val="12"/>
      <color theme="1"/>
      <name val="Calibri"/>
      <family val="2"/>
      <scheme val="minor"/>
    </font>
    <font>
      <sz val="12"/>
      <color rgb="FF000000"/>
      <name val="Calibri"/>
      <scheme val="minor"/>
    </font>
    <font>
      <sz val="12"/>
      <color theme="1"/>
      <name val="Calibri"/>
      <scheme val="minor"/>
    </font>
    <font>
      <sz val="12"/>
      <color rgb="FFFF0000"/>
      <name val="Calibri"/>
      <scheme val="minor"/>
    </font>
    <font>
      <b/>
      <sz val="12"/>
      <color rgb="FFFF0000"/>
      <name val="Calibri"/>
      <scheme val="minor"/>
    </font>
    <font>
      <b/>
      <u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92D050"/>
        <bgColor rgb="FF00FF00"/>
      </patternFill>
    </fill>
    <fill>
      <patternFill patternType="solid">
        <fgColor theme="9"/>
        <bgColor rgb="FF00FF00"/>
      </patternFill>
    </fill>
    <fill>
      <patternFill patternType="solid">
        <fgColor theme="3" tint="0.59999389629810485"/>
        <bgColor rgb="FF00FF00"/>
      </patternFill>
    </fill>
    <fill>
      <patternFill patternType="solid">
        <fgColor theme="0" tint="-0.34998626667073579"/>
        <bgColor rgb="FF00FF00"/>
      </patternFill>
    </fill>
    <fill>
      <patternFill patternType="solid">
        <fgColor rgb="FF00B0F0"/>
        <bgColor rgb="FF00FF00"/>
      </patternFill>
    </fill>
    <fill>
      <patternFill patternType="solid">
        <fgColor theme="2" tint="-0.249977111117893"/>
        <bgColor rgb="FF00FF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4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vertical="center"/>
    </xf>
    <xf numFmtId="0" fontId="0" fillId="10" borderId="1" xfId="0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11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9" fillId="8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 wrapText="1"/>
    </xf>
    <xf numFmtId="0" fontId="4" fillId="0" borderId="1" xfId="1" applyFill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0" fillId="13" borderId="1" xfId="0" applyFill="1" applyBorder="1" applyAlignment="1">
      <alignment horizontal="center" vertical="center" wrapText="1"/>
    </xf>
    <xf numFmtId="0" fontId="15" fillId="0" borderId="1" xfId="1" applyFont="1" applyFill="1" applyBorder="1" applyAlignment="1">
      <alignment vertical="center" wrapText="1"/>
    </xf>
    <xf numFmtId="0" fontId="1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top"/>
    </xf>
    <xf numFmtId="0" fontId="3" fillId="16" borderId="1" xfId="0" applyFont="1" applyFill="1" applyBorder="1" applyAlignment="1">
      <alignment horizontal="center" vertical="top"/>
    </xf>
    <xf numFmtId="0" fontId="5" fillId="0" borderId="1" xfId="0" quotePrefix="1" applyFont="1" applyBorder="1" applyAlignment="1">
      <alignment horizontal="left" vertical="top" wrapText="1"/>
    </xf>
    <xf numFmtId="0" fontId="5" fillId="0" borderId="1" xfId="0" quotePrefix="1" applyFont="1" applyBorder="1" applyAlignment="1">
      <alignment horizontal="left" vertical="top"/>
    </xf>
    <xf numFmtId="0" fontId="10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2" fillId="0" borderId="1" xfId="0" quotePrefix="1" applyFont="1" applyBorder="1" applyAlignment="1">
      <alignment horizontal="left" vertical="top" wrapText="1"/>
    </xf>
    <xf numFmtId="0" fontId="0" fillId="10" borderId="1" xfId="0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12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11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8">
    <dxf>
      <fill>
        <patternFill patternType="solid">
          <bgColor theme="7" tint="0.39997558519241921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9"/>
        </patternFill>
      </fill>
    </dxf>
    <dxf>
      <fill>
        <patternFill>
          <bgColor theme="0"/>
        </patternFill>
      </fill>
    </dxf>
    <dxf>
      <fill>
        <patternFill>
          <bgColor theme="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maps/place/45%C2%B014'18.9%22N+66%C2%B007'19.5%22W/@45.2392849,-66.1219603,3a,60y,188.19h,90.96t/data=!3m7!1e1!3m5!1sPXhV8R34DaEHXoA3646PtQ!2e0!6shttps:%2F%2Fstreetviewpixels-pa.googleapis.com%2Fv1%2Fthumbnail%3Fcb_client%3Dmaps_sv.tactile%26w%3D900%26h%3D600%26pitch%3D-0.9585136564251542%26panoid%3DPXhV8R34DaEHXoA3646PtQ%26yaw%3D188.18837597109712!7i16384!8i8192!4m4!3m3!8m2!3d45.2385694!4d-66.1220889?entry=ttu&amp;g_ep=EgoyMDI2MDExMy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0F107-6EA5-4F7B-8A42-8FC531BCBCF2}">
  <dimension ref="A3:M9"/>
  <sheetViews>
    <sheetView tabSelected="1" workbookViewId="0">
      <selection activeCell="E5" sqref="E5"/>
    </sheetView>
  </sheetViews>
  <sheetFormatPr defaultRowHeight="14.5" x14ac:dyDescent="0.35"/>
  <cols>
    <col min="1" max="4" width="8.7265625" customWidth="1"/>
    <col min="5" max="5" width="20.81640625" customWidth="1"/>
    <col min="7" max="7" width="38.453125" customWidth="1"/>
    <col min="8" max="8" width="20.1796875" customWidth="1"/>
    <col min="9" max="9" width="31.26953125" customWidth="1"/>
    <col min="10" max="10" width="15" customWidth="1"/>
    <col min="11" max="11" width="35.453125" customWidth="1"/>
    <col min="12" max="12" width="28.26953125" customWidth="1"/>
    <col min="13" max="13" width="28" customWidth="1"/>
  </cols>
  <sheetData>
    <row r="3" spans="1:13" ht="39.75" customHeight="1" x14ac:dyDescent="0.35">
      <c r="A3" s="13" t="s">
        <v>0</v>
      </c>
      <c r="B3" s="13" t="s">
        <v>1</v>
      </c>
      <c r="C3" s="13" t="s">
        <v>2</v>
      </c>
      <c r="D3" s="13" t="s">
        <v>3</v>
      </c>
      <c r="E3" s="1" t="s">
        <v>4</v>
      </c>
      <c r="F3" s="2" t="s">
        <v>5</v>
      </c>
      <c r="G3" s="12" t="s">
        <v>6</v>
      </c>
      <c r="H3" s="15" t="s">
        <v>7</v>
      </c>
      <c r="I3" s="10" t="s">
        <v>8</v>
      </c>
      <c r="J3" s="3" t="s">
        <v>9</v>
      </c>
      <c r="K3" s="22" t="s">
        <v>10</v>
      </c>
      <c r="L3" s="4" t="s">
        <v>11</v>
      </c>
      <c r="M3" s="14" t="s">
        <v>13</v>
      </c>
    </row>
    <row r="4" spans="1:13" ht="54.75" customHeight="1" x14ac:dyDescent="0.35">
      <c r="A4" t="s">
        <v>16</v>
      </c>
      <c r="B4" t="s">
        <v>17</v>
      </c>
      <c r="C4" t="s">
        <v>18</v>
      </c>
      <c r="D4" t="s">
        <v>19</v>
      </c>
      <c r="E4" s="5" t="s">
        <v>12</v>
      </c>
      <c r="F4" s="6" t="s">
        <v>20</v>
      </c>
      <c r="G4" s="7" t="s">
        <v>21</v>
      </c>
      <c r="H4" s="9" t="str">
        <f>HYPERLINK("https://www.google.com/maps/?q=46.1029638890001,-64.784166667", "https://www.google.com/maps/?q=46.1029638890001,-64.784166667")</f>
        <v>https://www.google.com/maps/?q=46.1029638890001,-64.784166667</v>
      </c>
      <c r="I4" s="9" t="s">
        <v>22</v>
      </c>
      <c r="J4" s="17" t="s">
        <v>23</v>
      </c>
      <c r="K4" s="23" t="s">
        <v>24</v>
      </c>
      <c r="L4" s="11"/>
      <c r="M4" s="11"/>
    </row>
    <row r="5" spans="1:13" ht="54.75" customHeight="1" x14ac:dyDescent="0.35">
      <c r="A5" t="s">
        <v>14</v>
      </c>
      <c r="B5" t="s">
        <v>25</v>
      </c>
      <c r="C5" t="s">
        <v>15</v>
      </c>
      <c r="D5" t="s">
        <v>26</v>
      </c>
      <c r="E5" s="5" t="s">
        <v>12</v>
      </c>
      <c r="F5" s="6" t="s">
        <v>27</v>
      </c>
      <c r="G5" s="7" t="s">
        <v>28</v>
      </c>
      <c r="H5" s="9" t="str">
        <f>HYPERLINK("https://www.google.com/maps/?q=46.097222222,-64.8375", "https://www.google.com/maps/?q=46.097222222,-64.8375")</f>
        <v>https://www.google.com/maps/?q=46.097222222,-64.8375</v>
      </c>
      <c r="I5" s="31" t="s">
        <v>29</v>
      </c>
      <c r="J5" s="31" t="s">
        <v>30</v>
      </c>
      <c r="K5" s="24">
        <v>15068592643</v>
      </c>
      <c r="L5" s="18" t="s">
        <v>31</v>
      </c>
      <c r="M5" s="11"/>
    </row>
    <row r="6" spans="1:13" ht="54.75" customHeight="1" x14ac:dyDescent="0.35">
      <c r="A6" t="s">
        <v>32</v>
      </c>
      <c r="B6" t="s">
        <v>33</v>
      </c>
      <c r="C6" t="s">
        <v>34</v>
      </c>
      <c r="D6" t="s">
        <v>35</v>
      </c>
      <c r="E6" s="5" t="s">
        <v>12</v>
      </c>
      <c r="F6" s="6" t="s">
        <v>36</v>
      </c>
      <c r="G6" s="7" t="s">
        <v>37</v>
      </c>
      <c r="H6" s="16" t="str">
        <f>HYPERLINK("https://www.google.com/maps/?q=46.088111111,-64.776719444", "https://www.google.com/maps/?q=46.088111111,-64.776719444")</f>
        <v>https://www.google.com/maps/?q=46.088111111,-64.776719444</v>
      </c>
      <c r="I6" s="8" t="s">
        <v>38</v>
      </c>
      <c r="J6" s="32" t="s">
        <v>39</v>
      </c>
      <c r="K6" s="27" t="s">
        <v>40</v>
      </c>
      <c r="L6" s="28" t="s">
        <v>41</v>
      </c>
      <c r="M6" s="11"/>
    </row>
    <row r="7" spans="1:13" ht="54.75" customHeight="1" x14ac:dyDescent="0.35">
      <c r="A7" t="s">
        <v>42</v>
      </c>
      <c r="B7" t="s">
        <v>43</v>
      </c>
      <c r="C7" t="s">
        <v>44</v>
      </c>
      <c r="D7" t="s">
        <v>45</v>
      </c>
      <c r="E7" s="5" t="s">
        <v>12</v>
      </c>
      <c r="F7" s="6" t="s">
        <v>46</v>
      </c>
      <c r="G7" s="7" t="s">
        <v>28</v>
      </c>
      <c r="H7" s="19" t="s">
        <v>47</v>
      </c>
      <c r="I7" s="33" t="s">
        <v>48</v>
      </c>
      <c r="J7" s="29" t="s">
        <v>49</v>
      </c>
      <c r="K7" s="25" t="s">
        <v>50</v>
      </c>
      <c r="L7" s="18" t="s">
        <v>31</v>
      </c>
      <c r="M7" s="11"/>
    </row>
    <row r="8" spans="1:13" ht="54.75" customHeight="1" x14ac:dyDescent="0.35">
      <c r="A8" t="s">
        <v>51</v>
      </c>
      <c r="B8" t="s">
        <v>52</v>
      </c>
      <c r="C8" t="s">
        <v>53</v>
      </c>
      <c r="D8" t="s">
        <v>54</v>
      </c>
      <c r="E8" s="5" t="s">
        <v>12</v>
      </c>
      <c r="F8" s="6" t="s">
        <v>55</v>
      </c>
      <c r="G8" s="7" t="s">
        <v>56</v>
      </c>
      <c r="H8" s="9" t="str">
        <f>HYPERLINK("https://www.google.com/maps/?q=45.9187111110001,-66.6313388889999", "https://www.google.com/maps/?q=45.9187111110001,-66.6313388889999")</f>
        <v>https://www.google.com/maps/?q=45.9187111110001,-66.6313388889999</v>
      </c>
      <c r="I8" s="9" t="s">
        <v>57</v>
      </c>
      <c r="J8" s="31" t="s">
        <v>58</v>
      </c>
      <c r="K8" s="21">
        <v>15064581248</v>
      </c>
      <c r="L8" s="18" t="s">
        <v>31</v>
      </c>
      <c r="M8" s="11"/>
    </row>
    <row r="9" spans="1:13" ht="54.75" customHeight="1" x14ac:dyDescent="0.35">
      <c r="A9" t="s">
        <v>59</v>
      </c>
      <c r="B9" t="s">
        <v>60</v>
      </c>
      <c r="C9" t="s">
        <v>61</v>
      </c>
      <c r="D9" t="s">
        <v>62</v>
      </c>
      <c r="E9" s="5" t="s">
        <v>12</v>
      </c>
      <c r="F9" s="6" t="s">
        <v>63</v>
      </c>
      <c r="G9" s="7" t="s">
        <v>56</v>
      </c>
      <c r="H9" s="9" t="str">
        <f>HYPERLINK("https://www.google.com/maps/?q=45.9849888890001,-66.6316805559999", "https://www.google.com/maps/?q=45.9849888890001,-66.6316805559999")</f>
        <v>https://www.google.com/maps/?q=45.9849888890001,-66.6316805559999</v>
      </c>
      <c r="I9" s="9" t="s">
        <v>64</v>
      </c>
      <c r="J9" s="29" t="s">
        <v>65</v>
      </c>
      <c r="K9" s="26" t="s">
        <v>66</v>
      </c>
      <c r="L9" s="30" t="s">
        <v>67</v>
      </c>
      <c r="M9" s="20"/>
    </row>
  </sheetData>
  <conditionalFormatting sqref="E3:E9">
    <cfRule type="expression" dxfId="7" priority="9">
      <formula>MOD(ROW(),2)=0</formula>
    </cfRule>
    <cfRule type="colorScale" priority="10">
      <colorScale>
        <cfvo type="min"/>
        <cfvo type="max"/>
        <color theme="6"/>
        <color theme="0"/>
      </colorScale>
    </cfRule>
    <cfRule type="expression" priority="11">
      <formula>MOD(ROW(),2)=0</formula>
    </cfRule>
  </conditionalFormatting>
  <conditionalFormatting sqref="E3:F9">
    <cfRule type="expression" dxfId="6" priority="6">
      <formula>MOD(ROW(),2)=0</formula>
    </cfRule>
  </conditionalFormatting>
  <conditionalFormatting sqref="F3:F9">
    <cfRule type="expression" dxfId="5" priority="7">
      <formula>MOD(ROW(),2)=0</formula>
    </cfRule>
  </conditionalFormatting>
  <conditionalFormatting sqref="G3:G9">
    <cfRule type="expression" dxfId="4" priority="4">
      <formula>MOD(ROW(),2)=0</formula>
    </cfRule>
  </conditionalFormatting>
  <conditionalFormatting sqref="H3:H9">
    <cfRule type="expression" dxfId="3" priority="5">
      <formula>MOD(ROW(),2)=0</formula>
    </cfRule>
  </conditionalFormatting>
  <conditionalFormatting sqref="I3:I9">
    <cfRule type="expression" dxfId="2" priority="3">
      <formula>MOD(ROW(),2)=0</formula>
    </cfRule>
  </conditionalFormatting>
  <conditionalFormatting sqref="J3:J9">
    <cfRule type="expression" dxfId="1" priority="2">
      <formula>MOD(ROW(),2)=0</formula>
    </cfRule>
  </conditionalFormatting>
  <conditionalFormatting sqref="K3:K6 K8:K9">
    <cfRule type="expression" dxfId="0" priority="1">
      <formula>MOD(ROW(),2)=0</formula>
    </cfRule>
  </conditionalFormatting>
  <dataValidations count="1">
    <dataValidation type="list" allowBlank="1" showInputMessage="1" showErrorMessage="1" sqref="G3:G9" xr:uid="{ACB54CB9-3E77-4C5C-939E-F108F5821AF1}">
      <formula1>"Apartment,Commercial Building,Warehouse,Office,Guyed,Lattice Tower,Monopole Tower,Tree,Other Structure"</formula1>
    </dataValidation>
  </dataValidations>
  <hyperlinks>
    <hyperlink ref="H7" r:id="rId1" display="https://www.google.com/maps/place/45%C2%B014'18.9%22N+66%C2%B007'19.5%22W/@45.2392849,-66.1219603,3a,60y,188.19h,90.96t/data=!3m7!1e1!3m5!1sPXhV8R34DaEHXoA3646PtQ!2e0!6shttps:%2F%2Fstreetviewpixels-pa.googleapis.com%2Fv1%2Fthumbnail%3Fcb_client%3Dmaps_sv.tactile%26w%3D900%26h%3D600%26pitch%3D-0.9585136564251542%26panoid%3DPXhV8R34DaEHXoA3646PtQ%26yaw%3D188.18837597109712!7i16384!8i8192!4m4!3m3!8m2!3d45.2385694!4d-66.1220889?entry=ttu&amp;g_ep=EgoyMDI2MDExMy4wIKXMDSoASAFQAw%3D%3D" xr:uid="{70402596-083D-453C-B91D-B08735195E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Arleen Cruz</dc:creator>
  <cp:keywords/>
  <dc:description/>
  <cp:lastModifiedBy>Brett Heuchert</cp:lastModifiedBy>
  <cp:revision/>
  <dcterms:created xsi:type="dcterms:W3CDTF">2026-01-11T13:59:07Z</dcterms:created>
  <dcterms:modified xsi:type="dcterms:W3CDTF">2026-01-23T19:19:58Z</dcterms:modified>
  <cp:category/>
  <cp:contentStatus/>
</cp:coreProperties>
</file>